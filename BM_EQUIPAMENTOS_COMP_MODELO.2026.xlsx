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15E0F78B-6BEB-4D9F-92B1-02899A12DCFE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74" i="62" l="1"/>
  <c r="G1846" i="62"/>
  <c r="C1846" i="62"/>
  <c r="G1845" i="62"/>
  <c r="C1845" i="62"/>
  <c r="G1844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G1574" i="62"/>
  <c r="C1574" i="62"/>
  <c r="G1573" i="62"/>
  <c r="C1573" i="62"/>
  <c r="G1572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G551" i="62"/>
  <c r="C551" i="62"/>
  <c r="G550" i="62"/>
  <c r="C550" i="62"/>
  <c r="G549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P1137" i="62"/>
  <c r="I1137" i="62" s="1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812" i="62"/>
  <c r="P2813" i="62"/>
  <c r="I2813" i="62" s="1"/>
  <c r="P2814" i="62"/>
  <c r="I2814" i="62" s="1"/>
  <c r="P2815" i="62"/>
  <c r="I2815" i="62" s="1"/>
  <c r="P2816" i="62"/>
  <c r="I2816" i="62" s="1"/>
  <c r="P2817" i="62"/>
  <c r="I2817" i="62" s="1"/>
  <c r="P2818" i="62"/>
  <c r="I2818" i="62" s="1"/>
  <c r="P2819" i="62"/>
  <c r="I2819" i="62" s="1"/>
  <c r="P2820" i="62"/>
  <c r="I2820" i="62" s="1"/>
  <c r="P2821" i="62"/>
  <c r="I2821" i="62" s="1"/>
  <c r="P2822" i="62"/>
  <c r="I2822" i="62" s="1"/>
  <c r="P2823" i="62"/>
  <c r="I2823" i="62" s="1"/>
  <c r="P2824" i="62"/>
  <c r="I2824" i="62" s="1"/>
  <c r="P2825" i="62"/>
  <c r="I2825" i="62" s="1"/>
  <c r="P2826" i="62"/>
  <c r="I2826" i="62" s="1"/>
  <c r="P2827" i="62"/>
  <c r="I2827" i="62" s="1"/>
  <c r="P2828" i="62"/>
  <c r="I2828" i="62" s="1"/>
  <c r="P2829" i="62"/>
  <c r="I2829" i="62" s="1"/>
  <c r="P2830" i="62"/>
  <c r="I2830" i="62" s="1"/>
  <c r="P2831" i="62"/>
  <c r="I2831" i="62" s="1"/>
  <c r="P2832" i="62"/>
  <c r="I2832" i="62" s="1"/>
  <c r="P2833" i="62"/>
  <c r="I2833" i="62" s="1"/>
  <c r="P2834" i="62"/>
  <c r="I2834" i="62" s="1"/>
  <c r="P2835" i="62"/>
  <c r="I2835" i="62" s="1"/>
  <c r="P2836" i="62"/>
  <c r="I2836" i="62" s="1"/>
  <c r="P2837" i="62"/>
  <c r="I2837" i="62" s="1"/>
  <c r="P2838" i="62"/>
  <c r="I2838" i="62" s="1"/>
  <c r="P2839" i="62"/>
  <c r="I2839" i="62" s="1"/>
  <c r="G2839" i="62"/>
  <c r="G2838" i="62"/>
  <c r="G2837" i="62"/>
  <c r="G2836" i="62"/>
  <c r="G2835" i="62"/>
  <c r="G2834" i="62"/>
  <c r="G2833" i="62"/>
  <c r="G2832" i="62"/>
  <c r="G2831" i="62"/>
  <c r="G2830" i="62"/>
  <c r="G2829" i="62"/>
  <c r="G2828" i="62"/>
  <c r="G2827" i="62"/>
  <c r="G2826" i="62"/>
  <c r="G2825" i="62"/>
  <c r="G2824" i="62"/>
  <c r="G2823" i="62"/>
  <c r="G2822" i="62"/>
  <c r="G2821" i="62"/>
  <c r="G2820" i="62"/>
  <c r="G2819" i="62"/>
  <c r="G2818" i="62"/>
  <c r="G2817" i="62"/>
  <c r="G2816" i="62"/>
  <c r="G2815" i="62"/>
  <c r="G2814" i="62"/>
  <c r="G2813" i="62"/>
  <c r="P2812" i="62"/>
  <c r="G2812" i="62"/>
  <c r="M2810" i="62"/>
  <c r="G2543" i="62"/>
  <c r="G1916" i="62"/>
  <c r="G1915" i="62"/>
  <c r="G1914" i="62"/>
  <c r="G1913" i="62"/>
  <c r="D207" i="62" l="1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813" i="62"/>
  <c r="P2564" i="62"/>
  <c r="P2533" i="62"/>
  <c r="P2502" i="62"/>
  <c r="P2471" i="62"/>
  <c r="P2440" i="62"/>
  <c r="P2409" i="62"/>
  <c r="P2378" i="62"/>
  <c r="P2347" i="62"/>
  <c r="P2316" i="62"/>
  <c r="P2285" i="62"/>
  <c r="P2254" i="62"/>
  <c r="P2223" i="62"/>
  <c r="P2192" i="62"/>
  <c r="P2161" i="62"/>
  <c r="P2130" i="62"/>
  <c r="P2099" i="62"/>
  <c r="P2068" i="62"/>
  <c r="P2037" i="62"/>
  <c r="P2006" i="62"/>
  <c r="P1913" i="62"/>
  <c r="P1882" i="62"/>
  <c r="P1851" i="62"/>
  <c r="P1817" i="62"/>
  <c r="P1647" i="62"/>
  <c r="P1613" i="62"/>
  <c r="P1579" i="62"/>
  <c r="P1545" i="62"/>
  <c r="P1511" i="62"/>
  <c r="P1273" i="62"/>
  <c r="P1069" i="62"/>
  <c r="P1103" i="62"/>
  <c r="P1035" i="62"/>
  <c r="P726" i="62"/>
  <c r="P692" i="62"/>
  <c r="P658" i="62"/>
  <c r="G2784" i="62"/>
  <c r="G2783" i="62"/>
  <c r="G2782" i="62"/>
  <c r="G2781" i="62"/>
  <c r="G2753" i="62"/>
  <c r="G2752" i="62"/>
  <c r="G2751" i="62"/>
  <c r="G2750" i="62"/>
  <c r="G2567" i="62"/>
  <c r="G2566" i="62"/>
  <c r="G2565" i="62"/>
  <c r="G2536" i="62"/>
  <c r="G2535" i="62"/>
  <c r="G2534" i="62"/>
  <c r="G2533" i="62"/>
  <c r="G2505" i="62"/>
  <c r="G2504" i="62"/>
  <c r="G2503" i="62"/>
  <c r="G2502" i="62"/>
  <c r="G2474" i="62"/>
  <c r="G2473" i="62"/>
  <c r="G2472" i="62"/>
  <c r="G2471" i="62"/>
  <c r="G2412" i="62"/>
  <c r="G2411" i="62"/>
  <c r="G2410" i="62"/>
  <c r="G2409" i="62"/>
  <c r="G2381" i="62"/>
  <c r="G2380" i="62"/>
  <c r="G2379" i="62"/>
  <c r="G2378" i="62"/>
  <c r="G2350" i="62"/>
  <c r="G2349" i="62"/>
  <c r="G2348" i="62"/>
  <c r="G2347" i="62"/>
  <c r="G2319" i="62"/>
  <c r="G2318" i="62"/>
  <c r="G2317" i="62"/>
  <c r="G2316" i="62"/>
  <c r="G2257" i="62"/>
  <c r="G2256" i="62"/>
  <c r="G2255" i="62"/>
  <c r="G2254" i="62"/>
  <c r="G2226" i="62"/>
  <c r="G2225" i="62"/>
  <c r="G2224" i="62"/>
  <c r="G2223" i="62"/>
  <c r="G2195" i="62"/>
  <c r="G2194" i="62"/>
  <c r="G2193" i="62"/>
  <c r="G2192" i="62"/>
  <c r="G2164" i="62"/>
  <c r="G2163" i="62"/>
  <c r="G2162" i="62"/>
  <c r="G2161" i="62"/>
  <c r="G2133" i="62"/>
  <c r="G2132" i="62"/>
  <c r="G2131" i="62"/>
  <c r="G2130" i="62"/>
  <c r="G2071" i="62"/>
  <c r="G2070" i="62"/>
  <c r="G2069" i="62"/>
  <c r="G2068" i="62"/>
  <c r="G2040" i="62"/>
  <c r="G2039" i="62"/>
  <c r="G2038" i="62"/>
  <c r="G2037" i="62"/>
  <c r="G2009" i="62"/>
  <c r="G2008" i="62"/>
  <c r="G2007" i="62"/>
  <c r="G2006" i="62"/>
  <c r="G1887" i="62"/>
  <c r="G1886" i="62"/>
  <c r="G1885" i="62"/>
  <c r="G1884" i="62"/>
  <c r="G1883" i="62"/>
  <c r="G1882" i="62"/>
  <c r="G1854" i="62"/>
  <c r="G1853" i="62"/>
  <c r="G1852" i="62"/>
  <c r="G1851" i="62"/>
  <c r="G1820" i="62"/>
  <c r="G1819" i="62"/>
  <c r="G1818" i="62"/>
  <c r="G1817" i="62"/>
  <c r="G1786" i="62"/>
  <c r="G1785" i="62"/>
  <c r="G1784" i="62"/>
  <c r="G1783" i="62"/>
  <c r="G1718" i="62"/>
  <c r="G1717" i="62"/>
  <c r="G1716" i="62"/>
  <c r="G1715" i="62"/>
  <c r="G1650" i="62"/>
  <c r="G1649" i="62"/>
  <c r="G1648" i="62"/>
  <c r="G1647" i="62"/>
  <c r="G1582" i="62"/>
  <c r="G1581" i="62"/>
  <c r="G1580" i="62"/>
  <c r="G1579" i="62"/>
  <c r="G1548" i="62"/>
  <c r="G1547" i="62"/>
  <c r="G1546" i="62"/>
  <c r="G1545" i="62"/>
  <c r="G1514" i="62"/>
  <c r="G1513" i="62"/>
  <c r="G1512" i="62"/>
  <c r="G1511" i="62"/>
  <c r="G695" i="62"/>
  <c r="G694" i="62"/>
  <c r="G693" i="62"/>
  <c r="G692" i="62"/>
  <c r="G1935" i="62"/>
  <c r="G1936" i="62"/>
  <c r="G1937" i="62"/>
  <c r="G1938" i="62"/>
  <c r="G1939" i="62"/>
  <c r="G194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5" i="62"/>
  <c r="G716" i="62"/>
  <c r="G717" i="62"/>
  <c r="G718" i="62"/>
  <c r="G722" i="62"/>
  <c r="G1934" i="62"/>
  <c r="G714" i="62"/>
  <c r="G711" i="62"/>
  <c r="G712" i="62"/>
  <c r="G713" i="62"/>
  <c r="G525" i="62"/>
  <c r="G524" i="62"/>
  <c r="G523" i="62"/>
  <c r="G522" i="62"/>
  <c r="I20" i="39" l="1"/>
  <c r="I19" i="26"/>
  <c r="I25" i="47"/>
  <c r="I22" i="8"/>
  <c r="H20" i="61"/>
  <c r="I21" i="24"/>
  <c r="S2814" i="62"/>
  <c r="G1931" i="62"/>
  <c r="G1932" i="62"/>
  <c r="G1933" i="62"/>
  <c r="I13" i="72"/>
  <c r="I12" i="72"/>
  <c r="I11" i="72"/>
  <c r="I10" i="72"/>
  <c r="I14" i="72" s="1"/>
  <c r="I9" i="72"/>
  <c r="G2629" i="62"/>
  <c r="G2628" i="62"/>
  <c r="G2627" i="62"/>
  <c r="G2626" i="62"/>
  <c r="C2782" i="62"/>
  <c r="C2783" i="62"/>
  <c r="C2784" i="62"/>
  <c r="C2785" i="62"/>
  <c r="C2786" i="62"/>
  <c r="C2787" i="62"/>
  <c r="C2788" i="62"/>
  <c r="C2789" i="62"/>
  <c r="C2790" i="62"/>
  <c r="C2791" i="62"/>
  <c r="C2792" i="62"/>
  <c r="C2793" i="62"/>
  <c r="C2794" i="62"/>
  <c r="C2795" i="62"/>
  <c r="C2796" i="62"/>
  <c r="C2797" i="62"/>
  <c r="C2798" i="62"/>
  <c r="C2799" i="62"/>
  <c r="C2800" i="62"/>
  <c r="C2801" i="62"/>
  <c r="C2802" i="62"/>
  <c r="C2803" i="62"/>
  <c r="C2804" i="62"/>
  <c r="C2805" i="62"/>
  <c r="C2806" i="62"/>
  <c r="C2807" i="62"/>
  <c r="C2808" i="62"/>
  <c r="C2781" i="62"/>
  <c r="S2815" i="62" l="1"/>
  <c r="C2751" i="62"/>
  <c r="C2752" i="62"/>
  <c r="C2753" i="62"/>
  <c r="C2754" i="62"/>
  <c r="C2755" i="62"/>
  <c r="C2756" i="62"/>
  <c r="C2757" i="62"/>
  <c r="C2758" i="62"/>
  <c r="C2759" i="62"/>
  <c r="C2760" i="62"/>
  <c r="C2761" i="62"/>
  <c r="C2762" i="62"/>
  <c r="C2763" i="62"/>
  <c r="C2764" i="62"/>
  <c r="C2765" i="62"/>
  <c r="C2766" i="62"/>
  <c r="C2767" i="62"/>
  <c r="C2768" i="62"/>
  <c r="C2769" i="62"/>
  <c r="C2770" i="62"/>
  <c r="C2771" i="62"/>
  <c r="C2772" i="62"/>
  <c r="C2773" i="62"/>
  <c r="C2774" i="62"/>
  <c r="C2775" i="62"/>
  <c r="C2776" i="62"/>
  <c r="C2777" i="62"/>
  <c r="C2750" i="62"/>
  <c r="G2777" i="62"/>
  <c r="G2776" i="62"/>
  <c r="G2775" i="62"/>
  <c r="G2774" i="62"/>
  <c r="G2773" i="62"/>
  <c r="G2772" i="62"/>
  <c r="G2771" i="62"/>
  <c r="G2770" i="62"/>
  <c r="G2769" i="62"/>
  <c r="G2768" i="62"/>
  <c r="G2767" i="62"/>
  <c r="G2766" i="62"/>
  <c r="G2765" i="62"/>
  <c r="G2764" i="62"/>
  <c r="G2763" i="62"/>
  <c r="G2762" i="62"/>
  <c r="G2761" i="62"/>
  <c r="O2760" i="62"/>
  <c r="O2761" i="62" s="1"/>
  <c r="O2762" i="62" s="1"/>
  <c r="O2763" i="62" s="1"/>
  <c r="O2764" i="62" s="1"/>
  <c r="O2765" i="62" s="1"/>
  <c r="O2766" i="62" s="1"/>
  <c r="O2767" i="62" s="1"/>
  <c r="O2768" i="62" s="1"/>
  <c r="O2769" i="62" s="1"/>
  <c r="O2770" i="62" s="1"/>
  <c r="O2771" i="62" s="1"/>
  <c r="O2772" i="62" s="1"/>
  <c r="O2773" i="62" s="1"/>
  <c r="O2774" i="62" s="1"/>
  <c r="O2775" i="62" s="1"/>
  <c r="O2776" i="62" s="1"/>
  <c r="O2777" i="62" s="1"/>
  <c r="G2760" i="62"/>
  <c r="G2759" i="62"/>
  <c r="G2758" i="62"/>
  <c r="G2757" i="62"/>
  <c r="G2756" i="62"/>
  <c r="G2755" i="62"/>
  <c r="G2754" i="62"/>
  <c r="P2750" i="62"/>
  <c r="I2750" i="62" s="1"/>
  <c r="M2748" i="62"/>
  <c r="G2203" i="62"/>
  <c r="S2816" i="62" l="1"/>
  <c r="I2751" i="62"/>
  <c r="S2750" i="62"/>
  <c r="G2800" i="62"/>
  <c r="G2801" i="62"/>
  <c r="G2802" i="62"/>
  <c r="G2803" i="62"/>
  <c r="G2804" i="62"/>
  <c r="G2805" i="62"/>
  <c r="G2806" i="62"/>
  <c r="G2807" i="62"/>
  <c r="G2808" i="62"/>
  <c r="G2645" i="62"/>
  <c r="G2646" i="62"/>
  <c r="G2647" i="62"/>
  <c r="G2648" i="62"/>
  <c r="G2649" i="62"/>
  <c r="G2650" i="62"/>
  <c r="G2651" i="62"/>
  <c r="G2652" i="62"/>
  <c r="G2653" i="62"/>
  <c r="G2583" i="62"/>
  <c r="G2584" i="62"/>
  <c r="G2585" i="62"/>
  <c r="G2586" i="62"/>
  <c r="G2587" i="62"/>
  <c r="G2588" i="62"/>
  <c r="G2589" i="62"/>
  <c r="G2590" i="62"/>
  <c r="G2591" i="62"/>
  <c r="G2553" i="62"/>
  <c r="G2554" i="62"/>
  <c r="G2555" i="62"/>
  <c r="G2556" i="62"/>
  <c r="G2557" i="62"/>
  <c r="G2558" i="62"/>
  <c r="G2559" i="62"/>
  <c r="G2560" i="62"/>
  <c r="G2521" i="62"/>
  <c r="G2522" i="62"/>
  <c r="G2523" i="62"/>
  <c r="G2524" i="62"/>
  <c r="G2525" i="62"/>
  <c r="G2526" i="62"/>
  <c r="G2527" i="62"/>
  <c r="G2528" i="62"/>
  <c r="G2529" i="62"/>
  <c r="G2490" i="62"/>
  <c r="G2491" i="62"/>
  <c r="G2492" i="62"/>
  <c r="G2493" i="62"/>
  <c r="G2494" i="62"/>
  <c r="G2495" i="62"/>
  <c r="G2496" i="62"/>
  <c r="G2497" i="62"/>
  <c r="G2498" i="62"/>
  <c r="G2428" i="62"/>
  <c r="G2429" i="62"/>
  <c r="G2430" i="62"/>
  <c r="G2431" i="62"/>
  <c r="G2432" i="62"/>
  <c r="G2433" i="62"/>
  <c r="G2434" i="62"/>
  <c r="G2435" i="62"/>
  <c r="G2436" i="62"/>
  <c r="G2397" i="62"/>
  <c r="G2398" i="62"/>
  <c r="G2399" i="62"/>
  <c r="G2400" i="62"/>
  <c r="G2401" i="62"/>
  <c r="G2402" i="62"/>
  <c r="G2403" i="62"/>
  <c r="G2404" i="62"/>
  <c r="G2405" i="62"/>
  <c r="G2385" i="62"/>
  <c r="G2386" i="62"/>
  <c r="G2387" i="62"/>
  <c r="G2388" i="62"/>
  <c r="G2389" i="62"/>
  <c r="G2390" i="62"/>
  <c r="G2391" i="62"/>
  <c r="G2392" i="62"/>
  <c r="G2393" i="62"/>
  <c r="G2394" i="62"/>
  <c r="G2395" i="62"/>
  <c r="G2396" i="62"/>
  <c r="G2366" i="62"/>
  <c r="G2367" i="62"/>
  <c r="G2368" i="62"/>
  <c r="G2369" i="62"/>
  <c r="G2370" i="62"/>
  <c r="G2371" i="62"/>
  <c r="G2372" i="62"/>
  <c r="G2373" i="62"/>
  <c r="G2374" i="62"/>
  <c r="G2335" i="62"/>
  <c r="G2336" i="62"/>
  <c r="G2337" i="62"/>
  <c r="G2338" i="62"/>
  <c r="G2339" i="62"/>
  <c r="G2340" i="62"/>
  <c r="G2341" i="62"/>
  <c r="G2342" i="62"/>
  <c r="G2343" i="62"/>
  <c r="G2273" i="62"/>
  <c r="G2274" i="62"/>
  <c r="G2275" i="62"/>
  <c r="G2276" i="62"/>
  <c r="G2277" i="62"/>
  <c r="G2278" i="62"/>
  <c r="G2279" i="62"/>
  <c r="G2280" i="62"/>
  <c r="G2281" i="62"/>
  <c r="G2259" i="62"/>
  <c r="G2260" i="62"/>
  <c r="G2261" i="62"/>
  <c r="G2262" i="62"/>
  <c r="G2263" i="62"/>
  <c r="G2264" i="62"/>
  <c r="G2265" i="62"/>
  <c r="G2266" i="62"/>
  <c r="G2267" i="62"/>
  <c r="G2268" i="62"/>
  <c r="G2269" i="62"/>
  <c r="G2270" i="62"/>
  <c r="G2271" i="62"/>
  <c r="G2272" i="62"/>
  <c r="G2242" i="62"/>
  <c r="G2243" i="62"/>
  <c r="G2244" i="62"/>
  <c r="G2245" i="62"/>
  <c r="G2246" i="62"/>
  <c r="G2247" i="62"/>
  <c r="G2248" i="62"/>
  <c r="G2249" i="62"/>
  <c r="G2250" i="62"/>
  <c r="G2211" i="62"/>
  <c r="G2212" i="62"/>
  <c r="G2213" i="62"/>
  <c r="G2214" i="62"/>
  <c r="G2215" i="62"/>
  <c r="G2216" i="62"/>
  <c r="G2217" i="62"/>
  <c r="G2218" i="62"/>
  <c r="G2219" i="62"/>
  <c r="G2180" i="62"/>
  <c r="G2181" i="62"/>
  <c r="G2182" i="62"/>
  <c r="G2183" i="62"/>
  <c r="G2184" i="62"/>
  <c r="G2185" i="62"/>
  <c r="G2186" i="62"/>
  <c r="G2187" i="62"/>
  <c r="G2188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65" i="62"/>
  <c r="G2149" i="62"/>
  <c r="G2150" i="62"/>
  <c r="G2151" i="62"/>
  <c r="G2152" i="62"/>
  <c r="G2153" i="62"/>
  <c r="G2154" i="62"/>
  <c r="G2155" i="62"/>
  <c r="G2156" i="62"/>
  <c r="G2157" i="62"/>
  <c r="G2087" i="62"/>
  <c r="G2088" i="62"/>
  <c r="G2089" i="62"/>
  <c r="G2090" i="62"/>
  <c r="G2091" i="62"/>
  <c r="G2092" i="62"/>
  <c r="G2093" i="62"/>
  <c r="G2094" i="62"/>
  <c r="G2095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56" i="62"/>
  <c r="G2057" i="62"/>
  <c r="G2058" i="62"/>
  <c r="G2059" i="62"/>
  <c r="G2060" i="62"/>
  <c r="G2061" i="62"/>
  <c r="G2062" i="62"/>
  <c r="G2063" i="62"/>
  <c r="G2064" i="62"/>
  <c r="G2025" i="62"/>
  <c r="G2026" i="62"/>
  <c r="G2027" i="62"/>
  <c r="G2028" i="62"/>
  <c r="G2029" i="62"/>
  <c r="G2030" i="62"/>
  <c r="G2031" i="62"/>
  <c r="G2032" i="62"/>
  <c r="G2033" i="62"/>
  <c r="G1901" i="62"/>
  <c r="G1902" i="62"/>
  <c r="G1903" i="62"/>
  <c r="G1904" i="62"/>
  <c r="G1905" i="62"/>
  <c r="G1906" i="62"/>
  <c r="G1907" i="62"/>
  <c r="G1908" i="62"/>
  <c r="G1909" i="62"/>
  <c r="G1888" i="62"/>
  <c r="G1889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870" i="62"/>
  <c r="G1871" i="62"/>
  <c r="G1872" i="62"/>
  <c r="G1873" i="62"/>
  <c r="G1874" i="62"/>
  <c r="G1875" i="62"/>
  <c r="G1876" i="62"/>
  <c r="G1877" i="62"/>
  <c r="G1878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36" i="62"/>
  <c r="G1837" i="62"/>
  <c r="G1838" i="62"/>
  <c r="G1839" i="62"/>
  <c r="G1840" i="62"/>
  <c r="G1841" i="62"/>
  <c r="G1842" i="62"/>
  <c r="G1843" i="62"/>
  <c r="G1847" i="62"/>
  <c r="G1802" i="62"/>
  <c r="G1803" i="62"/>
  <c r="G1804" i="62"/>
  <c r="G1805" i="62"/>
  <c r="G1806" i="62"/>
  <c r="G1807" i="62"/>
  <c r="G1808" i="62"/>
  <c r="G1809" i="62"/>
  <c r="G1813" i="62"/>
  <c r="G1734" i="62"/>
  <c r="G1735" i="62"/>
  <c r="G1736" i="62"/>
  <c r="G1737" i="62"/>
  <c r="G1738" i="62"/>
  <c r="G1739" i="62"/>
  <c r="G1740" i="62"/>
  <c r="G1741" i="62"/>
  <c r="G1745" i="62"/>
  <c r="G1666" i="62"/>
  <c r="G1667" i="62"/>
  <c r="G1668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64" i="62"/>
  <c r="G1565" i="62"/>
  <c r="G1566" i="62"/>
  <c r="G1567" i="62"/>
  <c r="G1568" i="62"/>
  <c r="G1569" i="62"/>
  <c r="G1570" i="62"/>
  <c r="G1571" i="62"/>
  <c r="G1575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542" i="62"/>
  <c r="G543" i="62"/>
  <c r="G544" i="62"/>
  <c r="G545" i="62"/>
  <c r="G546" i="62"/>
  <c r="G547" i="62"/>
  <c r="G548" i="62"/>
  <c r="G552" i="62"/>
  <c r="G526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10" i="62"/>
  <c r="G2209" i="62"/>
  <c r="G2208" i="62"/>
  <c r="G2207" i="62"/>
  <c r="G2206" i="62"/>
  <c r="G2205" i="62"/>
  <c r="G2204" i="62"/>
  <c r="G2202" i="62"/>
  <c r="G2201" i="62"/>
  <c r="G2200" i="62"/>
  <c r="G2199" i="62"/>
  <c r="G2198" i="62"/>
  <c r="G2197" i="62"/>
  <c r="G219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944" i="62"/>
  <c r="I1975" i="62"/>
  <c r="I1976" i="62" s="1"/>
  <c r="I19" i="70" l="1"/>
  <c r="S2817" i="62"/>
  <c r="S2751" i="62"/>
  <c r="I2752" i="62"/>
  <c r="I22" i="71"/>
  <c r="S1975" i="62"/>
  <c r="I1977" i="62"/>
  <c r="I1978" i="62" s="1"/>
  <c r="S1976" i="62"/>
  <c r="I13" i="69"/>
  <c r="I12" i="69"/>
  <c r="I11" i="69"/>
  <c r="I10" i="69"/>
  <c r="I9" i="69"/>
  <c r="S2818" i="62" l="1"/>
  <c r="I2753" i="62"/>
  <c r="S2752" i="62"/>
  <c r="S1977" i="62"/>
  <c r="I17" i="69"/>
  <c r="I1979" i="62"/>
  <c r="S1978" i="62"/>
  <c r="G2148" i="62"/>
  <c r="G2055" i="62"/>
  <c r="G710" i="62"/>
  <c r="G1529" i="62"/>
  <c r="G1563" i="62"/>
  <c r="G1835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799" i="62"/>
  <c r="G2798" i="62"/>
  <c r="G2797" i="62"/>
  <c r="G2796" i="62"/>
  <c r="G2795" i="62"/>
  <c r="G2794" i="62"/>
  <c r="G2793" i="62"/>
  <c r="G2792" i="62"/>
  <c r="O2791" i="62"/>
  <c r="O2792" i="62" s="1"/>
  <c r="O2793" i="62" s="1"/>
  <c r="O2794" i="62" s="1"/>
  <c r="O2795" i="62" s="1"/>
  <c r="O2796" i="62" s="1"/>
  <c r="O2797" i="62" s="1"/>
  <c r="O2798" i="62" s="1"/>
  <c r="O2799" i="62" s="1"/>
  <c r="O2800" i="62" s="1"/>
  <c r="O2801" i="62" s="1"/>
  <c r="O2802" i="62" s="1"/>
  <c r="O2803" i="62" s="1"/>
  <c r="O2804" i="62" s="1"/>
  <c r="O2805" i="62" s="1"/>
  <c r="O2806" i="62" s="1"/>
  <c r="O2807" i="62" s="1"/>
  <c r="O2808" i="62" s="1"/>
  <c r="G2791" i="62"/>
  <c r="G2790" i="62"/>
  <c r="G2789" i="62"/>
  <c r="G2788" i="62"/>
  <c r="G2787" i="62"/>
  <c r="G2786" i="62"/>
  <c r="G2785" i="62"/>
  <c r="P2781" i="62"/>
  <c r="I2781" i="62" s="1"/>
  <c r="S2781" i="62" s="1"/>
  <c r="M2779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S2819" i="62" l="1"/>
  <c r="I2754" i="62"/>
  <c r="S2753" i="62"/>
  <c r="I1980" i="62"/>
  <c r="S1979" i="62"/>
  <c r="I2782" i="62"/>
  <c r="S2782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650" i="62" s="1"/>
  <c r="D2712" i="62" s="1"/>
  <c r="D277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649" i="62" s="1"/>
  <c r="D2711" i="62" s="1"/>
  <c r="D277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648" i="62" s="1"/>
  <c r="D2710" i="62" s="1"/>
  <c r="D277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647" i="62" s="1"/>
  <c r="D2709" i="62" s="1"/>
  <c r="D277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646" i="62" s="1"/>
  <c r="D2708" i="62" s="1"/>
  <c r="D277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645" i="62" s="1"/>
  <c r="D2707" i="62" s="1"/>
  <c r="D2769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644" i="62" s="1"/>
  <c r="D2706" i="62" s="1"/>
  <c r="D2768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643" i="62" s="1"/>
  <c r="D2705" i="62" s="1"/>
  <c r="D2767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2642" i="62" s="1"/>
  <c r="D2704" i="62" s="1"/>
  <c r="D2766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897" i="62" s="1"/>
  <c r="D1959" i="62" s="1"/>
  <c r="D2021" i="62" s="1"/>
  <c r="D2083" i="62" s="1"/>
  <c r="D2145" i="62" s="1"/>
  <c r="D2207" i="62" s="1"/>
  <c r="D2269" i="62" s="1"/>
  <c r="D2331" i="62" s="1"/>
  <c r="D2393" i="62" s="1"/>
  <c r="D2455" i="62" s="1"/>
  <c r="D2517" i="62" s="1"/>
  <c r="D2579" i="62" s="1"/>
  <c r="D2641" i="62" s="1"/>
  <c r="D2703" i="62" s="1"/>
  <c r="D2765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6" i="62" s="1"/>
  <c r="D1958" i="62" s="1"/>
  <c r="D2020" i="62" s="1"/>
  <c r="D2082" i="62" s="1"/>
  <c r="D2144" i="62" s="1"/>
  <c r="D2206" i="62" s="1"/>
  <c r="D2268" i="62" s="1"/>
  <c r="D2330" i="62" s="1"/>
  <c r="D2392" i="62" s="1"/>
  <c r="D2454" i="62" s="1"/>
  <c r="D2516" i="62" s="1"/>
  <c r="D2578" i="62" s="1"/>
  <c r="D2640" i="62" s="1"/>
  <c r="D2702" i="62" s="1"/>
  <c r="D2764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5" i="62" s="1"/>
  <c r="D1957" i="62" s="1"/>
  <c r="D2019" i="62" s="1"/>
  <c r="D2081" i="62" s="1"/>
  <c r="D2143" i="62" s="1"/>
  <c r="D2205" i="62" s="1"/>
  <c r="D2267" i="62" s="1"/>
  <c r="D2329" i="62" s="1"/>
  <c r="D2391" i="62" s="1"/>
  <c r="D2453" i="62" s="1"/>
  <c r="D2515" i="62" s="1"/>
  <c r="D2577" i="62" s="1"/>
  <c r="D2639" i="62" s="1"/>
  <c r="D2701" i="62" s="1"/>
  <c r="D2763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38" i="62" s="1"/>
  <c r="D2700" i="62" s="1"/>
  <c r="D2762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37" i="62" s="1"/>
  <c r="D2699" i="62" s="1"/>
  <c r="D2761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36" i="62" s="1"/>
  <c r="D2698" i="62" s="1"/>
  <c r="D2760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35" i="62" s="1"/>
  <c r="D2697" i="62" s="1"/>
  <c r="D2759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34" i="62" s="1"/>
  <c r="D2696" i="62" s="1"/>
  <c r="D2758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33" i="62" s="1"/>
  <c r="D2695" i="62" s="1"/>
  <c r="D2757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32" i="62" s="1"/>
  <c r="D2694" i="62" s="1"/>
  <c r="D2756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31" i="62" s="1"/>
  <c r="D2693" i="62" s="1"/>
  <c r="D2755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30" i="62" s="1"/>
  <c r="D2692" i="62" s="1"/>
  <c r="D2754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29" i="62" s="1"/>
  <c r="D2691" i="62" s="1"/>
  <c r="D2753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28" i="62" s="1"/>
  <c r="D2690" i="62" s="1"/>
  <c r="D2752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27" i="62" s="1"/>
  <c r="D2689" i="62" s="1"/>
  <c r="D2751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26" i="62" s="1"/>
  <c r="D2688" i="62" s="1"/>
  <c r="D2750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657" i="62" s="1"/>
  <c r="D2719" i="62" s="1"/>
  <c r="D2812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22" i="62" s="1"/>
  <c r="D2684" i="62" s="1"/>
  <c r="D2746" i="62" s="1"/>
  <c r="D2839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20" i="62" s="1"/>
  <c r="D2682" i="62" s="1"/>
  <c r="D2744" i="62" s="1"/>
  <c r="D2837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19" i="62" s="1"/>
  <c r="D2681" i="62" s="1"/>
  <c r="D2743" i="62" s="1"/>
  <c r="D2836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18" i="62" s="1"/>
  <c r="D2680" i="62" s="1"/>
  <c r="D2742" i="62" s="1"/>
  <c r="D2835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17" i="62" s="1"/>
  <c r="D2679" i="62" s="1"/>
  <c r="D2741" i="62" s="1"/>
  <c r="D2834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16" i="62" s="1"/>
  <c r="D2678" i="62" s="1"/>
  <c r="D2740" i="62" s="1"/>
  <c r="D2833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15" i="62" s="1"/>
  <c r="D2677" i="62" s="1"/>
  <c r="D2739" i="62" s="1"/>
  <c r="D2832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14" i="62" s="1"/>
  <c r="D2676" i="62" s="1"/>
  <c r="D2738" i="62" s="1"/>
  <c r="D2831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13" i="62" s="1"/>
  <c r="D2675" i="62" s="1"/>
  <c r="D2737" i="62" s="1"/>
  <c r="D2830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12" i="62" s="1"/>
  <c r="D2674" i="62" s="1"/>
  <c r="D2736" i="62" s="1"/>
  <c r="D2829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11" i="62" s="1"/>
  <c r="D2673" i="62" s="1"/>
  <c r="D2735" i="62" s="1"/>
  <c r="D2828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28" i="62" s="1"/>
  <c r="D1990" i="62" s="1"/>
  <c r="D2052" i="62" s="1"/>
  <c r="D2114" i="62" s="1"/>
  <c r="D2176" i="62" s="1"/>
  <c r="D2238" i="62" s="1"/>
  <c r="D2300" i="62" s="1"/>
  <c r="D2362" i="62" s="1"/>
  <c r="D2424" i="62" s="1"/>
  <c r="D2486" i="62" s="1"/>
  <c r="D2548" i="62" s="1"/>
  <c r="D2610" i="62" s="1"/>
  <c r="D2672" i="62" s="1"/>
  <c r="D2734" i="62" s="1"/>
  <c r="D2827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27" i="62" s="1"/>
  <c r="D1989" i="62" s="1"/>
  <c r="D2051" i="62" s="1"/>
  <c r="D2113" i="62" s="1"/>
  <c r="D2175" i="62" s="1"/>
  <c r="D2237" i="62" s="1"/>
  <c r="D2299" i="62" s="1"/>
  <c r="D2361" i="62" s="1"/>
  <c r="D2423" i="62" s="1"/>
  <c r="D2485" i="62" s="1"/>
  <c r="D2547" i="62" s="1"/>
  <c r="D2609" i="62" s="1"/>
  <c r="D2671" i="62" s="1"/>
  <c r="D2733" i="62" s="1"/>
  <c r="D2826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26" i="62" s="1"/>
  <c r="D1988" i="62" s="1"/>
  <c r="D2050" i="62" s="1"/>
  <c r="D2112" i="62" s="1"/>
  <c r="D2174" i="62" s="1"/>
  <c r="D2236" i="62" s="1"/>
  <c r="D2298" i="62" s="1"/>
  <c r="D2360" i="62" s="1"/>
  <c r="D2422" i="62" s="1"/>
  <c r="D2484" i="62" s="1"/>
  <c r="D2546" i="62" s="1"/>
  <c r="D2608" i="62" s="1"/>
  <c r="D2670" i="62" s="1"/>
  <c r="D2732" i="62" s="1"/>
  <c r="D2825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669" i="62" s="1"/>
  <c r="D2731" i="62" s="1"/>
  <c r="D2824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668" i="62" s="1"/>
  <c r="D2730" i="62" s="1"/>
  <c r="D2823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667" i="62" s="1"/>
  <c r="D2729" i="62" s="1"/>
  <c r="D2822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666" i="62" s="1"/>
  <c r="D2728" i="62" s="1"/>
  <c r="D2821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665" i="62" s="1"/>
  <c r="D2727" i="62" s="1"/>
  <c r="D2820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664" i="62" s="1"/>
  <c r="D2726" i="62" s="1"/>
  <c r="D2819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663" i="62" s="1"/>
  <c r="D2725" i="62" s="1"/>
  <c r="D2818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662" i="62" s="1"/>
  <c r="D2724" i="62" s="1"/>
  <c r="D2817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661" i="62" s="1"/>
  <c r="D2723" i="62" s="1"/>
  <c r="D2816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660" i="62" s="1"/>
  <c r="D2722" i="62" s="1"/>
  <c r="D2815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659" i="62" s="1"/>
  <c r="D2721" i="62" s="1"/>
  <c r="D2814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658" i="62" s="1"/>
  <c r="D2720" i="62" s="1"/>
  <c r="D2813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D888" i="62" l="1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651" i="62" s="1"/>
  <c r="D2713" i="62" s="1"/>
  <c r="D2775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653" i="62" s="1"/>
  <c r="D2715" i="62" s="1"/>
  <c r="D277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21" i="62" s="1"/>
  <c r="D2683" i="62" s="1"/>
  <c r="D2745" i="62" s="1"/>
  <c r="D2838" i="62" s="1"/>
  <c r="D239" i="62"/>
  <c r="D309" i="62" s="1"/>
  <c r="S2820" i="62"/>
  <c r="I2755" i="62"/>
  <c r="S2754" i="62"/>
  <c r="D2791" i="62"/>
  <c r="D2803" i="62"/>
  <c r="D2784" i="62"/>
  <c r="D2788" i="62"/>
  <c r="D2792" i="62"/>
  <c r="D2796" i="62"/>
  <c r="D2800" i="62"/>
  <c r="D2804" i="62"/>
  <c r="D2783" i="62"/>
  <c r="D2795" i="62"/>
  <c r="D2781" i="62"/>
  <c r="D2785" i="62"/>
  <c r="D2789" i="62"/>
  <c r="D2793" i="62"/>
  <c r="D2797" i="62"/>
  <c r="D2801" i="62"/>
  <c r="D2805" i="62"/>
  <c r="D2787" i="62"/>
  <c r="D2799" i="62"/>
  <c r="D2782" i="62"/>
  <c r="D2786" i="62"/>
  <c r="D2790" i="62"/>
  <c r="D2794" i="62"/>
  <c r="D2798" i="62"/>
  <c r="D2802" i="62"/>
  <c r="I1981" i="62"/>
  <c r="S1980" i="62"/>
  <c r="I2783" i="62"/>
  <c r="S278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D2806" i="62" l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652" i="62" s="1"/>
  <c r="D2714" i="62" s="1"/>
  <c r="D2776" i="62" s="1"/>
  <c r="D891" i="62"/>
  <c r="D2808" i="62"/>
  <c r="S2821" i="62"/>
  <c r="I2756" i="62"/>
  <c r="S2755" i="62"/>
  <c r="I19" i="65"/>
  <c r="I1982" i="62"/>
  <c r="S1981" i="62"/>
  <c r="I2784" i="62"/>
  <c r="S278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G2738" i="62"/>
  <c r="C2738" i="62"/>
  <c r="G2737" i="62"/>
  <c r="C2737" i="62"/>
  <c r="G2736" i="62"/>
  <c r="C2736" i="62"/>
  <c r="G2735" i="62"/>
  <c r="C2735" i="62"/>
  <c r="G2734" i="62"/>
  <c r="C2734" i="62"/>
  <c r="G2733" i="62"/>
  <c r="C2733" i="62"/>
  <c r="G2732" i="62"/>
  <c r="C2732" i="62"/>
  <c r="G2731" i="62"/>
  <c r="C2731" i="62"/>
  <c r="G2730" i="62"/>
  <c r="C2730" i="62"/>
  <c r="G2729" i="62"/>
  <c r="C2729" i="62"/>
  <c r="G2728" i="62"/>
  <c r="C2728" i="62"/>
  <c r="G2727" i="62"/>
  <c r="C2727" i="62"/>
  <c r="G2726" i="62"/>
  <c r="C2726" i="62"/>
  <c r="G2725" i="62"/>
  <c r="C2725" i="62"/>
  <c r="G2724" i="62"/>
  <c r="C2724" i="62"/>
  <c r="G2723" i="62"/>
  <c r="C2723" i="62"/>
  <c r="G2722" i="62"/>
  <c r="C2722" i="62"/>
  <c r="G2721" i="62"/>
  <c r="C2721" i="62"/>
  <c r="O2729" i="62"/>
  <c r="O2730" i="62" s="1"/>
  <c r="O2731" i="62" s="1"/>
  <c r="O2732" i="62" s="1"/>
  <c r="O2733" i="62" s="1"/>
  <c r="O2734" i="62" s="1"/>
  <c r="O2735" i="62" s="1"/>
  <c r="O2736" i="62" s="1"/>
  <c r="O2737" i="62" s="1"/>
  <c r="O2738" i="62" s="1"/>
  <c r="O2739" i="62" s="1"/>
  <c r="O2740" i="62" s="1"/>
  <c r="O2741" i="62" s="1"/>
  <c r="O2742" i="62" s="1"/>
  <c r="O2743" i="62" s="1"/>
  <c r="O2744" i="62" s="1"/>
  <c r="O2745" i="62" s="1"/>
  <c r="O2746" i="62" s="1"/>
  <c r="G2720" i="62"/>
  <c r="C2720" i="62"/>
  <c r="P2719" i="62"/>
  <c r="I2719" i="62" s="1"/>
  <c r="G2719" i="62"/>
  <c r="C2719" i="62"/>
  <c r="M2717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G2706" i="62"/>
  <c r="C2706" i="62"/>
  <c r="G2705" i="62"/>
  <c r="C2705" i="62"/>
  <c r="G2704" i="62"/>
  <c r="C2704" i="62"/>
  <c r="G2703" i="62"/>
  <c r="C2703" i="62"/>
  <c r="G2702" i="62"/>
  <c r="C2702" i="62"/>
  <c r="G2701" i="62"/>
  <c r="C2701" i="62"/>
  <c r="G2700" i="62"/>
  <c r="C2700" i="62"/>
  <c r="G2699" i="62"/>
  <c r="C2699" i="62"/>
  <c r="G2698" i="62"/>
  <c r="C2698" i="62"/>
  <c r="G2697" i="62"/>
  <c r="C2697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O2704" i="62"/>
  <c r="O2705" i="62" s="1"/>
  <c r="O2706" i="62" s="1"/>
  <c r="O2707" i="62" s="1"/>
  <c r="O2708" i="62" s="1"/>
  <c r="O2709" i="62" s="1"/>
  <c r="O2710" i="62" s="1"/>
  <c r="O2711" i="62" s="1"/>
  <c r="O2712" i="62" s="1"/>
  <c r="O2713" i="62" s="1"/>
  <c r="O2714" i="62" s="1"/>
  <c r="O2715" i="62" s="1"/>
  <c r="G2689" i="62"/>
  <c r="C2689" i="62"/>
  <c r="I2688" i="62"/>
  <c r="I2689" i="62" s="1"/>
  <c r="G2688" i="62"/>
  <c r="C2688" i="62"/>
  <c r="M2686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G2670" i="62"/>
  <c r="C2670" i="62"/>
  <c r="G2669" i="62"/>
  <c r="C2669" i="62"/>
  <c r="G2668" i="62"/>
  <c r="C2668" i="62"/>
  <c r="G2667" i="62"/>
  <c r="C2667" i="62"/>
  <c r="G2666" i="62"/>
  <c r="C2666" i="62"/>
  <c r="G2665" i="62"/>
  <c r="C2665" i="62"/>
  <c r="G2664" i="62"/>
  <c r="C2664" i="62"/>
  <c r="G2663" i="62"/>
  <c r="C2663" i="62"/>
  <c r="G2662" i="62"/>
  <c r="C2662" i="62"/>
  <c r="G2661" i="62"/>
  <c r="C2661" i="62"/>
  <c r="G2660" i="62"/>
  <c r="C2660" i="62"/>
  <c r="G2659" i="62"/>
  <c r="C2659" i="62"/>
  <c r="O2663" i="62"/>
  <c r="O2664" i="62" s="1"/>
  <c r="O2665" i="62" s="1"/>
  <c r="O2666" i="62" s="1"/>
  <c r="O2667" i="62" s="1"/>
  <c r="O2668" i="62" s="1"/>
  <c r="O2669" i="62" s="1"/>
  <c r="O2670" i="62" s="1"/>
  <c r="O2671" i="62" s="1"/>
  <c r="O2672" i="62" s="1"/>
  <c r="O2673" i="62" s="1"/>
  <c r="O2674" i="62" s="1"/>
  <c r="O2675" i="62" s="1"/>
  <c r="O2676" i="62" s="1"/>
  <c r="O2677" i="62" s="1"/>
  <c r="O2678" i="62" s="1"/>
  <c r="O2679" i="62" s="1"/>
  <c r="O2680" i="62" s="1"/>
  <c r="O2681" i="62" s="1"/>
  <c r="O2682" i="62" s="1"/>
  <c r="O2683" i="62" s="1"/>
  <c r="O2684" i="62" s="1"/>
  <c r="G2658" i="62"/>
  <c r="C2658" i="62"/>
  <c r="P2657" i="62"/>
  <c r="I2657" i="62" s="1"/>
  <c r="G2657" i="62"/>
  <c r="C2657" i="62"/>
  <c r="M2655" i="62"/>
  <c r="C2653" i="62"/>
  <c r="C2652" i="62"/>
  <c r="C2651" i="62"/>
  <c r="C2650" i="62"/>
  <c r="C2649" i="62"/>
  <c r="C2648" i="62"/>
  <c r="C2647" i="62"/>
  <c r="C2646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G2638" i="62"/>
  <c r="C2638" i="62"/>
  <c r="G2637" i="62"/>
  <c r="C2637" i="62"/>
  <c r="G2636" i="62"/>
  <c r="C2636" i="62"/>
  <c r="G2635" i="62"/>
  <c r="C2635" i="62"/>
  <c r="G2634" i="62"/>
  <c r="C2634" i="62"/>
  <c r="G2633" i="62"/>
  <c r="C2633" i="62"/>
  <c r="G2632" i="62"/>
  <c r="C2632" i="62"/>
  <c r="G2631" i="62"/>
  <c r="C2631" i="62"/>
  <c r="G2630" i="62"/>
  <c r="C2630" i="62"/>
  <c r="C2629" i="62"/>
  <c r="C2628" i="62"/>
  <c r="O2636" i="62"/>
  <c r="O2637" i="62" s="1"/>
  <c r="O2638" i="62" s="1"/>
  <c r="O2639" i="62" s="1"/>
  <c r="O2640" i="62" s="1"/>
  <c r="O2641" i="62" s="1"/>
  <c r="O2642" i="62" s="1"/>
  <c r="O2643" i="62" s="1"/>
  <c r="O2644" i="62" s="1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C2627" i="62"/>
  <c r="I2626" i="62"/>
  <c r="S2626" i="62" s="1"/>
  <c r="C2626" i="62"/>
  <c r="M2624" i="62"/>
  <c r="G2622" i="62"/>
  <c r="C2622" i="62"/>
  <c r="G2621" i="62"/>
  <c r="C2621" i="62"/>
  <c r="G2620" i="62"/>
  <c r="C2620" i="62"/>
  <c r="G2619" i="62"/>
  <c r="C2619" i="62"/>
  <c r="G2618" i="62"/>
  <c r="C2618" i="62"/>
  <c r="G2617" i="62"/>
  <c r="C2617" i="62"/>
  <c r="G2616" i="62"/>
  <c r="C2616" i="62"/>
  <c r="G2615" i="62"/>
  <c r="C2615" i="62"/>
  <c r="G2614" i="62"/>
  <c r="C2614" i="62"/>
  <c r="G2613" i="62"/>
  <c r="C2613" i="62"/>
  <c r="G2612" i="62"/>
  <c r="C2612" i="62"/>
  <c r="G2611" i="62"/>
  <c r="C2611" i="62"/>
  <c r="G2610" i="62"/>
  <c r="C2610" i="62"/>
  <c r="G2609" i="62"/>
  <c r="C2609" i="62"/>
  <c r="G2608" i="62"/>
  <c r="C2608" i="62"/>
  <c r="G2607" i="62"/>
  <c r="C2607" i="62"/>
  <c r="G2606" i="62"/>
  <c r="C2606" i="62"/>
  <c r="G2605" i="62"/>
  <c r="C2605" i="62"/>
  <c r="G2604" i="62"/>
  <c r="C2604" i="62"/>
  <c r="G2603" i="62"/>
  <c r="C2603" i="62"/>
  <c r="G2602" i="62"/>
  <c r="C2602" i="62"/>
  <c r="G2601" i="62"/>
  <c r="C2601" i="62"/>
  <c r="G2600" i="62"/>
  <c r="C2600" i="62"/>
  <c r="G2599" i="62"/>
  <c r="C2599" i="62"/>
  <c r="G2598" i="62"/>
  <c r="C2598" i="62"/>
  <c r="G2597" i="62"/>
  <c r="C2597" i="62"/>
  <c r="O2596" i="62"/>
  <c r="O2597" i="62" s="1"/>
  <c r="G2596" i="62"/>
  <c r="C2596" i="62"/>
  <c r="G2595" i="62"/>
  <c r="P2595" i="62" s="1"/>
  <c r="C2595" i="62"/>
  <c r="M2593" i="62"/>
  <c r="C2591" i="62"/>
  <c r="C2590" i="62"/>
  <c r="C2589" i="62"/>
  <c r="C2588" i="62"/>
  <c r="C2587" i="62"/>
  <c r="C2586" i="62"/>
  <c r="C2585" i="62"/>
  <c r="C2584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C2567" i="62"/>
  <c r="C2566" i="62"/>
  <c r="O2573" i="62"/>
  <c r="O2574" i="62" s="1"/>
  <c r="O2575" i="62" s="1"/>
  <c r="O2576" i="62" s="1"/>
  <c r="O2577" i="62" s="1"/>
  <c r="O2578" i="62" s="1"/>
  <c r="O2579" i="62" s="1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C2565" i="62"/>
  <c r="I2564" i="62"/>
  <c r="C2564" i="62"/>
  <c r="M2562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C2536" i="62"/>
  <c r="O2544" i="62"/>
  <c r="O2545" i="62" s="1"/>
  <c r="O2546" i="62" s="1"/>
  <c r="O2547" i="62" s="1"/>
  <c r="O2548" i="62" s="1"/>
  <c r="O2549" i="62" s="1"/>
  <c r="O2550" i="62" s="1"/>
  <c r="O2551" i="62" s="1"/>
  <c r="O2552" i="62" s="1"/>
  <c r="O2553" i="62" s="1"/>
  <c r="O2554" i="62" s="1"/>
  <c r="O2555" i="62" s="1"/>
  <c r="O2556" i="62" s="1"/>
  <c r="O2557" i="62" s="1"/>
  <c r="O2558" i="62" s="1"/>
  <c r="O2559" i="62" s="1"/>
  <c r="O2560" i="62" s="1"/>
  <c r="C2535" i="62"/>
  <c r="C2534" i="62"/>
  <c r="I2533" i="62"/>
  <c r="C2533" i="62"/>
  <c r="M2531" i="62"/>
  <c r="C2529" i="62"/>
  <c r="C2528" i="62"/>
  <c r="C2527" i="62"/>
  <c r="C2526" i="62"/>
  <c r="C2525" i="62"/>
  <c r="C2524" i="62"/>
  <c r="C2523" i="62"/>
  <c r="C2522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O2514" i="62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O2524" i="62" s="1"/>
  <c r="O2525" i="62" s="1"/>
  <c r="O2526" i="62" s="1"/>
  <c r="O2527" i="62" s="1"/>
  <c r="O2528" i="62" s="1"/>
  <c r="O2529" i="62" s="1"/>
  <c r="G2510" i="62"/>
  <c r="C2510" i="62"/>
  <c r="G2509" i="62"/>
  <c r="C2509" i="62"/>
  <c r="G2508" i="62"/>
  <c r="C2508" i="62"/>
  <c r="G2507" i="62"/>
  <c r="C2507" i="62"/>
  <c r="G2506" i="62"/>
  <c r="C2506" i="62"/>
  <c r="C2505" i="62"/>
  <c r="C2504" i="62"/>
  <c r="C2503" i="62"/>
  <c r="I2502" i="62"/>
  <c r="I2503" i="62" s="1"/>
  <c r="I2504" i="62" s="1"/>
  <c r="I2505" i="62" s="1"/>
  <c r="I2506" i="62" s="1"/>
  <c r="I2507" i="62" s="1"/>
  <c r="I2508" i="62" s="1"/>
  <c r="I2509" i="62" s="1"/>
  <c r="I2510" i="62" s="1"/>
  <c r="I2511" i="62" s="1"/>
  <c r="I2512" i="62" s="1"/>
  <c r="I2513" i="62" s="1"/>
  <c r="I2514" i="62" s="1"/>
  <c r="I2515" i="62" s="1"/>
  <c r="I2516" i="62" s="1"/>
  <c r="I2517" i="62" s="1"/>
  <c r="I2518" i="62" s="1"/>
  <c r="I2519" i="62" s="1"/>
  <c r="I2520" i="62" s="1"/>
  <c r="I2521" i="62" s="1"/>
  <c r="C2502" i="62"/>
  <c r="M2500" i="62"/>
  <c r="C2498" i="62"/>
  <c r="C2497" i="62"/>
  <c r="C2496" i="62"/>
  <c r="C2495" i="62"/>
  <c r="C2494" i="62"/>
  <c r="C2493" i="62"/>
  <c r="C2492" i="62"/>
  <c r="C2491" i="62"/>
  <c r="C2490" i="62"/>
  <c r="G2489" i="62"/>
  <c r="C2489" i="62"/>
  <c r="G2488" i="62"/>
  <c r="C2488" i="62"/>
  <c r="G2487" i="62"/>
  <c r="C2487" i="62"/>
  <c r="G2486" i="62"/>
  <c r="C2486" i="62"/>
  <c r="G2485" i="62"/>
  <c r="C2485" i="62"/>
  <c r="G2484" i="62"/>
  <c r="C2484" i="62"/>
  <c r="G2483" i="62"/>
  <c r="C2483" i="62"/>
  <c r="G2482" i="62"/>
  <c r="C2482" i="62"/>
  <c r="G2481" i="62"/>
  <c r="C2481" i="62"/>
  <c r="G2480" i="62"/>
  <c r="C2480" i="62"/>
  <c r="G2479" i="62"/>
  <c r="C2479" i="62"/>
  <c r="G2478" i="62"/>
  <c r="C2478" i="62"/>
  <c r="G2477" i="62"/>
  <c r="C2477" i="62"/>
  <c r="G2476" i="62"/>
  <c r="C2476" i="62"/>
  <c r="O2490" i="62"/>
  <c r="O2491" i="62" s="1"/>
  <c r="O2492" i="62" s="1"/>
  <c r="O2493" i="62" s="1"/>
  <c r="O2494" i="62" s="1"/>
  <c r="O2495" i="62" s="1"/>
  <c r="O2496" i="62" s="1"/>
  <c r="O2497" i="62" s="1"/>
  <c r="O2498" i="62" s="1"/>
  <c r="G2475" i="62"/>
  <c r="C2475" i="62"/>
  <c r="C2474" i="62"/>
  <c r="C2473" i="62"/>
  <c r="C2472" i="62"/>
  <c r="I2471" i="62"/>
  <c r="I2472" i="62" s="1"/>
  <c r="I2473" i="62" s="1"/>
  <c r="I2474" i="62" s="1"/>
  <c r="C2471" i="62"/>
  <c r="M2469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G2459" i="62"/>
  <c r="C2459" i="62"/>
  <c r="G2458" i="62"/>
  <c r="C2458" i="62"/>
  <c r="G2457" i="62"/>
  <c r="C2457" i="62"/>
  <c r="G2456" i="62"/>
  <c r="C2456" i="62"/>
  <c r="G2455" i="62"/>
  <c r="C2455" i="62"/>
  <c r="G2454" i="62"/>
  <c r="C2454" i="62"/>
  <c r="G2453" i="62"/>
  <c r="C2453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O2449" i="62"/>
  <c r="O2450" i="62" s="1"/>
  <c r="O2451" i="62" s="1"/>
  <c r="O2452" i="62" s="1"/>
  <c r="O2453" i="62" s="1"/>
  <c r="O2454" i="62" s="1"/>
  <c r="O2455" i="62" s="1"/>
  <c r="O2456" i="62" s="1"/>
  <c r="O2457" i="62" s="1"/>
  <c r="O2458" i="62" s="1"/>
  <c r="O2459" i="62" s="1"/>
  <c r="O2460" i="62" s="1"/>
  <c r="O2461" i="62" s="1"/>
  <c r="O2462" i="62" s="1"/>
  <c r="O2463" i="62" s="1"/>
  <c r="O2464" i="62" s="1"/>
  <c r="O2465" i="62" s="1"/>
  <c r="O2466" i="62" s="1"/>
  <c r="O2467" i="62" s="1"/>
  <c r="G2441" i="62"/>
  <c r="C2441" i="62"/>
  <c r="I2440" i="62"/>
  <c r="G2440" i="62"/>
  <c r="C2440" i="62"/>
  <c r="M2438" i="62"/>
  <c r="C2436" i="62"/>
  <c r="C2435" i="62"/>
  <c r="C2434" i="62"/>
  <c r="C2433" i="62"/>
  <c r="C2432" i="62"/>
  <c r="C2431" i="62"/>
  <c r="C2430" i="62"/>
  <c r="C2429" i="62"/>
  <c r="C2428" i="62"/>
  <c r="G2427" i="62"/>
  <c r="C2427" i="62"/>
  <c r="G2426" i="62"/>
  <c r="C2426" i="62"/>
  <c r="G2425" i="62"/>
  <c r="C2425" i="62"/>
  <c r="G2424" i="62"/>
  <c r="C2424" i="62"/>
  <c r="G2423" i="62"/>
  <c r="C2423" i="62"/>
  <c r="G2422" i="62"/>
  <c r="C2422" i="62"/>
  <c r="G2421" i="62"/>
  <c r="C2421" i="62"/>
  <c r="G2420" i="62"/>
  <c r="C2420" i="62"/>
  <c r="G2419" i="62"/>
  <c r="C2419" i="62"/>
  <c r="G2418" i="62"/>
  <c r="C2418" i="62"/>
  <c r="G2417" i="62"/>
  <c r="C2417" i="62"/>
  <c r="G2416" i="62"/>
  <c r="C2416" i="62"/>
  <c r="G2415" i="62"/>
  <c r="C2415" i="62"/>
  <c r="G2414" i="62"/>
  <c r="C2414" i="62"/>
  <c r="G2413" i="62"/>
  <c r="C2413" i="62"/>
  <c r="C2412" i="62"/>
  <c r="O2417" i="62"/>
  <c r="O2418" i="62" s="1"/>
  <c r="O2419" i="62" s="1"/>
  <c r="O2420" i="62" s="1"/>
  <c r="O2421" i="62" s="1"/>
  <c r="O2422" i="62" s="1"/>
  <c r="O2423" i="62" s="1"/>
  <c r="O2424" i="62" s="1"/>
  <c r="O2425" i="62" s="1"/>
  <c r="O2426" i="62" s="1"/>
  <c r="O2427" i="62" s="1"/>
  <c r="O2428" i="62" s="1"/>
  <c r="O2429" i="62" s="1"/>
  <c r="O2430" i="62" s="1"/>
  <c r="O2431" i="62" s="1"/>
  <c r="O2432" i="62" s="1"/>
  <c r="O2433" i="62" s="1"/>
  <c r="O2434" i="62" s="1"/>
  <c r="O2435" i="62" s="1"/>
  <c r="O2436" i="62" s="1"/>
  <c r="C2411" i="62"/>
  <c r="C2410" i="62"/>
  <c r="I2409" i="62"/>
  <c r="I2410" i="62" s="1"/>
  <c r="C2409" i="62"/>
  <c r="M2407" i="62"/>
  <c r="C2405" i="62"/>
  <c r="C2404" i="62"/>
  <c r="C2403" i="62"/>
  <c r="C2402" i="62"/>
  <c r="C2401" i="62"/>
  <c r="C2400" i="62"/>
  <c r="C2399" i="62"/>
  <c r="C2398" i="62"/>
  <c r="C2397" i="62"/>
  <c r="C2396" i="62"/>
  <c r="C2395" i="62"/>
  <c r="C2394" i="62"/>
  <c r="C2393" i="62"/>
  <c r="C2392" i="62"/>
  <c r="C2391" i="62"/>
  <c r="C2390" i="62"/>
  <c r="C2389" i="62"/>
  <c r="C2388" i="62"/>
  <c r="C2387" i="62"/>
  <c r="C2386" i="62"/>
  <c r="C2385" i="62"/>
  <c r="G2384" i="62"/>
  <c r="C2384" i="62"/>
  <c r="G2383" i="62"/>
  <c r="C2383" i="62"/>
  <c r="G2382" i="62"/>
  <c r="C2382" i="62"/>
  <c r="O2384" i="62"/>
  <c r="O2385" i="62" s="1"/>
  <c r="O2386" i="62" s="1"/>
  <c r="O2387" i="62" s="1"/>
  <c r="O2388" i="62" s="1"/>
  <c r="O2389" i="62" s="1"/>
  <c r="O2390" i="62" s="1"/>
  <c r="O2391" i="62" s="1"/>
  <c r="O2392" i="62" s="1"/>
  <c r="O2393" i="62" s="1"/>
  <c r="O2394" i="62" s="1"/>
  <c r="O2395" i="62" s="1"/>
  <c r="O2396" i="62" s="1"/>
  <c r="O2397" i="62" s="1"/>
  <c r="O2398" i="62" s="1"/>
  <c r="O2399" i="62" s="1"/>
  <c r="O2400" i="62" s="1"/>
  <c r="O2401" i="62" s="1"/>
  <c r="O2402" i="62" s="1"/>
  <c r="O2403" i="62" s="1"/>
  <c r="O2404" i="62" s="1"/>
  <c r="O2405" i="62" s="1"/>
  <c r="C2381" i="62"/>
  <c r="C2380" i="62"/>
  <c r="C2379" i="62"/>
  <c r="I2378" i="62"/>
  <c r="S2378" i="62" s="1"/>
  <c r="C2378" i="62"/>
  <c r="M2376" i="62"/>
  <c r="C2374" i="62"/>
  <c r="C2373" i="62"/>
  <c r="C2372" i="62"/>
  <c r="C2371" i="62"/>
  <c r="C2370" i="62"/>
  <c r="C2369" i="62"/>
  <c r="C2368" i="62"/>
  <c r="C2367" i="62"/>
  <c r="C2366" i="62"/>
  <c r="G2365" i="62"/>
  <c r="C2365" i="62"/>
  <c r="G2364" i="62"/>
  <c r="C2364" i="62"/>
  <c r="G2363" i="62"/>
  <c r="C2363" i="62"/>
  <c r="G2362" i="62"/>
  <c r="C2362" i="62"/>
  <c r="G2361" i="62"/>
  <c r="C2361" i="62"/>
  <c r="G2360" i="62"/>
  <c r="C2360" i="62"/>
  <c r="G2359" i="62"/>
  <c r="C2359" i="62"/>
  <c r="G2358" i="62"/>
  <c r="C2358" i="62"/>
  <c r="G2357" i="62"/>
  <c r="C2357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C2350" i="62"/>
  <c r="C2349" i="62"/>
  <c r="O2355" i="62"/>
  <c r="O2356" i="62" s="1"/>
  <c r="O2357" i="62" s="1"/>
  <c r="O2358" i="62" s="1"/>
  <c r="O2359" i="62" s="1"/>
  <c r="O2360" i="62" s="1"/>
  <c r="O2361" i="62" s="1"/>
  <c r="O2362" i="62" s="1"/>
  <c r="O2363" i="62" s="1"/>
  <c r="O2364" i="62" s="1"/>
  <c r="O2365" i="62" s="1"/>
  <c r="O2366" i="62" s="1"/>
  <c r="O2367" i="62" s="1"/>
  <c r="O2368" i="62" s="1"/>
  <c r="O2369" i="62" s="1"/>
  <c r="O2370" i="62" s="1"/>
  <c r="O2371" i="62" s="1"/>
  <c r="O2372" i="62" s="1"/>
  <c r="O2373" i="62" s="1"/>
  <c r="O2374" i="62" s="1"/>
  <c r="C2348" i="62"/>
  <c r="I2347" i="62"/>
  <c r="C2347" i="62"/>
  <c r="M2345" i="62"/>
  <c r="C2343" i="62"/>
  <c r="C2342" i="62"/>
  <c r="C2341" i="62"/>
  <c r="C2340" i="62"/>
  <c r="C2339" i="62"/>
  <c r="C2338" i="62"/>
  <c r="C2337" i="62"/>
  <c r="C2336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G2329" i="62"/>
  <c r="C2329" i="62"/>
  <c r="G2328" i="62"/>
  <c r="C2328" i="62"/>
  <c r="G2327" i="62"/>
  <c r="C2327" i="62"/>
  <c r="G2326" i="62"/>
  <c r="C2326" i="62"/>
  <c r="G2325" i="62"/>
  <c r="C2325" i="62"/>
  <c r="G2324" i="62"/>
  <c r="C2324" i="62"/>
  <c r="G2323" i="62"/>
  <c r="C2323" i="62"/>
  <c r="G2322" i="62"/>
  <c r="C2322" i="62"/>
  <c r="G2321" i="62"/>
  <c r="C2321" i="62"/>
  <c r="G2320" i="62"/>
  <c r="C2320" i="62"/>
  <c r="C2319" i="62"/>
  <c r="O2328" i="62"/>
  <c r="O2329" i="62" s="1"/>
  <c r="O2330" i="62" s="1"/>
  <c r="O2331" i="62" s="1"/>
  <c r="O2332" i="62" s="1"/>
  <c r="O2333" i="62" s="1"/>
  <c r="O2334" i="62" s="1"/>
  <c r="O2335" i="62" s="1"/>
  <c r="O2336" i="62" s="1"/>
  <c r="O2337" i="62" s="1"/>
  <c r="O2338" i="62" s="1"/>
  <c r="O2339" i="62" s="1"/>
  <c r="O2340" i="62" s="1"/>
  <c r="O2341" i="62" s="1"/>
  <c r="O2342" i="62" s="1"/>
  <c r="O2343" i="62" s="1"/>
  <c r="C2318" i="62"/>
  <c r="C2317" i="62"/>
  <c r="I2316" i="62"/>
  <c r="C2316" i="62"/>
  <c r="M2314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G2305" i="62"/>
  <c r="C2305" i="62"/>
  <c r="G2304" i="62"/>
  <c r="C2304" i="62"/>
  <c r="G2303" i="62"/>
  <c r="C2303" i="62"/>
  <c r="G2302" i="62"/>
  <c r="C2302" i="62"/>
  <c r="G2301" i="62"/>
  <c r="C2301" i="62"/>
  <c r="G2300" i="62"/>
  <c r="C2300" i="62"/>
  <c r="G2299" i="62"/>
  <c r="C2299" i="62"/>
  <c r="G2298" i="62"/>
  <c r="C2298" i="62"/>
  <c r="G2297" i="62"/>
  <c r="C2297" i="62"/>
  <c r="G2296" i="62"/>
  <c r="C2296" i="62"/>
  <c r="O2298" i="62"/>
  <c r="O2299" i="62" s="1"/>
  <c r="O2300" i="62" s="1"/>
  <c r="O2301" i="62" s="1"/>
  <c r="O2302" i="62" s="1"/>
  <c r="O2303" i="62" s="1"/>
  <c r="O2304" i="62" s="1"/>
  <c r="O2305" i="62" s="1"/>
  <c r="O2306" i="62" s="1"/>
  <c r="O2307" i="62" s="1"/>
  <c r="O2308" i="62" s="1"/>
  <c r="O2309" i="62" s="1"/>
  <c r="O2310" i="62" s="1"/>
  <c r="O2311" i="62" s="1"/>
  <c r="O2312" i="62" s="1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I2285" i="62"/>
  <c r="G2285" i="62"/>
  <c r="C2285" i="62"/>
  <c r="M2283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C2265" i="62"/>
  <c r="C2264" i="62"/>
  <c r="C2263" i="62"/>
  <c r="C2262" i="62"/>
  <c r="C2261" i="62"/>
  <c r="C2260" i="62"/>
  <c r="C2259" i="62"/>
  <c r="G2258" i="62"/>
  <c r="C2258" i="62"/>
  <c r="C2257" i="62"/>
  <c r="O2265" i="62"/>
  <c r="O2266" i="62" s="1"/>
  <c r="O2267" i="62" s="1"/>
  <c r="O2268" i="62" s="1"/>
  <c r="O2269" i="62" s="1"/>
  <c r="O2270" i="62" s="1"/>
  <c r="O2271" i="62" s="1"/>
  <c r="O2272" i="62" s="1"/>
  <c r="O2273" i="62" s="1"/>
  <c r="O2274" i="62" s="1"/>
  <c r="O2275" i="62" s="1"/>
  <c r="O2276" i="62" s="1"/>
  <c r="O2277" i="62" s="1"/>
  <c r="O2278" i="62" s="1"/>
  <c r="O2279" i="62" s="1"/>
  <c r="O2280" i="62" s="1"/>
  <c r="O2281" i="62" s="1"/>
  <c r="C2256" i="62"/>
  <c r="C2255" i="62"/>
  <c r="I2254" i="62"/>
  <c r="S2254" i="62" s="1"/>
  <c r="C2254" i="62"/>
  <c r="M2252" i="62"/>
  <c r="C2250" i="62"/>
  <c r="C2249" i="62"/>
  <c r="C2248" i="62"/>
  <c r="C2247" i="62"/>
  <c r="C2246" i="62"/>
  <c r="C2245" i="62"/>
  <c r="C2244" i="62"/>
  <c r="C2243" i="62"/>
  <c r="C2242" i="62"/>
  <c r="G2241" i="62"/>
  <c r="C2241" i="62"/>
  <c r="G2240" i="62"/>
  <c r="C2240" i="62"/>
  <c r="G2239" i="62"/>
  <c r="C2239" i="62"/>
  <c r="G2238" i="62"/>
  <c r="C2238" i="62"/>
  <c r="G2237" i="62"/>
  <c r="C2237" i="62"/>
  <c r="G2236" i="62"/>
  <c r="C2236" i="62"/>
  <c r="G2235" i="62"/>
  <c r="C2235" i="62"/>
  <c r="G2234" i="62"/>
  <c r="C2234" i="62"/>
  <c r="G2233" i="62"/>
  <c r="C2233" i="62"/>
  <c r="G2232" i="62"/>
  <c r="C2232" i="62"/>
  <c r="G2231" i="62"/>
  <c r="C2231" i="62"/>
  <c r="G2230" i="62"/>
  <c r="C2230" i="62"/>
  <c r="G2229" i="62"/>
  <c r="C2229" i="62"/>
  <c r="G2228" i="62"/>
  <c r="C2228" i="62"/>
  <c r="O2241" i="62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G2227" i="62"/>
  <c r="C2227" i="62"/>
  <c r="C2226" i="62"/>
  <c r="C2225" i="62"/>
  <c r="C2224" i="62"/>
  <c r="I2223" i="62"/>
  <c r="S2223" i="62" s="1"/>
  <c r="C2223" i="62"/>
  <c r="M2221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O2199" i="62"/>
  <c r="O2200" i="62" s="1"/>
  <c r="O2201" i="62" s="1"/>
  <c r="O2202" i="62" s="1"/>
  <c r="O2203" i="62" s="1"/>
  <c r="O2204" i="62" s="1"/>
  <c r="O2205" i="62" s="1"/>
  <c r="O2206" i="62" s="1"/>
  <c r="O2207" i="62" s="1"/>
  <c r="O2208" i="62" s="1"/>
  <c r="O2209" i="62" s="1"/>
  <c r="O2210" i="62" s="1"/>
  <c r="O2211" i="62" s="1"/>
  <c r="O2212" i="62" s="1"/>
  <c r="O2213" i="62" s="1"/>
  <c r="O2214" i="62" s="1"/>
  <c r="O2215" i="62" s="1"/>
  <c r="O2216" i="62" s="1"/>
  <c r="O2217" i="62" s="1"/>
  <c r="O2218" i="62" s="1"/>
  <c r="O2219" i="62" s="1"/>
  <c r="C2195" i="62"/>
  <c r="C2194" i="62"/>
  <c r="C2193" i="62"/>
  <c r="I2192" i="62"/>
  <c r="S2192" i="62" s="1"/>
  <c r="C2192" i="62"/>
  <c r="M2190" i="62"/>
  <c r="C2188" i="62"/>
  <c r="C2187" i="62"/>
  <c r="C2186" i="62"/>
  <c r="C2185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I2161" i="62"/>
  <c r="S2161" i="62" s="1"/>
  <c r="C2161" i="62"/>
  <c r="M2159" i="62"/>
  <c r="C2157" i="62"/>
  <c r="C2156" i="62"/>
  <c r="C2155" i="62"/>
  <c r="C2154" i="62"/>
  <c r="C2153" i="62"/>
  <c r="C2152" i="62"/>
  <c r="C2151" i="62"/>
  <c r="C2150" i="62"/>
  <c r="C2149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C2133" i="62"/>
  <c r="C2132" i="62"/>
  <c r="O2140" i="62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O2150" i="62" s="1"/>
  <c r="O2151" i="62" s="1"/>
  <c r="O2152" i="62" s="1"/>
  <c r="O2153" i="62" s="1"/>
  <c r="O2154" i="62" s="1"/>
  <c r="O2155" i="62" s="1"/>
  <c r="O2156" i="62" s="1"/>
  <c r="O2157" i="62" s="1"/>
  <c r="C2131" i="62"/>
  <c r="I2130" i="62"/>
  <c r="I2131" i="62" s="1"/>
  <c r="I2132" i="62" s="1"/>
  <c r="I2133" i="62" s="1"/>
  <c r="I2134" i="62" s="1"/>
  <c r="I2135" i="62" s="1"/>
  <c r="I2136" i="62" s="1"/>
  <c r="C2130" i="62"/>
  <c r="M2128" i="62"/>
  <c r="G2126" i="62"/>
  <c r="C2126" i="62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G2115" i="62"/>
  <c r="C2115" i="62"/>
  <c r="G2114" i="62"/>
  <c r="C2114" i="62"/>
  <c r="G2113" i="62"/>
  <c r="C2113" i="62"/>
  <c r="G2112" i="62"/>
  <c r="C2112" i="62"/>
  <c r="G2111" i="62"/>
  <c r="C2111" i="62"/>
  <c r="G2110" i="62"/>
  <c r="C2110" i="62"/>
  <c r="G2109" i="62"/>
  <c r="C2109" i="62"/>
  <c r="G2108" i="62"/>
  <c r="C2108" i="62"/>
  <c r="G2107" i="62"/>
  <c r="C2107" i="62"/>
  <c r="G2106" i="62"/>
  <c r="C2106" i="62"/>
  <c r="G2105" i="62"/>
  <c r="C2105" i="62"/>
  <c r="O2109" i="62"/>
  <c r="O2110" i="62" s="1"/>
  <c r="O2111" i="62" s="1"/>
  <c r="O2112" i="62" s="1"/>
  <c r="O2113" i="62" s="1"/>
  <c r="O2114" i="62" s="1"/>
  <c r="O2115" i="62" s="1"/>
  <c r="O2116" i="62" s="1"/>
  <c r="O2117" i="62" s="1"/>
  <c r="O2118" i="62" s="1"/>
  <c r="O2119" i="62" s="1"/>
  <c r="O2120" i="62" s="1"/>
  <c r="O2121" i="62" s="1"/>
  <c r="O2122" i="62" s="1"/>
  <c r="O2123" i="62" s="1"/>
  <c r="O2124" i="62" s="1"/>
  <c r="O2125" i="62" s="1"/>
  <c r="O2126" i="62" s="1"/>
  <c r="G2104" i="62"/>
  <c r="C2104" i="62"/>
  <c r="G2103" i="62"/>
  <c r="C2103" i="62"/>
  <c r="G2102" i="62"/>
  <c r="C2102" i="62"/>
  <c r="G2101" i="62"/>
  <c r="C2101" i="62"/>
  <c r="G2100" i="62"/>
  <c r="C2100" i="62"/>
  <c r="I2099" i="62"/>
  <c r="G2099" i="62"/>
  <c r="C2099" i="62"/>
  <c r="M2097" i="62"/>
  <c r="C2095" i="62"/>
  <c r="C2094" i="62"/>
  <c r="C2093" i="62"/>
  <c r="C2092" i="62"/>
  <c r="C2091" i="62"/>
  <c r="C2090" i="62"/>
  <c r="C2089" i="62"/>
  <c r="C2088" i="62"/>
  <c r="C2087" i="62"/>
  <c r="C2086" i="62"/>
  <c r="C2085" i="62"/>
  <c r="C2084" i="62"/>
  <c r="C2083" i="62"/>
  <c r="C2082" i="62"/>
  <c r="C2081" i="62"/>
  <c r="C2080" i="62"/>
  <c r="C2079" i="62"/>
  <c r="C2078" i="62"/>
  <c r="C2077" i="62"/>
  <c r="C2076" i="62"/>
  <c r="C2075" i="62"/>
  <c r="C2074" i="62"/>
  <c r="C2073" i="62"/>
  <c r="G2072" i="62"/>
  <c r="C2072" i="62"/>
  <c r="C2071" i="62"/>
  <c r="C2070" i="62"/>
  <c r="O2080" i="62"/>
  <c r="O2081" i="62" s="1"/>
  <c r="O2082" i="62" s="1"/>
  <c r="O2083" i="62" s="1"/>
  <c r="O2084" i="62" s="1"/>
  <c r="O2085" i="62" s="1"/>
  <c r="O2086" i="62" s="1"/>
  <c r="O2087" i="62" s="1"/>
  <c r="O2088" i="62" s="1"/>
  <c r="O2089" i="62" s="1"/>
  <c r="O2090" i="62" s="1"/>
  <c r="O2091" i="62" s="1"/>
  <c r="O2092" i="62" s="1"/>
  <c r="O2093" i="62" s="1"/>
  <c r="O2094" i="62" s="1"/>
  <c r="O2095" i="62" s="1"/>
  <c r="C2069" i="62"/>
  <c r="I2068" i="62"/>
  <c r="C2068" i="62"/>
  <c r="M2066" i="62"/>
  <c r="C2064" i="62"/>
  <c r="C2063" i="62"/>
  <c r="C2062" i="62"/>
  <c r="C2061" i="62"/>
  <c r="C2060" i="62"/>
  <c r="C2059" i="62"/>
  <c r="C2058" i="62"/>
  <c r="C2057" i="62"/>
  <c r="C2056" i="62"/>
  <c r="O2062" i="62"/>
  <c r="O2063" i="62" s="1"/>
  <c r="O2064" i="62" s="1"/>
  <c r="C2055" i="62"/>
  <c r="G2054" i="62"/>
  <c r="C2054" i="62"/>
  <c r="G2053" i="62"/>
  <c r="C2053" i="62"/>
  <c r="G2052" i="62"/>
  <c r="C2052" i="62"/>
  <c r="G2051" i="62"/>
  <c r="C2051" i="62"/>
  <c r="G2050" i="62"/>
  <c r="C2050" i="62"/>
  <c r="G2049" i="62"/>
  <c r="C2049" i="62"/>
  <c r="G2048" i="62"/>
  <c r="C2048" i="62"/>
  <c r="G2047" i="62"/>
  <c r="C2047" i="62"/>
  <c r="G2046" i="62"/>
  <c r="C2046" i="62"/>
  <c r="G2045" i="62"/>
  <c r="C2045" i="62"/>
  <c r="G2044" i="62"/>
  <c r="C2044" i="62"/>
  <c r="G2043" i="62"/>
  <c r="C2043" i="62"/>
  <c r="G2042" i="62"/>
  <c r="C2042" i="62"/>
  <c r="G2041" i="62"/>
  <c r="C2041" i="62"/>
  <c r="C2040" i="62"/>
  <c r="C2039" i="62"/>
  <c r="C2038" i="62"/>
  <c r="I2037" i="62"/>
  <c r="I2038" i="62" s="1"/>
  <c r="I2039" i="62" s="1"/>
  <c r="I2040" i="62" s="1"/>
  <c r="S2040" i="62" s="1"/>
  <c r="C2037" i="62"/>
  <c r="M2035" i="62"/>
  <c r="C2033" i="62"/>
  <c r="C2032" i="62"/>
  <c r="C2031" i="62"/>
  <c r="C2030" i="62"/>
  <c r="C2029" i="62"/>
  <c r="C2028" i="62"/>
  <c r="C2027" i="62"/>
  <c r="C2026" i="62"/>
  <c r="C2025" i="62"/>
  <c r="G2024" i="62"/>
  <c r="C2024" i="62"/>
  <c r="G2023" i="62"/>
  <c r="C2023" i="62"/>
  <c r="G2022" i="62"/>
  <c r="C2022" i="62"/>
  <c r="G2021" i="62"/>
  <c r="C2021" i="62"/>
  <c r="G2020" i="62"/>
  <c r="C2020" i="62"/>
  <c r="G2019" i="62"/>
  <c r="C2019" i="62"/>
  <c r="G2018" i="62"/>
  <c r="C2018" i="62"/>
  <c r="G2017" i="62"/>
  <c r="C2017" i="62"/>
  <c r="G2016" i="62"/>
  <c r="C2016" i="62"/>
  <c r="G2015" i="62"/>
  <c r="C2015" i="62"/>
  <c r="G2014" i="62"/>
  <c r="C2014" i="62"/>
  <c r="G2013" i="62"/>
  <c r="C2013" i="62"/>
  <c r="G2012" i="62"/>
  <c r="C2012" i="62"/>
  <c r="G2011" i="62"/>
  <c r="C2011" i="62"/>
  <c r="G2010" i="62"/>
  <c r="C2010" i="62"/>
  <c r="O2015" i="62"/>
  <c r="O2016" i="62" s="1"/>
  <c r="O2017" i="62" s="1"/>
  <c r="O2018" i="62" s="1"/>
  <c r="O2019" i="62" s="1"/>
  <c r="O2020" i="62" s="1"/>
  <c r="O2021" i="62" s="1"/>
  <c r="O2022" i="62" s="1"/>
  <c r="O2023" i="62" s="1"/>
  <c r="O2024" i="62" s="1"/>
  <c r="O2025" i="62" s="1"/>
  <c r="O2026" i="62" s="1"/>
  <c r="O2027" i="62" s="1"/>
  <c r="O2028" i="62" s="1"/>
  <c r="O2029" i="62" s="1"/>
  <c r="O2030" i="62" s="1"/>
  <c r="O2031" i="62" s="1"/>
  <c r="O2032" i="62" s="1"/>
  <c r="O2033" i="62" s="1"/>
  <c r="C2009" i="62"/>
  <c r="C2008" i="62"/>
  <c r="C2007" i="62"/>
  <c r="I2006" i="62"/>
  <c r="C2006" i="62"/>
  <c r="M2004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G1987" i="62"/>
  <c r="C1987" i="62"/>
  <c r="G1986" i="62"/>
  <c r="C1986" i="62"/>
  <c r="G1985" i="62"/>
  <c r="C1985" i="62"/>
  <c r="G1984" i="62"/>
  <c r="C1984" i="62"/>
  <c r="G1983" i="62"/>
  <c r="C1983" i="62"/>
  <c r="G1982" i="62"/>
  <c r="C1982" i="62"/>
  <c r="G1981" i="62"/>
  <c r="C1981" i="62"/>
  <c r="G1980" i="62"/>
  <c r="C1980" i="62"/>
  <c r="G1979" i="62"/>
  <c r="C1979" i="62"/>
  <c r="G1978" i="62"/>
  <c r="C1978" i="62"/>
  <c r="G1977" i="62"/>
  <c r="C1977" i="62"/>
  <c r="O1989" i="62"/>
  <c r="O1990" i="62" s="1"/>
  <c r="O1991" i="62" s="1"/>
  <c r="O1992" i="62" s="1"/>
  <c r="O1993" i="62" s="1"/>
  <c r="O1994" i="62" s="1"/>
  <c r="O1995" i="62" s="1"/>
  <c r="O1996" i="62" s="1"/>
  <c r="O1997" i="62" s="1"/>
  <c r="O1998" i="62" s="1"/>
  <c r="O1999" i="62" s="1"/>
  <c r="O2000" i="62" s="1"/>
  <c r="O2001" i="62" s="1"/>
  <c r="O2002" i="62" s="1"/>
  <c r="G1976" i="62"/>
  <c r="C1976" i="62"/>
  <c r="G1975" i="62"/>
  <c r="C1975" i="62"/>
  <c r="M1973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O1949" i="62"/>
  <c r="O1950" i="62" s="1"/>
  <c r="O1951" i="62" s="1"/>
  <c r="O1952" i="62" s="1"/>
  <c r="O1953" i="62" s="1"/>
  <c r="O1954" i="62" s="1"/>
  <c r="O1955" i="62" s="1"/>
  <c r="O1956" i="62" s="1"/>
  <c r="O1957" i="62" s="1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G1947" i="62"/>
  <c r="C1947" i="62"/>
  <c r="G1946" i="62"/>
  <c r="C1946" i="62"/>
  <c r="G1945" i="62"/>
  <c r="C1945" i="62"/>
  <c r="I1944" i="62"/>
  <c r="I1945" i="62" s="1"/>
  <c r="G1944" i="62"/>
  <c r="C1944" i="62"/>
  <c r="M1942" i="62"/>
  <c r="C1940" i="62"/>
  <c r="C1939" i="62"/>
  <c r="C1938" i="62"/>
  <c r="C1937" i="62"/>
  <c r="C1936" i="62"/>
  <c r="C1935" i="62"/>
  <c r="C1934" i="62"/>
  <c r="C1933" i="62"/>
  <c r="C1932" i="62"/>
  <c r="C1931" i="62"/>
  <c r="G1930" i="62"/>
  <c r="C1930" i="62"/>
  <c r="G1929" i="62"/>
  <c r="C1929" i="62"/>
  <c r="G1928" i="62"/>
  <c r="C1928" i="62"/>
  <c r="G1927" i="62"/>
  <c r="C1927" i="62"/>
  <c r="G1926" i="62"/>
  <c r="C1926" i="62"/>
  <c r="G1925" i="62"/>
  <c r="C1925" i="62"/>
  <c r="G1924" i="62"/>
  <c r="C1924" i="62"/>
  <c r="G1923" i="62"/>
  <c r="C1923" i="62"/>
  <c r="G1922" i="62"/>
  <c r="C1922" i="62"/>
  <c r="G1921" i="62"/>
  <c r="C1921" i="62"/>
  <c r="G1920" i="62"/>
  <c r="C1920" i="62"/>
  <c r="G1919" i="62"/>
  <c r="C1919" i="62"/>
  <c r="O1926" i="62"/>
  <c r="O1927" i="62" s="1"/>
  <c r="O1928" i="62" s="1"/>
  <c r="O1929" i="62" s="1"/>
  <c r="O1930" i="62" s="1"/>
  <c r="O1931" i="62" s="1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G1918" i="62"/>
  <c r="C1918" i="62"/>
  <c r="G1917" i="62"/>
  <c r="C1917" i="62"/>
  <c r="C1916" i="62"/>
  <c r="C1915" i="62"/>
  <c r="C1914" i="62"/>
  <c r="I1913" i="62"/>
  <c r="S1913" i="62" s="1"/>
  <c r="C1913" i="62"/>
  <c r="M1911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C1885" i="62"/>
  <c r="C1884" i="62"/>
  <c r="O1898" i="62"/>
  <c r="O1899" i="62" s="1"/>
  <c r="O1900" i="62" s="1"/>
  <c r="O1901" i="62" s="1"/>
  <c r="O1902" i="62" s="1"/>
  <c r="O1903" i="62" s="1"/>
  <c r="O1904" i="62" s="1"/>
  <c r="O1905" i="62" s="1"/>
  <c r="O1906" i="62" s="1"/>
  <c r="O1907" i="62" s="1"/>
  <c r="O1908" i="62" s="1"/>
  <c r="O1909" i="62" s="1"/>
  <c r="C1883" i="62"/>
  <c r="I1882" i="62"/>
  <c r="I1883" i="62" s="1"/>
  <c r="I1884" i="62" s="1"/>
  <c r="C1882" i="62"/>
  <c r="M1880" i="62"/>
  <c r="C1878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O1875" i="62" s="1"/>
  <c r="O1876" i="62" s="1"/>
  <c r="O1877" i="62" s="1"/>
  <c r="O1878" i="62" s="1"/>
  <c r="C1864" i="62"/>
  <c r="C1863" i="62"/>
  <c r="C1862" i="62"/>
  <c r="C1861" i="62"/>
  <c r="C1860" i="62"/>
  <c r="C1859" i="62"/>
  <c r="C1858" i="62"/>
  <c r="C1857" i="62"/>
  <c r="C1856" i="62"/>
  <c r="G1855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G1834" i="62"/>
  <c r="C1834" i="62"/>
  <c r="G1833" i="62"/>
  <c r="C1833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P1749" i="62"/>
  <c r="I1749" i="62" s="1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G1733" i="62"/>
  <c r="C1733" i="62"/>
  <c r="G1732" i="62"/>
  <c r="C1732" i="62"/>
  <c r="G1731" i="62"/>
  <c r="C1731" i="62"/>
  <c r="G1730" i="62"/>
  <c r="C1730" i="62"/>
  <c r="G1729" i="62"/>
  <c r="C1729" i="62"/>
  <c r="G1728" i="62"/>
  <c r="C1728" i="62"/>
  <c r="G1727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G1719" i="62"/>
  <c r="C1719" i="62"/>
  <c r="C1718" i="62"/>
  <c r="C1717" i="62"/>
  <c r="C1716" i="62"/>
  <c r="P1715" i="62"/>
  <c r="I1715" i="62" s="1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G1562" i="62"/>
  <c r="C1562" i="62"/>
  <c r="G1561" i="62"/>
  <c r="C1561" i="62"/>
  <c r="G1560" i="62"/>
  <c r="C1560" i="62"/>
  <c r="G1559" i="62"/>
  <c r="C1559" i="62"/>
  <c r="G1558" i="62"/>
  <c r="C1558" i="62"/>
  <c r="G1557" i="62"/>
  <c r="C1557" i="62"/>
  <c r="G1556" i="62"/>
  <c r="C1556" i="62"/>
  <c r="G1555" i="62"/>
  <c r="C1555" i="62"/>
  <c r="G1554" i="62"/>
  <c r="C1554" i="62"/>
  <c r="G1553" i="62"/>
  <c r="C1553" i="62"/>
  <c r="G1552" i="62"/>
  <c r="C1552" i="62"/>
  <c r="G1551" i="62"/>
  <c r="C1551" i="62"/>
  <c r="G1550" i="62"/>
  <c r="C1550" i="62"/>
  <c r="G1549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P1307" i="62"/>
  <c r="I1307" i="62" s="1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P1205" i="62"/>
  <c r="I1205" i="62" s="1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P1171" i="62"/>
  <c r="I1171" i="62" s="1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G1138" i="62"/>
  <c r="C1138" i="62"/>
  <c r="G1137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G1093" i="62"/>
  <c r="C1093" i="62"/>
  <c r="G1092" i="62"/>
  <c r="C1092" i="62"/>
  <c r="G1091" i="62"/>
  <c r="C1091" i="62"/>
  <c r="G1090" i="62"/>
  <c r="C1090" i="62"/>
  <c r="G1089" i="62"/>
  <c r="C1089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G1074" i="62"/>
  <c r="C1074" i="62"/>
  <c r="C1073" i="62"/>
  <c r="G1072" i="62"/>
  <c r="C1072" i="62"/>
  <c r="G1071" i="62"/>
  <c r="C1071" i="62"/>
  <c r="G1070" i="62"/>
  <c r="C1070" i="62"/>
  <c r="I1069" i="62"/>
  <c r="G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P1001" i="62"/>
  <c r="I1001" i="62" s="1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P967" i="62"/>
  <c r="I967" i="62" s="1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P933" i="62"/>
  <c r="I933" i="62" s="1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P899" i="62"/>
  <c r="I899" i="62" s="1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P863" i="62"/>
  <c r="I863" i="62" s="1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P794" i="62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P760" i="62"/>
  <c r="I760" i="62" s="1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P624" i="62"/>
  <c r="I624" i="62" s="1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P556" i="62"/>
  <c r="I556" i="62" s="1"/>
  <c r="G556" i="62"/>
  <c r="C556" i="62"/>
  <c r="M554" i="62"/>
  <c r="C552" i="62"/>
  <c r="C548" i="62"/>
  <c r="C547" i="62"/>
  <c r="C546" i="62"/>
  <c r="C545" i="62"/>
  <c r="C544" i="62"/>
  <c r="C543" i="62"/>
  <c r="C542" i="62"/>
  <c r="G541" i="62"/>
  <c r="C541" i="62"/>
  <c r="G540" i="62"/>
  <c r="C540" i="62"/>
  <c r="G539" i="62"/>
  <c r="C539" i="62"/>
  <c r="G538" i="62"/>
  <c r="C538" i="62"/>
  <c r="G537" i="62"/>
  <c r="C537" i="62"/>
  <c r="G536" i="62"/>
  <c r="C536" i="62"/>
  <c r="G535" i="62"/>
  <c r="C535" i="62"/>
  <c r="G534" i="62"/>
  <c r="C534" i="62"/>
  <c r="G533" i="62"/>
  <c r="C533" i="62"/>
  <c r="G532" i="62"/>
  <c r="C532" i="62"/>
  <c r="G531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G530" i="62"/>
  <c r="C530" i="62"/>
  <c r="G529" i="62"/>
  <c r="C529" i="62"/>
  <c r="G528" i="62"/>
  <c r="C528" i="62"/>
  <c r="G527" i="62"/>
  <c r="C527" i="62"/>
  <c r="C526" i="62"/>
  <c r="C525" i="62"/>
  <c r="C524" i="62"/>
  <c r="C523" i="62"/>
  <c r="P522" i="62"/>
  <c r="I522" i="62" s="1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P488" i="62"/>
  <c r="I488" i="62" s="1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P453" i="62"/>
  <c r="I453" i="62" s="1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O1841" i="62" l="1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D2807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822" i="62"/>
  <c r="S2037" i="62"/>
  <c r="I21" i="19"/>
  <c r="S2409" i="62"/>
  <c r="I2757" i="62"/>
  <c r="S2756" i="62"/>
  <c r="S809" i="62"/>
  <c r="S1944" i="62"/>
  <c r="S1882" i="62"/>
  <c r="I1619" i="62"/>
  <c r="S1618" i="62"/>
  <c r="S801" i="62"/>
  <c r="S1477" i="62"/>
  <c r="S1478" i="62"/>
  <c r="I352" i="62"/>
  <c r="S352" i="62" s="1"/>
  <c r="S1883" i="62"/>
  <c r="I2522" i="62"/>
  <c r="S2521" i="62"/>
  <c r="S797" i="62"/>
  <c r="S805" i="62"/>
  <c r="S817" i="62"/>
  <c r="S802" i="62"/>
  <c r="S1307" i="62"/>
  <c r="S1375" i="62"/>
  <c r="S1545" i="62"/>
  <c r="I659" i="62"/>
  <c r="S658" i="62"/>
  <c r="P2596" i="62"/>
  <c r="I2596" i="62" s="1"/>
  <c r="S2596" i="62" s="1"/>
  <c r="S798" i="62"/>
  <c r="S806" i="62"/>
  <c r="S813" i="62"/>
  <c r="S1480" i="62"/>
  <c r="I19" i="58"/>
  <c r="I2565" i="62"/>
  <c r="S2564" i="62"/>
  <c r="I1070" i="62"/>
  <c r="S1069" i="62"/>
  <c r="I1716" i="62"/>
  <c r="S1716" i="62" s="1"/>
  <c r="I2069" i="62"/>
  <c r="I2070" i="62" s="1"/>
  <c r="I2071" i="62" s="1"/>
  <c r="S2068" i="62"/>
  <c r="I727" i="62"/>
  <c r="S726" i="62"/>
  <c r="I1885" i="62"/>
  <c r="I1886" i="62" s="1"/>
  <c r="I1887" i="62" s="1"/>
  <c r="S1884" i="62"/>
  <c r="I2100" i="62"/>
  <c r="S2099" i="62"/>
  <c r="I2411" i="62"/>
  <c r="S2411" i="62" s="1"/>
  <c r="S2410" i="62"/>
  <c r="I2475" i="62"/>
  <c r="S2474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02" i="62"/>
  <c r="S2505" i="62"/>
  <c r="S2509" i="62"/>
  <c r="S2513" i="62"/>
  <c r="S2688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24" i="62"/>
  <c r="S2224" i="62" s="1"/>
  <c r="S2508" i="62"/>
  <c r="S2512" i="62"/>
  <c r="S2519" i="62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I1660" i="62" s="1"/>
  <c r="I1661" i="62" s="1"/>
  <c r="I1662" i="62" s="1"/>
  <c r="I1663" i="62" s="1"/>
  <c r="I1664" i="62" s="1"/>
  <c r="I1665" i="62" s="1"/>
  <c r="I1666" i="62" s="1"/>
  <c r="S1647" i="62"/>
  <c r="I2286" i="62"/>
  <c r="S2285" i="62"/>
  <c r="S2472" i="62"/>
  <c r="S2507" i="62"/>
  <c r="S2511" i="62"/>
  <c r="S2515" i="62"/>
  <c r="S2518" i="62"/>
  <c r="S111" i="62"/>
  <c r="S114" i="62"/>
  <c r="S117" i="62"/>
  <c r="S123" i="62"/>
  <c r="S126" i="62"/>
  <c r="S129" i="62"/>
  <c r="I693" i="62"/>
  <c r="S693" i="62" s="1"/>
  <c r="S2132" i="62"/>
  <c r="S2503" i="62"/>
  <c r="S2506" i="62"/>
  <c r="S2514" i="62"/>
  <c r="S2517" i="62"/>
  <c r="I1682" i="62"/>
  <c r="S1681" i="62"/>
  <c r="I1444" i="62"/>
  <c r="S1443" i="62"/>
  <c r="S591" i="62"/>
  <c r="S590" i="62"/>
  <c r="I22" i="6"/>
  <c r="I22" i="57"/>
  <c r="I1983" i="62"/>
  <c r="S1982" i="62"/>
  <c r="I1512" i="62"/>
  <c r="S1511" i="62"/>
  <c r="I2785" i="62"/>
  <c r="S2785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62" i="62"/>
  <c r="I1914" i="62"/>
  <c r="O1787" i="62"/>
  <c r="S1852" i="62"/>
  <c r="I2007" i="62"/>
  <c r="I2008" i="62" s="1"/>
  <c r="S2006" i="62"/>
  <c r="S1358" i="62"/>
  <c r="S1364" i="62"/>
  <c r="S1786" i="62"/>
  <c r="S1851" i="62"/>
  <c r="I1946" i="62"/>
  <c r="S1945" i="62"/>
  <c r="S2136" i="62"/>
  <c r="I2137" i="62"/>
  <c r="I2138" i="62" s="1"/>
  <c r="I2139" i="62" s="1"/>
  <c r="S2135" i="62"/>
  <c r="I2193" i="62"/>
  <c r="S2193" i="62" s="1"/>
  <c r="S2038" i="62"/>
  <c r="I2255" i="62"/>
  <c r="I2256" i="62" s="1"/>
  <c r="I2257" i="62" s="1"/>
  <c r="I2041" i="62"/>
  <c r="I2042" i="62" s="1"/>
  <c r="S2131" i="62"/>
  <c r="S2039" i="62"/>
  <c r="S2134" i="62"/>
  <c r="I2441" i="62"/>
  <c r="S2440" i="62"/>
  <c r="S2133" i="62"/>
  <c r="S2316" i="62"/>
  <c r="I2317" i="62"/>
  <c r="I2379" i="62"/>
  <c r="S2595" i="62"/>
  <c r="I2595" i="62"/>
  <c r="S2347" i="62"/>
  <c r="I2348" i="62"/>
  <c r="S2130" i="62"/>
  <c r="S2471" i="62"/>
  <c r="O2598" i="62"/>
  <c r="P2597" i="62"/>
  <c r="I2597" i="62" s="1"/>
  <c r="S2597" i="62" s="1"/>
  <c r="S2473" i="62"/>
  <c r="S2520" i="62"/>
  <c r="S2504" i="62"/>
  <c r="S2510" i="62"/>
  <c r="S2516" i="62"/>
  <c r="I2534" i="62"/>
  <c r="S2533" i="62"/>
  <c r="S2719" i="62"/>
  <c r="I2720" i="62"/>
  <c r="I2627" i="62"/>
  <c r="S2627" i="62" s="1"/>
  <c r="I2658" i="62"/>
  <c r="S2657" i="62"/>
  <c r="I2690" i="62"/>
  <c r="S2689" i="62"/>
  <c r="O1842" i="62" l="1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12" i="62"/>
  <c r="S2412" i="62" s="1"/>
  <c r="S2823" i="62"/>
  <c r="S1885" i="62"/>
  <c r="S2070" i="62"/>
  <c r="S1886" i="62"/>
  <c r="I1173" i="62"/>
  <c r="I1174" i="62" s="1"/>
  <c r="I1175" i="62" s="1"/>
  <c r="I1176" i="62" s="1"/>
  <c r="I214" i="62"/>
  <c r="S214" i="62" s="1"/>
  <c r="I1485" i="62"/>
  <c r="S1485" i="62" s="1"/>
  <c r="S2069" i="62"/>
  <c r="S1648" i="62"/>
  <c r="S1655" i="62"/>
  <c r="S1656" i="62"/>
  <c r="S1659" i="62"/>
  <c r="S1663" i="62"/>
  <c r="I1751" i="62"/>
  <c r="S1751" i="62" s="1"/>
  <c r="S1654" i="62"/>
  <c r="S1664" i="62"/>
  <c r="S557" i="62"/>
  <c r="I694" i="62"/>
  <c r="S694" i="62" s="1"/>
  <c r="I1683" i="62"/>
  <c r="S1682" i="62"/>
  <c r="I764" i="62"/>
  <c r="S764" i="62" s="1"/>
  <c r="I353" i="62"/>
  <c r="I354" i="62" s="1"/>
  <c r="I2758" i="62"/>
  <c r="S2757" i="62"/>
  <c r="I1717" i="62"/>
  <c r="S1717" i="62" s="1"/>
  <c r="I2523" i="62"/>
  <c r="S2522" i="62"/>
  <c r="I1667" i="62"/>
  <c r="S1666" i="62"/>
  <c r="I1620" i="62"/>
  <c r="S1619" i="62"/>
  <c r="S1665" i="62"/>
  <c r="S1660" i="62"/>
  <c r="S1649" i="62"/>
  <c r="S1658" i="62"/>
  <c r="S1657" i="62"/>
  <c r="S1652" i="62"/>
  <c r="I660" i="62"/>
  <c r="S659" i="62"/>
  <c r="S1661" i="62"/>
  <c r="S2255" i="62"/>
  <c r="S1653" i="62"/>
  <c r="S1651" i="62"/>
  <c r="S1650" i="62"/>
  <c r="S1662" i="62"/>
  <c r="S1483" i="62"/>
  <c r="S1482" i="62"/>
  <c r="I2287" i="62"/>
  <c r="S2286" i="62"/>
  <c r="I1888" i="62"/>
  <c r="S1887" i="62"/>
  <c r="I2072" i="62"/>
  <c r="S2071" i="62"/>
  <c r="I1071" i="62"/>
  <c r="S1070" i="62"/>
  <c r="S386" i="62"/>
  <c r="I387" i="62"/>
  <c r="I2476" i="62"/>
  <c r="S2475" i="62"/>
  <c r="I2101" i="62"/>
  <c r="S2100" i="62"/>
  <c r="I728" i="62"/>
  <c r="S727" i="62"/>
  <c r="I2566" i="62"/>
  <c r="S2565" i="62"/>
  <c r="I1445" i="62"/>
  <c r="S1444" i="62"/>
  <c r="I1984" i="62"/>
  <c r="S1983" i="62"/>
  <c r="I1513" i="62"/>
  <c r="S1512" i="62"/>
  <c r="I2786" i="62"/>
  <c r="S2786" i="62" s="1"/>
  <c r="S318" i="62"/>
  <c r="I319" i="62"/>
  <c r="S1138" i="62"/>
  <c r="S77" i="62"/>
  <c r="I78" i="62"/>
  <c r="I1915" i="62"/>
  <c r="S1914" i="62"/>
  <c r="I1856" i="62"/>
  <c r="S1855" i="62"/>
  <c r="S1036" i="62"/>
  <c r="I1037" i="62"/>
  <c r="I597" i="62"/>
  <c r="S596" i="62"/>
  <c r="S489" i="62"/>
  <c r="I490" i="62"/>
  <c r="I2009" i="62"/>
  <c r="S2008" i="62"/>
  <c r="S523" i="62"/>
  <c r="I524" i="62"/>
  <c r="S625" i="62"/>
  <c r="I626" i="62"/>
  <c r="S8" i="62"/>
  <c r="I9" i="62"/>
  <c r="O2599" i="62"/>
  <c r="P2598" i="62"/>
  <c r="I2598" i="62" s="1"/>
  <c r="S2598" i="62" s="1"/>
  <c r="I2258" i="62"/>
  <c r="S2257" i="62"/>
  <c r="I2140" i="62"/>
  <c r="S2139" i="62"/>
  <c r="I1947" i="62"/>
  <c r="S1946" i="62"/>
  <c r="S2162" i="62"/>
  <c r="I2163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194" i="62"/>
  <c r="S2194" i="62" s="1"/>
  <c r="I1548" i="62"/>
  <c r="S1547" i="62"/>
  <c r="I1275" i="62"/>
  <c r="S1274" i="62"/>
  <c r="S1309" i="62"/>
  <c r="I1310" i="62"/>
  <c r="I2535" i="62"/>
  <c r="S2534" i="62"/>
  <c r="S2007" i="62"/>
  <c r="I1003" i="62"/>
  <c r="S1002" i="62"/>
  <c r="S1206" i="62"/>
  <c r="I1207" i="62"/>
  <c r="S283" i="62"/>
  <c r="I284" i="62"/>
  <c r="I2225" i="62"/>
  <c r="S2225" i="62" s="1"/>
  <c r="I1582" i="62"/>
  <c r="S1582" i="62" s="1"/>
  <c r="S1581" i="62"/>
  <c r="S1818" i="62"/>
  <c r="I1819" i="62"/>
  <c r="I936" i="62"/>
  <c r="S935" i="62"/>
  <c r="S248" i="62"/>
  <c r="I249" i="62"/>
  <c r="I2628" i="62"/>
  <c r="S2628" i="62" s="1"/>
  <c r="S2720" i="62"/>
  <c r="I2721" i="62"/>
  <c r="S2379" i="62"/>
  <c r="I2380" i="62"/>
  <c r="I559" i="62"/>
  <c r="S558" i="62"/>
  <c r="S179" i="62"/>
  <c r="I180" i="62"/>
  <c r="S43" i="62"/>
  <c r="I44" i="62"/>
  <c r="I2442" i="62"/>
  <c r="S2441" i="62"/>
  <c r="I1787" i="62"/>
  <c r="S1787" i="62" s="1"/>
  <c r="O1788" i="62"/>
  <c r="S1104" i="62"/>
  <c r="I1105" i="62"/>
  <c r="I2659" i="62"/>
  <c r="S2658" i="62"/>
  <c r="I2043" i="62"/>
  <c r="S2042" i="62"/>
  <c r="S901" i="62"/>
  <c r="I902" i="62"/>
  <c r="I2691" i="62"/>
  <c r="S2690" i="62"/>
  <c r="S2348" i="62"/>
  <c r="I2349" i="62"/>
  <c r="S2317" i="62"/>
  <c r="I2318" i="62"/>
  <c r="S2256" i="62"/>
  <c r="S2137" i="62"/>
  <c r="S2138" i="62"/>
  <c r="S2041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O1843" i="62" l="1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13" i="62"/>
  <c r="S2413" i="62" s="1"/>
  <c r="S2824" i="62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758" i="62"/>
  <c r="I2759" i="62"/>
  <c r="I2524" i="62"/>
  <c r="S2523" i="62"/>
  <c r="I1621" i="62"/>
  <c r="S1620" i="62"/>
  <c r="I1668" i="62"/>
  <c r="S1667" i="62"/>
  <c r="I1718" i="62"/>
  <c r="S1718" i="62" s="1"/>
  <c r="S660" i="62"/>
  <c r="I661" i="62"/>
  <c r="I729" i="62"/>
  <c r="S728" i="62"/>
  <c r="I2477" i="62"/>
  <c r="S2476" i="62"/>
  <c r="I1072" i="62"/>
  <c r="S1071" i="62"/>
  <c r="I1889" i="62"/>
  <c r="S1888" i="62"/>
  <c r="S387" i="62"/>
  <c r="I388" i="62"/>
  <c r="I2567" i="62"/>
  <c r="S2566" i="62"/>
  <c r="I2102" i="62"/>
  <c r="S2101" i="62"/>
  <c r="I2073" i="62"/>
  <c r="S2072" i="62"/>
  <c r="S2287" i="62"/>
  <c r="I2288" i="62"/>
  <c r="I20" i="32"/>
  <c r="I23" i="23"/>
  <c r="I19" i="21"/>
  <c r="I1446" i="62"/>
  <c r="S1445" i="62"/>
  <c r="I1985" i="62"/>
  <c r="S1984" i="62"/>
  <c r="S1513" i="62"/>
  <c r="I1514" i="62"/>
  <c r="I2787" i="62"/>
  <c r="S2787" i="62" s="1"/>
  <c r="I320" i="62"/>
  <c r="S319" i="62"/>
  <c r="S78" i="62"/>
  <c r="I79" i="62"/>
  <c r="I2692" i="62"/>
  <c r="S2691" i="62"/>
  <c r="I2443" i="62"/>
  <c r="S2442" i="62"/>
  <c r="I1004" i="62"/>
  <c r="S1003" i="62"/>
  <c r="I627" i="62"/>
  <c r="S626" i="62"/>
  <c r="S970" i="62"/>
  <c r="I971" i="62"/>
  <c r="S559" i="62"/>
  <c r="I560" i="62"/>
  <c r="S936" i="62"/>
  <c r="I937" i="62"/>
  <c r="I2259" i="62"/>
  <c r="S2258" i="62"/>
  <c r="S1856" i="62"/>
  <c r="I1857" i="62"/>
  <c r="S902" i="62"/>
  <c r="I903" i="62"/>
  <c r="S2380" i="62"/>
  <c r="I2381" i="62"/>
  <c r="I355" i="62"/>
  <c r="S354" i="62"/>
  <c r="I1311" i="62"/>
  <c r="S1310" i="62"/>
  <c r="I1379" i="62"/>
  <c r="S1378" i="62"/>
  <c r="S1947" i="62"/>
  <c r="I1948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195" i="62"/>
  <c r="S2195" i="62" s="1"/>
  <c r="S2163" i="62"/>
  <c r="I2164" i="62"/>
  <c r="P2599" i="62"/>
  <c r="I2599" i="62" s="1"/>
  <c r="S2599" i="62" s="1"/>
  <c r="O2600" i="62"/>
  <c r="I598" i="62"/>
  <c r="S597" i="62"/>
  <c r="S1915" i="62"/>
  <c r="I1916" i="62"/>
  <c r="I1820" i="62"/>
  <c r="S1819" i="62"/>
  <c r="S2349" i="62"/>
  <c r="I2350" i="62"/>
  <c r="S44" i="62"/>
  <c r="I45" i="62"/>
  <c r="I2226" i="62"/>
  <c r="S2226" i="62" s="1"/>
  <c r="I1549" i="62"/>
  <c r="S1548" i="62"/>
  <c r="I2660" i="62"/>
  <c r="S2659" i="62"/>
  <c r="S180" i="62"/>
  <c r="I181" i="62"/>
  <c r="S2721" i="62"/>
  <c r="I2722" i="62"/>
  <c r="S455" i="62"/>
  <c r="I456" i="62"/>
  <c r="S146" i="62"/>
  <c r="I147" i="62"/>
  <c r="I2141" i="62"/>
  <c r="S2140" i="62"/>
  <c r="I10" i="62"/>
  <c r="S9" i="62"/>
  <c r="S524" i="62"/>
  <c r="I525" i="62"/>
  <c r="S1037" i="62"/>
  <c r="I1038" i="62"/>
  <c r="I2044" i="62"/>
  <c r="S2043" i="62"/>
  <c r="S1105" i="62"/>
  <c r="I1106" i="62"/>
  <c r="S866" i="62"/>
  <c r="I867" i="62"/>
  <c r="I2319" i="62"/>
  <c r="S2318" i="62"/>
  <c r="I2629" i="62"/>
  <c r="S2629" i="62" s="1"/>
  <c r="I1583" i="62"/>
  <c r="S284" i="62"/>
  <c r="I285" i="62"/>
  <c r="I2536" i="62"/>
  <c r="S2535" i="62"/>
  <c r="S1275" i="62"/>
  <c r="I1276" i="62"/>
  <c r="I1412" i="62"/>
  <c r="S1411" i="62"/>
  <c r="I2010" i="62"/>
  <c r="S2009" i="62"/>
  <c r="I19" i="31"/>
  <c r="I14" i="49"/>
  <c r="I18" i="33"/>
  <c r="I21" i="20"/>
  <c r="I22" i="15"/>
  <c r="I1371" i="62" l="1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14" i="62"/>
  <c r="S2414" i="62" s="1"/>
  <c r="I1753" i="62"/>
  <c r="I1754" i="62" s="1"/>
  <c r="S2825" i="62"/>
  <c r="S1486" i="62"/>
  <c r="I216" i="62"/>
  <c r="S216" i="62" s="1"/>
  <c r="I766" i="62"/>
  <c r="I767" i="62" s="1"/>
  <c r="I696" i="62"/>
  <c r="I697" i="62" s="1"/>
  <c r="I1685" i="62"/>
  <c r="S1684" i="62"/>
  <c r="I2760" i="62"/>
  <c r="S2759" i="62"/>
  <c r="I1669" i="62"/>
  <c r="S1668" i="62"/>
  <c r="I2525" i="62"/>
  <c r="S2524" i="62"/>
  <c r="I1719" i="62"/>
  <c r="I1622" i="62"/>
  <c r="S1621" i="62"/>
  <c r="I662" i="62"/>
  <c r="S661" i="62"/>
  <c r="I1584" i="62"/>
  <c r="S1583" i="62"/>
  <c r="I2074" i="62"/>
  <c r="S2073" i="62"/>
  <c r="I2568" i="62"/>
  <c r="S2567" i="62"/>
  <c r="I1890" i="62"/>
  <c r="S1889" i="62"/>
  <c r="I2478" i="62"/>
  <c r="S2477" i="62"/>
  <c r="I2289" i="62"/>
  <c r="S2288" i="62"/>
  <c r="S388" i="62"/>
  <c r="I389" i="62"/>
  <c r="I2103" i="62"/>
  <c r="S2102" i="62"/>
  <c r="I1073" i="62"/>
  <c r="S1072" i="62"/>
  <c r="I730" i="62"/>
  <c r="S729" i="62"/>
  <c r="I1447" i="62"/>
  <c r="S1446" i="62"/>
  <c r="I1986" i="62"/>
  <c r="S1985" i="62"/>
  <c r="I1515" i="62"/>
  <c r="S1514" i="62"/>
  <c r="I2788" i="62"/>
  <c r="S2788" i="62" s="1"/>
  <c r="I321" i="62"/>
  <c r="S320" i="62"/>
  <c r="I80" i="62"/>
  <c r="S79" i="62"/>
  <c r="S1106" i="62"/>
  <c r="I1107" i="62"/>
  <c r="S2722" i="62"/>
  <c r="I2723" i="62"/>
  <c r="I2351" i="62"/>
  <c r="S2350" i="62"/>
  <c r="S560" i="62"/>
  <c r="I561" i="62"/>
  <c r="I2537" i="62"/>
  <c r="S2536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49" i="62"/>
  <c r="S1948" i="62"/>
  <c r="I972" i="62"/>
  <c r="S971" i="62"/>
  <c r="I526" i="62"/>
  <c r="S525" i="62"/>
  <c r="S2381" i="62"/>
  <c r="I2382" i="62"/>
  <c r="S1412" i="62"/>
  <c r="I1413" i="62"/>
  <c r="I2630" i="62"/>
  <c r="S2630" i="62" s="1"/>
  <c r="I2320" i="62"/>
  <c r="S2319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260" i="62"/>
  <c r="S2259" i="62"/>
  <c r="I2444" i="62"/>
  <c r="S2443" i="62"/>
  <c r="I2045" i="62"/>
  <c r="S2044" i="62"/>
  <c r="S1142" i="62"/>
  <c r="S1276" i="62"/>
  <c r="I1277" i="62"/>
  <c r="S867" i="62"/>
  <c r="I868" i="62"/>
  <c r="S1038" i="62"/>
  <c r="I1039" i="62"/>
  <c r="I46" i="62"/>
  <c r="S45" i="62"/>
  <c r="S1916" i="62"/>
  <c r="I1917" i="62"/>
  <c r="O2601" i="62"/>
  <c r="P2600" i="62"/>
  <c r="I2600" i="62" s="1"/>
  <c r="S2600" i="62" s="1"/>
  <c r="S1242" i="62"/>
  <c r="I1243" i="62"/>
  <c r="I492" i="62"/>
  <c r="S491" i="62"/>
  <c r="I904" i="62"/>
  <c r="S903" i="62"/>
  <c r="S937" i="62"/>
  <c r="I938" i="62"/>
  <c r="I148" i="62"/>
  <c r="S147" i="62"/>
  <c r="I2227" i="62"/>
  <c r="S2227" i="62" s="1"/>
  <c r="I2165" i="62"/>
  <c r="S2164" i="62"/>
  <c r="S1857" i="62"/>
  <c r="I1858" i="62"/>
  <c r="I2011" i="62"/>
  <c r="S2010" i="62"/>
  <c r="I2142" i="62"/>
  <c r="S2141" i="62"/>
  <c r="I2661" i="62"/>
  <c r="S2660" i="62"/>
  <c r="I1550" i="62"/>
  <c r="S1549" i="62"/>
  <c r="I2196" i="62"/>
  <c r="S2196" i="62" s="1"/>
  <c r="I1380" i="62"/>
  <c r="S1379" i="62"/>
  <c r="I356" i="62"/>
  <c r="S355" i="62"/>
  <c r="I628" i="62"/>
  <c r="S627" i="62"/>
  <c r="I2693" i="62"/>
  <c r="S2692" i="62"/>
  <c r="I140" i="62" l="1"/>
  <c r="S140" i="62" s="1"/>
  <c r="S135" i="62"/>
  <c r="S1753" i="62"/>
  <c r="I2415" i="62"/>
  <c r="S2415" i="62" s="1"/>
  <c r="S2826" i="62"/>
  <c r="I217" i="62"/>
  <c r="S217" i="62" s="1"/>
  <c r="S766" i="62"/>
  <c r="S696" i="62"/>
  <c r="I1686" i="62"/>
  <c r="S1685" i="62"/>
  <c r="I2761" i="62"/>
  <c r="S2760" i="62"/>
  <c r="I1623" i="62"/>
  <c r="S1622" i="62"/>
  <c r="I2526" i="62"/>
  <c r="S2525" i="62"/>
  <c r="I1720" i="62"/>
  <c r="S1719" i="62"/>
  <c r="I1670" i="62"/>
  <c r="I1674" i="62" s="1"/>
  <c r="S1674" i="62" s="1"/>
  <c r="S1669" i="62"/>
  <c r="I663" i="62"/>
  <c r="S662" i="62"/>
  <c r="S730" i="62"/>
  <c r="I731" i="62"/>
  <c r="I2104" i="62"/>
  <c r="S2103" i="62"/>
  <c r="I2290" i="62"/>
  <c r="S2289" i="62"/>
  <c r="I1891" i="62"/>
  <c r="S1890" i="62"/>
  <c r="I2075" i="62"/>
  <c r="S2074" i="62"/>
  <c r="S389" i="62"/>
  <c r="I390" i="62"/>
  <c r="I1074" i="62"/>
  <c r="S1073" i="62"/>
  <c r="I2479" i="62"/>
  <c r="S2478" i="62"/>
  <c r="I2569" i="62"/>
  <c r="S2568" i="62"/>
  <c r="I1585" i="62"/>
  <c r="S1584" i="62"/>
  <c r="I1448" i="62"/>
  <c r="S1447" i="62"/>
  <c r="I1987" i="62"/>
  <c r="S1986" i="62"/>
  <c r="I1516" i="62"/>
  <c r="S1515" i="62"/>
  <c r="I2789" i="62"/>
  <c r="S2789" i="62" s="1"/>
  <c r="I322" i="62"/>
  <c r="S321" i="62"/>
  <c r="I81" i="62"/>
  <c r="S80" i="62"/>
  <c r="S1039" i="62"/>
  <c r="I1040" i="62"/>
  <c r="I2143" i="62"/>
  <c r="S2142" i="62"/>
  <c r="S2444" i="62"/>
  <c r="I2445" i="62"/>
  <c r="S1858" i="62"/>
  <c r="I1859" i="62"/>
  <c r="I1918" i="62"/>
  <c r="S1917" i="62"/>
  <c r="S11" i="62"/>
  <c r="I12" i="62"/>
  <c r="I2631" i="62"/>
  <c r="S2631" i="62" s="1"/>
  <c r="S286" i="62"/>
  <c r="I287" i="62"/>
  <c r="I562" i="62"/>
  <c r="S561" i="62"/>
  <c r="S2723" i="62"/>
  <c r="I2724" i="62"/>
  <c r="I1278" i="62"/>
  <c r="S1277" i="62"/>
  <c r="S1178" i="62"/>
  <c r="I1179" i="62"/>
  <c r="S904" i="62"/>
  <c r="I905" i="62"/>
  <c r="S2320" i="62"/>
  <c r="I2321" i="62"/>
  <c r="I1210" i="62"/>
  <c r="S1209" i="62"/>
  <c r="I2538" i="62"/>
  <c r="S2537" i="62"/>
  <c r="S356" i="62"/>
  <c r="I357" i="62"/>
  <c r="I149" i="62"/>
  <c r="S148" i="62"/>
  <c r="I493" i="62"/>
  <c r="S492" i="62"/>
  <c r="S1143" i="62"/>
  <c r="S1754" i="62"/>
  <c r="I1755" i="62"/>
  <c r="I2261" i="62"/>
  <c r="S2260" i="62"/>
  <c r="I1790" i="62"/>
  <c r="S1790" i="62" s="1"/>
  <c r="O1791" i="62"/>
  <c r="I1822" i="62"/>
  <c r="S1821" i="62"/>
  <c r="I527" i="62"/>
  <c r="S526" i="62"/>
  <c r="I1950" i="62"/>
  <c r="S1949" i="62"/>
  <c r="I183" i="62"/>
  <c r="S182" i="62"/>
  <c r="I768" i="62"/>
  <c r="S767" i="62"/>
  <c r="I629" i="62"/>
  <c r="S628" i="62"/>
  <c r="O2602" i="62"/>
  <c r="P2601" i="62"/>
  <c r="I2601" i="62" s="1"/>
  <c r="S2601" i="62" s="1"/>
  <c r="I2046" i="62"/>
  <c r="S2045" i="62"/>
  <c r="I2352" i="62"/>
  <c r="S2351" i="62"/>
  <c r="S2661" i="62"/>
  <c r="I2662" i="62"/>
  <c r="I939" i="62"/>
  <c r="S938" i="62"/>
  <c r="S1243" i="62"/>
  <c r="I1244" i="62"/>
  <c r="I869" i="62"/>
  <c r="S868" i="62"/>
  <c r="S697" i="62"/>
  <c r="I698" i="62"/>
  <c r="S1413" i="62"/>
  <c r="I1414" i="62"/>
  <c r="S2382" i="62"/>
  <c r="I2383" i="62"/>
  <c r="S1005" i="62"/>
  <c r="I1006" i="62"/>
  <c r="S1107" i="62"/>
  <c r="I1108" i="62"/>
  <c r="S1488" i="62"/>
  <c r="I1489" i="62"/>
  <c r="S1550" i="62"/>
  <c r="I1551" i="62"/>
  <c r="I2228" i="62"/>
  <c r="S2228" i="62" s="1"/>
  <c r="I1313" i="62"/>
  <c r="S1312" i="62"/>
  <c r="I2694" i="62"/>
  <c r="S2693" i="62"/>
  <c r="I1381" i="62"/>
  <c r="S1380" i="62"/>
  <c r="I2197" i="62"/>
  <c r="S2197" i="62" s="1"/>
  <c r="S2011" i="62"/>
  <c r="I2012" i="62"/>
  <c r="I2166" i="62"/>
  <c r="S2165" i="62"/>
  <c r="S46" i="62"/>
  <c r="I47" i="62"/>
  <c r="S972" i="62"/>
  <c r="I973" i="62"/>
  <c r="I252" i="62"/>
  <c r="S251" i="62"/>
  <c r="I458" i="62"/>
  <c r="S457" i="62"/>
  <c r="I600" i="62"/>
  <c r="S599" i="62"/>
  <c r="I2416" i="62" l="1"/>
  <c r="S2416" i="62" s="1"/>
  <c r="S2827" i="62"/>
  <c r="I218" i="62"/>
  <c r="S218" i="62" s="1"/>
  <c r="I1687" i="62"/>
  <c r="S1686" i="62"/>
  <c r="I2762" i="62"/>
  <c r="S2761" i="62"/>
  <c r="I1721" i="62"/>
  <c r="S1720" i="62"/>
  <c r="I2527" i="62"/>
  <c r="S2526" i="62"/>
  <c r="I1671" i="62"/>
  <c r="I1675" i="62" s="1"/>
  <c r="S1675" i="62" s="1"/>
  <c r="S1670" i="62"/>
  <c r="I1624" i="62"/>
  <c r="S1623" i="62"/>
  <c r="I664" i="62"/>
  <c r="S663" i="62"/>
  <c r="I391" i="62"/>
  <c r="S390" i="62"/>
  <c r="I1586" i="62"/>
  <c r="S1585" i="62"/>
  <c r="I2480" i="62"/>
  <c r="S2479" i="62"/>
  <c r="I1892" i="62"/>
  <c r="S1891" i="62"/>
  <c r="I2105" i="62"/>
  <c r="S2104" i="62"/>
  <c r="I732" i="62"/>
  <c r="S731" i="62"/>
  <c r="S2569" i="62"/>
  <c r="I2570" i="62"/>
  <c r="I1075" i="62"/>
  <c r="S1074" i="62"/>
  <c r="I2076" i="62"/>
  <c r="S2075" i="62"/>
  <c r="I2291" i="62"/>
  <c r="S2290" i="62"/>
  <c r="I1449" i="62"/>
  <c r="S1448" i="62"/>
  <c r="I1988" i="62"/>
  <c r="S1987" i="62"/>
  <c r="I1517" i="62"/>
  <c r="S1516" i="62"/>
  <c r="I2790" i="62"/>
  <c r="S2790" i="62" s="1"/>
  <c r="S322" i="62"/>
  <c r="I323" i="62"/>
  <c r="I82" i="62"/>
  <c r="S81" i="62"/>
  <c r="S2724" i="62"/>
  <c r="I2725" i="62"/>
  <c r="I2695" i="62"/>
  <c r="S2694" i="62"/>
  <c r="I974" i="62"/>
  <c r="S973" i="62"/>
  <c r="S47" i="62"/>
  <c r="I48" i="62"/>
  <c r="I1490" i="62"/>
  <c r="S1489" i="62"/>
  <c r="I2384" i="62"/>
  <c r="S2383" i="62"/>
  <c r="S1244" i="62"/>
  <c r="I1245" i="62"/>
  <c r="S2662" i="62"/>
  <c r="I2663" i="62"/>
  <c r="S357" i="62"/>
  <c r="I358" i="62"/>
  <c r="I2322" i="62"/>
  <c r="S2321" i="62"/>
  <c r="I1180" i="62"/>
  <c r="S1179" i="62"/>
  <c r="S12" i="62"/>
  <c r="I13" i="62"/>
  <c r="I1860" i="62"/>
  <c r="S1859" i="62"/>
  <c r="O1792" i="62"/>
  <c r="I1791" i="62"/>
  <c r="S1791" i="62" s="1"/>
  <c r="I2632" i="62"/>
  <c r="S2632" i="62" s="1"/>
  <c r="I253" i="62"/>
  <c r="S252" i="62"/>
  <c r="I2198" i="62"/>
  <c r="S2198" i="62" s="1"/>
  <c r="I2047" i="62"/>
  <c r="S2046" i="62"/>
  <c r="S629" i="62"/>
  <c r="I630" i="62"/>
  <c r="I184" i="62"/>
  <c r="S183" i="62"/>
  <c r="S2261" i="62"/>
  <c r="I2262" i="62"/>
  <c r="I494" i="62"/>
  <c r="S493" i="62"/>
  <c r="I563" i="62"/>
  <c r="S562" i="62"/>
  <c r="I2144" i="62"/>
  <c r="S2143" i="62"/>
  <c r="S2012" i="62"/>
  <c r="I2013" i="62"/>
  <c r="S1551" i="62"/>
  <c r="I1552" i="62"/>
  <c r="S2445" i="62"/>
  <c r="I244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19" i="62"/>
  <c r="S1918" i="62"/>
  <c r="I601" i="62"/>
  <c r="S600" i="62"/>
  <c r="I459" i="62"/>
  <c r="S458" i="62"/>
  <c r="I2167" i="62"/>
  <c r="S2166" i="62"/>
  <c r="I1382" i="62"/>
  <c r="S1381" i="62"/>
  <c r="S1313" i="62"/>
  <c r="I1314" i="62"/>
  <c r="I2229" i="62"/>
  <c r="S2229" i="62" s="1"/>
  <c r="I940" i="62"/>
  <c r="S939" i="62"/>
  <c r="S2352" i="62"/>
  <c r="I2353" i="62"/>
  <c r="P2602" i="62"/>
  <c r="I2602" i="62" s="1"/>
  <c r="S2602" i="62" s="1"/>
  <c r="O2603" i="62"/>
  <c r="S768" i="62"/>
  <c r="I769" i="62"/>
  <c r="I1951" i="62"/>
  <c r="S1950" i="62"/>
  <c r="I1823" i="62"/>
  <c r="S1822" i="62"/>
  <c r="I150" i="62"/>
  <c r="S149" i="62"/>
  <c r="I2539" i="62"/>
  <c r="S2538" i="62"/>
  <c r="S1278" i="62"/>
  <c r="I1279" i="62"/>
  <c r="I2417" i="62" l="1"/>
  <c r="S2417" i="62" s="1"/>
  <c r="S2828" i="62"/>
  <c r="I219" i="62"/>
  <c r="S219" i="62" s="1"/>
  <c r="I1688" i="62"/>
  <c r="S1687" i="62"/>
  <c r="I2763" i="62"/>
  <c r="S2762" i="62"/>
  <c r="S2527" i="62"/>
  <c r="I2528" i="62"/>
  <c r="I1625" i="62"/>
  <c r="S1624" i="62"/>
  <c r="I1672" i="62"/>
  <c r="I1676" i="62" s="1"/>
  <c r="S1676" i="62" s="1"/>
  <c r="S1671" i="62"/>
  <c r="I1722" i="62"/>
  <c r="S1721" i="62"/>
  <c r="S664" i="62"/>
  <c r="I665" i="62"/>
  <c r="I2292" i="62"/>
  <c r="S2291" i="62"/>
  <c r="I1076" i="62"/>
  <c r="S1075" i="62"/>
  <c r="I733" i="62"/>
  <c r="S732" i="62"/>
  <c r="I1893" i="62"/>
  <c r="S1892" i="62"/>
  <c r="I1587" i="62"/>
  <c r="S1586" i="62"/>
  <c r="I2571" i="62"/>
  <c r="S2570" i="62"/>
  <c r="I2077" i="62"/>
  <c r="S2076" i="62"/>
  <c r="I2106" i="62"/>
  <c r="S2105" i="62"/>
  <c r="I2481" i="62"/>
  <c r="S2480" i="62"/>
  <c r="I392" i="62"/>
  <c r="S391" i="62"/>
  <c r="I1450" i="62"/>
  <c r="S1449" i="62"/>
  <c r="I1989" i="62"/>
  <c r="S1988" i="62"/>
  <c r="S1517" i="62"/>
  <c r="I1518" i="62"/>
  <c r="I2791" i="62"/>
  <c r="S2791" i="62" s="1"/>
  <c r="I324" i="62"/>
  <c r="S323" i="62"/>
  <c r="S82" i="62"/>
  <c r="I83" i="62"/>
  <c r="S2262" i="62"/>
  <c r="I2263" i="62"/>
  <c r="S2663" i="62"/>
  <c r="I2664" i="62"/>
  <c r="I1383" i="62"/>
  <c r="S1382" i="62"/>
  <c r="S1279" i="62"/>
  <c r="I1280" i="62"/>
  <c r="O2604" i="62"/>
  <c r="P2603" i="62"/>
  <c r="I2603" i="62" s="1"/>
  <c r="S2603" i="62" s="1"/>
  <c r="S1109" i="62"/>
  <c r="I1110" i="62"/>
  <c r="I2447" i="62"/>
  <c r="S2446" i="62"/>
  <c r="S1552" i="62"/>
  <c r="I1553" i="62"/>
  <c r="S1245" i="62"/>
  <c r="I1246" i="62"/>
  <c r="S2725" i="62"/>
  <c r="I2726" i="62"/>
  <c r="S630" i="62"/>
  <c r="I631" i="62"/>
  <c r="I1212" i="62"/>
  <c r="S1211" i="62"/>
  <c r="I907" i="62"/>
  <c r="S906" i="62"/>
  <c r="I2145" i="62"/>
  <c r="S2144" i="62"/>
  <c r="S253" i="62"/>
  <c r="I254" i="62"/>
  <c r="O1793" i="62"/>
  <c r="I1792" i="62"/>
  <c r="S1792" i="62" s="1"/>
  <c r="I1181" i="62"/>
  <c r="S1180" i="62"/>
  <c r="I1491" i="62"/>
  <c r="S1490" i="62"/>
  <c r="I2230" i="62"/>
  <c r="S2230" i="62" s="1"/>
  <c r="S2167" i="62"/>
  <c r="I2168" i="62"/>
  <c r="I602" i="62"/>
  <c r="S601" i="62"/>
  <c r="S1145" i="62"/>
  <c r="S870" i="62"/>
  <c r="I871" i="62"/>
  <c r="S1756" i="62"/>
  <c r="I1757" i="62"/>
  <c r="I564" i="62"/>
  <c r="S563" i="62"/>
  <c r="I2048" i="62"/>
  <c r="S2047" i="62"/>
  <c r="I2199" i="62"/>
  <c r="I2633" i="62"/>
  <c r="S2633" i="62" s="1"/>
  <c r="I1861" i="62"/>
  <c r="S1860" i="62"/>
  <c r="I2323" i="62"/>
  <c r="S2322" i="62"/>
  <c r="S1041" i="62"/>
  <c r="I1042" i="62"/>
  <c r="S940" i="62"/>
  <c r="I941" i="62"/>
  <c r="S1823" i="62"/>
  <c r="I1824" i="62"/>
  <c r="I2354" i="62"/>
  <c r="S2353" i="62"/>
  <c r="I2014" i="62"/>
  <c r="S2013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540" i="62"/>
  <c r="S2539" i="62"/>
  <c r="S1951" i="62"/>
  <c r="I1952" i="62"/>
  <c r="S1919" i="62"/>
  <c r="I1920" i="62"/>
  <c r="I1008" i="62"/>
  <c r="S1007" i="62"/>
  <c r="I289" i="62"/>
  <c r="S288" i="62"/>
  <c r="I529" i="62"/>
  <c r="S528" i="62"/>
  <c r="S494" i="62"/>
  <c r="I495" i="62"/>
  <c r="S184" i="62"/>
  <c r="I185" i="62"/>
  <c r="I2385" i="62"/>
  <c r="S2384" i="62"/>
  <c r="I2696" i="62"/>
  <c r="S2695" i="62"/>
  <c r="I2418" i="62" l="1"/>
  <c r="S2418" i="62" s="1"/>
  <c r="S2829" i="62"/>
  <c r="I220" i="62"/>
  <c r="I1689" i="62"/>
  <c r="S1688" i="62"/>
  <c r="I2764" i="62"/>
  <c r="S2763" i="62"/>
  <c r="S2528" i="62"/>
  <c r="I2529" i="62"/>
  <c r="I1673" i="62"/>
  <c r="S1672" i="62"/>
  <c r="S1722" i="62"/>
  <c r="I1723" i="62"/>
  <c r="I1626" i="62"/>
  <c r="S1625" i="62"/>
  <c r="S665" i="62"/>
  <c r="I666" i="62"/>
  <c r="I393" i="62"/>
  <c r="S392" i="62"/>
  <c r="I2107" i="62"/>
  <c r="S2106" i="62"/>
  <c r="I2572" i="62"/>
  <c r="S2571" i="62"/>
  <c r="I1894" i="62"/>
  <c r="S1893" i="62"/>
  <c r="I1077" i="62"/>
  <c r="S1076" i="62"/>
  <c r="I2482" i="62"/>
  <c r="S2481" i="62"/>
  <c r="I2078" i="62"/>
  <c r="S2077" i="62"/>
  <c r="I1588" i="62"/>
  <c r="S1587" i="62"/>
  <c r="I734" i="62"/>
  <c r="S733" i="62"/>
  <c r="I2293" i="62"/>
  <c r="S2292" i="62"/>
  <c r="I1451" i="62"/>
  <c r="S1450" i="62"/>
  <c r="I1990" i="62"/>
  <c r="S1989" i="62"/>
  <c r="I1519" i="62"/>
  <c r="S1518" i="62"/>
  <c r="I2792" i="62"/>
  <c r="S2792" i="62" s="1"/>
  <c r="I325" i="62"/>
  <c r="S324" i="62"/>
  <c r="S83" i="62"/>
  <c r="I84" i="62"/>
  <c r="S941" i="62"/>
  <c r="I942" i="62"/>
  <c r="I2169" i="62"/>
  <c r="S2168" i="62"/>
  <c r="S631" i="62"/>
  <c r="I632" i="62"/>
  <c r="S1246" i="62"/>
  <c r="I1247" i="62"/>
  <c r="I976" i="62"/>
  <c r="S975" i="62"/>
  <c r="S14" i="62"/>
  <c r="I15" i="62"/>
  <c r="I2419" i="62"/>
  <c r="S2419" i="62" s="1"/>
  <c r="S700" i="62"/>
  <c r="I701" i="62"/>
  <c r="S49" i="62"/>
  <c r="I50" i="62"/>
  <c r="S2726" i="62"/>
  <c r="I2727" i="62"/>
  <c r="I1554" i="62"/>
  <c r="S1553" i="62"/>
  <c r="S2664" i="62"/>
  <c r="I2665" i="62"/>
  <c r="S151" i="62"/>
  <c r="I152" i="62"/>
  <c r="S1110" i="62"/>
  <c r="I1111" i="62"/>
  <c r="I2697" i="62"/>
  <c r="S2696" i="62"/>
  <c r="I290" i="62"/>
  <c r="S289" i="62"/>
  <c r="I2541" i="62"/>
  <c r="S2540" i="62"/>
  <c r="I1182" i="62"/>
  <c r="S1181" i="62"/>
  <c r="I1417" i="62"/>
  <c r="S1416" i="62"/>
  <c r="I2015" i="62"/>
  <c r="S2014" i="62"/>
  <c r="S2323" i="62"/>
  <c r="I2324" i="62"/>
  <c r="I2200" i="62"/>
  <c r="S2199" i="62"/>
  <c r="S564" i="62"/>
  <c r="I565" i="62"/>
  <c r="S1146" i="62"/>
  <c r="I2231" i="62"/>
  <c r="S2231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53" i="62"/>
  <c r="S1952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263" i="62"/>
  <c r="I2264" i="62"/>
  <c r="S1920" i="62"/>
  <c r="I1921" i="62"/>
  <c r="S1280" i="62"/>
  <c r="I1281" i="62"/>
  <c r="I2634" i="62"/>
  <c r="S2634" i="62" s="1"/>
  <c r="I2146" i="62"/>
  <c r="S2145" i="62"/>
  <c r="I2386" i="62"/>
  <c r="S2385" i="62"/>
  <c r="S1008" i="62"/>
  <c r="I1009" i="62"/>
  <c r="S185" i="62"/>
  <c r="I186" i="62"/>
  <c r="I530" i="62"/>
  <c r="S529" i="62"/>
  <c r="S1315" i="62"/>
  <c r="I1316" i="62"/>
  <c r="I2355" i="62"/>
  <c r="S2354" i="62"/>
  <c r="I1862" i="62"/>
  <c r="S1861" i="62"/>
  <c r="I2049" i="62"/>
  <c r="S2048" i="62"/>
  <c r="I603" i="62"/>
  <c r="S602" i="62"/>
  <c r="I1492" i="62"/>
  <c r="S1491" i="62"/>
  <c r="I1213" i="62"/>
  <c r="S1212" i="62"/>
  <c r="I2448" i="62"/>
  <c r="S2447" i="62"/>
  <c r="O2605" i="62"/>
  <c r="P2604" i="62"/>
  <c r="I2604" i="62" s="1"/>
  <c r="S2604" i="62" s="1"/>
  <c r="I1384" i="62"/>
  <c r="S1383" i="62"/>
  <c r="S2830" i="62" l="1"/>
  <c r="S220" i="62"/>
  <c r="I221" i="62"/>
  <c r="I1690" i="62"/>
  <c r="S1689" i="62"/>
  <c r="I2765" i="62"/>
  <c r="S2764" i="62"/>
  <c r="S1626" i="62"/>
  <c r="I1627" i="62"/>
  <c r="I1677" i="62"/>
  <c r="S1673" i="62"/>
  <c r="S1723" i="62"/>
  <c r="I1724" i="62"/>
  <c r="S2529" i="62"/>
  <c r="S666" i="62"/>
  <c r="I667" i="62"/>
  <c r="I735" i="62"/>
  <c r="S734" i="62"/>
  <c r="I2079" i="62"/>
  <c r="S2078" i="62"/>
  <c r="I1078" i="62"/>
  <c r="S1077" i="62"/>
  <c r="I2573" i="62"/>
  <c r="S2572" i="62"/>
  <c r="I394" i="62"/>
  <c r="S393" i="62"/>
  <c r="I2294" i="62"/>
  <c r="S2293" i="62"/>
  <c r="I1589" i="62"/>
  <c r="S1588" i="62"/>
  <c r="I2483" i="62"/>
  <c r="S2482" i="62"/>
  <c r="S1894" i="62"/>
  <c r="I1895" i="62"/>
  <c r="I2108" i="62"/>
  <c r="S2107" i="62"/>
  <c r="I1452" i="62"/>
  <c r="S1451" i="62"/>
  <c r="I1991" i="62"/>
  <c r="S1990" i="62"/>
  <c r="S1519" i="62"/>
  <c r="I1520" i="62"/>
  <c r="I2793" i="62"/>
  <c r="I326" i="62"/>
  <c r="S325" i="62"/>
  <c r="I85" i="62"/>
  <c r="S84" i="62"/>
  <c r="S1009" i="62"/>
  <c r="I1010" i="62"/>
  <c r="S1758" i="62"/>
  <c r="I1759" i="62"/>
  <c r="S2727" i="62"/>
  <c r="I2728" i="62"/>
  <c r="I1214" i="62"/>
  <c r="S1213" i="62"/>
  <c r="I2201" i="62"/>
  <c r="S2200" i="62"/>
  <c r="S976" i="62"/>
  <c r="I977" i="62"/>
  <c r="S1316" i="62"/>
  <c r="I1317" i="62"/>
  <c r="S1921" i="62"/>
  <c r="I1922" i="62"/>
  <c r="S1043" i="62"/>
  <c r="I1044" i="62"/>
  <c r="S461" i="62"/>
  <c r="I462" i="62"/>
  <c r="S1825" i="62"/>
  <c r="I1826" i="62"/>
  <c r="S2324" i="62"/>
  <c r="I2325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32" i="62"/>
  <c r="S2232" i="62" s="1"/>
  <c r="S2665" i="62"/>
  <c r="I2666" i="62"/>
  <c r="S701" i="62"/>
  <c r="I702" i="62"/>
  <c r="I1385" i="62"/>
  <c r="S1384" i="62"/>
  <c r="I2356" i="62"/>
  <c r="S2355" i="62"/>
  <c r="I2698" i="62"/>
  <c r="S2697" i="62"/>
  <c r="S2169" i="62"/>
  <c r="I2170" i="62"/>
  <c r="P2605" i="62"/>
  <c r="I2605" i="62" s="1"/>
  <c r="S2605" i="62" s="1"/>
  <c r="O2606" i="62"/>
  <c r="I1493" i="62"/>
  <c r="S1492" i="62"/>
  <c r="I1863" i="62"/>
  <c r="S1862" i="62"/>
  <c r="I2147" i="62"/>
  <c r="S2146" i="62"/>
  <c r="S908" i="62"/>
  <c r="I909" i="62"/>
  <c r="S1147" i="62"/>
  <c r="I2016" i="62"/>
  <c r="S2015" i="62"/>
  <c r="I1183" i="62"/>
  <c r="S1182" i="62"/>
  <c r="I2542" i="62"/>
  <c r="S2542" i="62" s="1"/>
  <c r="S2541" i="62"/>
  <c r="I2420" i="62"/>
  <c r="S2420" i="62" s="1"/>
  <c r="S2264" i="62"/>
  <c r="I2265" i="62"/>
  <c r="I2050" i="62"/>
  <c r="S2049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448" i="62"/>
  <c r="I2449" i="62"/>
  <c r="I604" i="62"/>
  <c r="S603" i="62"/>
  <c r="I2387" i="62"/>
  <c r="S2386" i="62"/>
  <c r="I2635" i="62"/>
  <c r="S2635" i="62" s="1"/>
  <c r="I361" i="62"/>
  <c r="S360" i="62"/>
  <c r="S1953" i="62"/>
  <c r="I1954" i="62"/>
  <c r="I1794" i="62"/>
  <c r="S1794" i="62" s="1"/>
  <c r="O1795" i="62"/>
  <c r="S1417" i="62"/>
  <c r="I1418" i="62"/>
  <c r="S290" i="62"/>
  <c r="I291" i="62"/>
  <c r="I1555" i="62"/>
  <c r="S1554" i="62"/>
  <c r="S2831" i="62" l="1"/>
  <c r="S221" i="62"/>
  <c r="I222" i="62"/>
  <c r="I1691" i="62"/>
  <c r="S1690" i="62"/>
  <c r="I2766" i="62"/>
  <c r="S2765" i="62"/>
  <c r="S1677" i="62"/>
  <c r="S1724" i="62"/>
  <c r="I1725" i="62"/>
  <c r="S1627" i="62"/>
  <c r="I1628" i="62"/>
  <c r="S667" i="62"/>
  <c r="I668" i="62"/>
  <c r="I2109" i="62"/>
  <c r="S2108" i="62"/>
  <c r="I2484" i="62"/>
  <c r="S2483" i="62"/>
  <c r="I2295" i="62"/>
  <c r="S2294" i="62"/>
  <c r="I2574" i="62"/>
  <c r="S2573" i="62"/>
  <c r="I2080" i="62"/>
  <c r="S2079" i="62"/>
  <c r="I1896" i="62"/>
  <c r="S1895" i="62"/>
  <c r="I1590" i="62"/>
  <c r="S1589" i="62"/>
  <c r="I395" i="62"/>
  <c r="S394" i="62"/>
  <c r="I1079" i="62"/>
  <c r="S1078" i="62"/>
  <c r="I736" i="62"/>
  <c r="S735" i="62"/>
  <c r="I1453" i="62"/>
  <c r="S1452" i="62"/>
  <c r="I1992" i="62"/>
  <c r="S1991" i="62"/>
  <c r="I1521" i="62"/>
  <c r="S1520" i="62"/>
  <c r="S2793" i="62"/>
  <c r="I2794" i="62"/>
  <c r="S326" i="62"/>
  <c r="I327" i="62"/>
  <c r="I86" i="62"/>
  <c r="S85" i="62"/>
  <c r="O2607" i="62"/>
  <c r="P2606" i="62"/>
  <c r="I2606" i="62" s="1"/>
  <c r="S2606" i="62" s="1"/>
  <c r="I463" i="62"/>
  <c r="S462" i="62"/>
  <c r="S1317" i="62"/>
  <c r="I1318" i="62"/>
  <c r="I2388" i="62"/>
  <c r="S2387" i="62"/>
  <c r="I532" i="62"/>
  <c r="S531" i="62"/>
  <c r="I1795" i="62"/>
  <c r="S1795" i="62" s="1"/>
  <c r="O1796" i="62"/>
  <c r="S2449" i="62"/>
  <c r="I2450" i="62"/>
  <c r="I154" i="62"/>
  <c r="S153" i="62"/>
  <c r="I257" i="62"/>
  <c r="S256" i="62"/>
  <c r="I2171" i="62"/>
  <c r="S2170" i="62"/>
  <c r="I2233" i="62"/>
  <c r="S2233" i="62" s="1"/>
  <c r="S51" i="62"/>
  <c r="I52" i="62"/>
  <c r="S2325" i="62"/>
  <c r="I2326" i="62"/>
  <c r="S1044" i="62"/>
  <c r="I1045" i="62"/>
  <c r="S977" i="62"/>
  <c r="I978" i="62"/>
  <c r="I1760" i="62"/>
  <c r="S1759" i="62"/>
  <c r="I2421" i="62"/>
  <c r="S2421" i="62" s="1"/>
  <c r="S1112" i="62"/>
  <c r="I1113" i="62"/>
  <c r="S16" i="62"/>
  <c r="I17" i="62"/>
  <c r="I2017" i="62"/>
  <c r="S2016" i="62"/>
  <c r="I2357" i="62"/>
  <c r="S2356" i="62"/>
  <c r="S772" i="62"/>
  <c r="I773" i="62"/>
  <c r="I2202" i="62"/>
  <c r="S2201" i="62"/>
  <c r="I2051" i="62"/>
  <c r="S2050" i="62"/>
  <c r="I2543" i="62"/>
  <c r="S2543" i="62" s="1"/>
  <c r="S1148" i="62"/>
  <c r="I2148" i="62"/>
  <c r="S2148" i="62" s="1"/>
  <c r="S2147" i="62"/>
  <c r="I1864" i="62"/>
  <c r="S1863" i="62"/>
  <c r="S1385" i="62"/>
  <c r="I1386" i="62"/>
  <c r="I1283" i="62"/>
  <c r="S1282" i="62"/>
  <c r="S291" i="62"/>
  <c r="I292" i="62"/>
  <c r="S2666" i="62"/>
  <c r="I2667" i="62"/>
  <c r="S1248" i="62"/>
  <c r="I1249" i="62"/>
  <c r="S2728" i="62"/>
  <c r="I2729" i="62"/>
  <c r="I362" i="62"/>
  <c r="S361" i="62"/>
  <c r="I605" i="62"/>
  <c r="S604" i="62"/>
  <c r="I498" i="62"/>
  <c r="S497" i="62"/>
  <c r="S1418" i="62"/>
  <c r="I1419" i="62"/>
  <c r="I1955" i="62"/>
  <c r="S1954" i="62"/>
  <c r="I2636" i="62"/>
  <c r="S2636" i="62" s="1"/>
  <c r="I188" i="62"/>
  <c r="S187" i="62"/>
  <c r="I2266" i="62"/>
  <c r="S2265" i="62"/>
  <c r="S909" i="62"/>
  <c r="I910" i="62"/>
  <c r="S702" i="62"/>
  <c r="I703" i="62"/>
  <c r="I874" i="62"/>
  <c r="S873" i="62"/>
  <c r="I944" i="62"/>
  <c r="S943" i="62"/>
  <c r="I1827" i="62"/>
  <c r="S1826" i="62"/>
  <c r="I1923" i="62"/>
  <c r="S1922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699" i="62"/>
  <c r="S2698" i="62"/>
  <c r="I1215" i="62"/>
  <c r="S1214" i="62"/>
  <c r="S2832" i="62" l="1"/>
  <c r="S222" i="62"/>
  <c r="I223" i="62"/>
  <c r="I1692" i="62"/>
  <c r="S1691" i="62"/>
  <c r="I2767" i="62"/>
  <c r="S2766" i="62"/>
  <c r="S1628" i="62"/>
  <c r="I1629" i="62"/>
  <c r="S1725" i="62"/>
  <c r="I1726" i="62"/>
  <c r="S668" i="62"/>
  <c r="I669" i="62"/>
  <c r="I737" i="62"/>
  <c r="S736" i="62"/>
  <c r="I396" i="62"/>
  <c r="S395" i="62"/>
  <c r="I1897" i="62"/>
  <c r="S1896" i="62"/>
  <c r="S2574" i="62"/>
  <c r="I2575" i="62"/>
  <c r="I2485" i="62"/>
  <c r="S2484" i="62"/>
  <c r="I1080" i="62"/>
  <c r="S1079" i="62"/>
  <c r="I1591" i="62"/>
  <c r="S1590" i="62"/>
  <c r="I2081" i="62"/>
  <c r="S2080" i="62"/>
  <c r="I2296" i="62"/>
  <c r="S2295" i="62"/>
  <c r="I2110" i="62"/>
  <c r="S2109" i="62"/>
  <c r="I1454" i="62"/>
  <c r="S1453" i="62"/>
  <c r="I1993" i="62"/>
  <c r="S1992" i="62"/>
  <c r="S1521" i="62"/>
  <c r="I1522" i="62"/>
  <c r="I2795" i="62"/>
  <c r="S2794" i="62"/>
  <c r="I328" i="62"/>
  <c r="S327" i="62"/>
  <c r="S86" i="62"/>
  <c r="I87" i="62"/>
  <c r="I1012" i="62"/>
  <c r="S1011" i="62"/>
  <c r="I18" i="62"/>
  <c r="S17" i="62"/>
  <c r="I2234" i="62"/>
  <c r="S2234" i="62" s="1"/>
  <c r="S1184" i="62"/>
  <c r="I1185" i="62"/>
  <c r="S703" i="62"/>
  <c r="I704" i="62"/>
  <c r="S1419" i="62"/>
  <c r="I1420" i="62"/>
  <c r="S2667" i="62"/>
  <c r="I2668" i="62"/>
  <c r="I2327" i="62"/>
  <c r="S2326" i="62"/>
  <c r="I2451" i="62"/>
  <c r="S2450" i="62"/>
  <c r="S874" i="62"/>
  <c r="I875" i="62"/>
  <c r="I606" i="62"/>
  <c r="S605" i="62"/>
  <c r="S1149" i="62"/>
  <c r="S532" i="62"/>
  <c r="I533" i="62"/>
  <c r="I2700" i="62"/>
  <c r="S2699" i="62"/>
  <c r="I189" i="62"/>
  <c r="S188" i="62"/>
  <c r="S362" i="62"/>
  <c r="I363" i="62"/>
  <c r="S1283" i="62"/>
  <c r="I1284" i="62"/>
  <c r="I1865" i="62"/>
  <c r="S1864" i="62"/>
  <c r="I2544" i="62"/>
  <c r="S2544" i="62" s="1"/>
  <c r="I2358" i="62"/>
  <c r="S2357" i="62"/>
  <c r="I1761" i="62"/>
  <c r="S1760" i="62"/>
  <c r="S2171" i="62"/>
  <c r="I2172" i="62"/>
  <c r="S2388" i="62"/>
  <c r="I2389" i="62"/>
  <c r="I464" i="62"/>
  <c r="S463" i="62"/>
  <c r="S1249" i="62"/>
  <c r="I1250" i="62"/>
  <c r="S1045" i="62"/>
  <c r="I1046" i="62"/>
  <c r="I1319" i="62"/>
  <c r="S1318" i="62"/>
  <c r="I635" i="62"/>
  <c r="S634" i="62"/>
  <c r="I2267" i="62"/>
  <c r="S2266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22" i="62"/>
  <c r="S2422" i="62" s="1"/>
  <c r="S1827" i="62"/>
  <c r="I1828" i="62"/>
  <c r="S1955" i="62"/>
  <c r="I1956" i="62"/>
  <c r="I155" i="62"/>
  <c r="S154" i="62"/>
  <c r="S1494" i="62"/>
  <c r="I1495" i="62"/>
  <c r="S567" i="62"/>
  <c r="I568" i="62"/>
  <c r="I1557" i="62"/>
  <c r="S1557" i="62" s="1"/>
  <c r="I911" i="62"/>
  <c r="S910" i="62"/>
  <c r="I2637" i="62"/>
  <c r="S2637" i="62" s="1"/>
  <c r="S2729" i="62"/>
  <c r="I2730" i="62"/>
  <c r="I1387" i="62"/>
  <c r="S1386" i="62"/>
  <c r="I1216" i="62"/>
  <c r="S1215" i="62"/>
  <c r="I1924" i="62"/>
  <c r="S1923" i="62"/>
  <c r="S944" i="62"/>
  <c r="I945" i="62"/>
  <c r="I499" i="62"/>
  <c r="S498" i="62"/>
  <c r="I2149" i="62"/>
  <c r="S2149" i="62" s="1"/>
  <c r="I2052" i="62"/>
  <c r="S2051" i="62"/>
  <c r="I2203" i="62"/>
  <c r="S2202" i="62"/>
  <c r="I2018" i="62"/>
  <c r="S2017" i="62"/>
  <c r="I258" i="62"/>
  <c r="S257" i="62"/>
  <c r="O2608" i="62"/>
  <c r="P2607" i="62"/>
  <c r="I2607" i="62" s="1"/>
  <c r="S2607" i="62" s="1"/>
  <c r="S2833" i="62" l="1"/>
  <c r="S223" i="62"/>
  <c r="I224" i="62"/>
  <c r="I1693" i="62"/>
  <c r="S1692" i="62"/>
  <c r="I2768" i="62"/>
  <c r="S2767" i="62"/>
  <c r="I1727" i="62"/>
  <c r="S1726" i="62"/>
  <c r="S1629" i="62"/>
  <c r="I1630" i="62"/>
  <c r="S669" i="62"/>
  <c r="I670" i="62"/>
  <c r="I2576" i="62"/>
  <c r="S2575" i="62"/>
  <c r="I2111" i="62"/>
  <c r="S2110" i="62"/>
  <c r="I2082" i="62"/>
  <c r="S2081" i="62"/>
  <c r="I1081" i="62"/>
  <c r="S1080" i="62"/>
  <c r="S396" i="62"/>
  <c r="I397" i="62"/>
  <c r="S2296" i="62"/>
  <c r="I2297" i="62"/>
  <c r="I1592" i="62"/>
  <c r="S1591" i="62"/>
  <c r="I2486" i="62"/>
  <c r="S2485" i="62"/>
  <c r="I1898" i="62"/>
  <c r="S1897" i="62"/>
  <c r="S737" i="62"/>
  <c r="I738" i="62"/>
  <c r="I1455" i="62"/>
  <c r="S1454" i="62"/>
  <c r="I1994" i="62"/>
  <c r="S1993" i="62"/>
  <c r="I1523" i="62"/>
  <c r="S1522" i="62"/>
  <c r="I2796" i="62"/>
  <c r="S2795" i="62"/>
  <c r="I329" i="62"/>
  <c r="S328" i="62"/>
  <c r="I88" i="62"/>
  <c r="S87" i="62"/>
  <c r="I1251" i="62"/>
  <c r="S1250" i="62"/>
  <c r="I2150" i="62"/>
  <c r="S2150" i="62" s="1"/>
  <c r="I1925" i="62"/>
  <c r="S1924" i="62"/>
  <c r="I156" i="62"/>
  <c r="S155" i="62"/>
  <c r="O1798" i="62"/>
  <c r="I1797" i="62"/>
  <c r="S1797" i="62" s="1"/>
  <c r="S635" i="62"/>
  <c r="I636" i="62"/>
  <c r="S2358" i="62"/>
  <c r="I2359" i="62"/>
  <c r="I607" i="62"/>
  <c r="S606" i="62"/>
  <c r="I2452" i="62"/>
  <c r="S245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668" i="62"/>
  <c r="I2669" i="62"/>
  <c r="I1186" i="62"/>
  <c r="S1185" i="62"/>
  <c r="S704" i="62"/>
  <c r="I705" i="62"/>
  <c r="S499" i="62"/>
  <c r="I500" i="62"/>
  <c r="I2423" i="62"/>
  <c r="S2423" i="62" s="1"/>
  <c r="I1320" i="62"/>
  <c r="S1319" i="62"/>
  <c r="I465" i="62"/>
  <c r="S464" i="62"/>
  <c r="I1762" i="62"/>
  <c r="S1761" i="62"/>
  <c r="I2545" i="62"/>
  <c r="S2545" i="62" s="1"/>
  <c r="S2327" i="62"/>
  <c r="I2328" i="62"/>
  <c r="S1012" i="62"/>
  <c r="I1013" i="62"/>
  <c r="S2730" i="62"/>
  <c r="I2731" i="62"/>
  <c r="S1828" i="62"/>
  <c r="I1829" i="62"/>
  <c r="I2173" i="62"/>
  <c r="S2172" i="62"/>
  <c r="S1284" i="62"/>
  <c r="I1285" i="62"/>
  <c r="I2701" i="62"/>
  <c r="S2700" i="62"/>
  <c r="I2638" i="62"/>
  <c r="S2638" i="62" s="1"/>
  <c r="I2204" i="62"/>
  <c r="S2203" i="62"/>
  <c r="I1217" i="62"/>
  <c r="S1216" i="62"/>
  <c r="I1496" i="62"/>
  <c r="S1495" i="62"/>
  <c r="I1957" i="62"/>
  <c r="S1956" i="62"/>
  <c r="S1046" i="62"/>
  <c r="I1047" i="62"/>
  <c r="S2389" i="62"/>
  <c r="I2390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08" i="62"/>
  <c r="I2608" i="62" s="1"/>
  <c r="S2608" i="62" s="1"/>
  <c r="O2609" i="62"/>
  <c r="I2019" i="62"/>
  <c r="S2018" i="62"/>
  <c r="I2053" i="62"/>
  <c r="S2052" i="62"/>
  <c r="I1388" i="62"/>
  <c r="S1387" i="62"/>
  <c r="I912" i="62"/>
  <c r="S911" i="62"/>
  <c r="I775" i="62"/>
  <c r="S774" i="62"/>
  <c r="I980" i="62"/>
  <c r="S979" i="62"/>
  <c r="I2268" i="62"/>
  <c r="S2267" i="62"/>
  <c r="I1866" i="62"/>
  <c r="S1865" i="62"/>
  <c r="I190" i="62"/>
  <c r="S189" i="62"/>
  <c r="S1150" i="62"/>
  <c r="I2235" i="62"/>
  <c r="S2235" i="62" s="1"/>
  <c r="S2834" i="62" l="1"/>
  <c r="S224" i="62"/>
  <c r="I225" i="62"/>
  <c r="I1694" i="62"/>
  <c r="S1693" i="62"/>
  <c r="I2769" i="62"/>
  <c r="S2768" i="62"/>
  <c r="S1630" i="62"/>
  <c r="I1631" i="62"/>
  <c r="I1728" i="62"/>
  <c r="S1727" i="62"/>
  <c r="S670" i="62"/>
  <c r="I671" i="62"/>
  <c r="I739" i="62"/>
  <c r="S738" i="62"/>
  <c r="I2298" i="62"/>
  <c r="S2297" i="62"/>
  <c r="I2487" i="62"/>
  <c r="S2486" i="62"/>
  <c r="I1082" i="62"/>
  <c r="S1081" i="62"/>
  <c r="I2112" i="62"/>
  <c r="S2111" i="62"/>
  <c r="S397" i="62"/>
  <c r="I398" i="62"/>
  <c r="I1899" i="62"/>
  <c r="S1898" i="62"/>
  <c r="I1593" i="62"/>
  <c r="S1592" i="62"/>
  <c r="I2083" i="62"/>
  <c r="S2082" i="62"/>
  <c r="I2577" i="62"/>
  <c r="S2576" i="62"/>
  <c r="I1456" i="62"/>
  <c r="S1455" i="62"/>
  <c r="I1995" i="62"/>
  <c r="S1994" i="62"/>
  <c r="I1524" i="62"/>
  <c r="S1523" i="62"/>
  <c r="I2797" i="62"/>
  <c r="S2796" i="62"/>
  <c r="S329" i="62"/>
  <c r="I330" i="62"/>
  <c r="I89" i="62"/>
  <c r="S88" i="62"/>
  <c r="S1047" i="62"/>
  <c r="I1048" i="62"/>
  <c r="S1285" i="62"/>
  <c r="I1286" i="62"/>
  <c r="I2020" i="62"/>
  <c r="S2019" i="62"/>
  <c r="S259" i="62"/>
  <c r="I260" i="62"/>
  <c r="I2639" i="62"/>
  <c r="S2639" i="62" s="1"/>
  <c r="I1798" i="62"/>
  <c r="S1798" i="62" s="1"/>
  <c r="O1799" i="62"/>
  <c r="O2610" i="62"/>
  <c r="P2609" i="62"/>
  <c r="I2609" i="62" s="1"/>
  <c r="S2609" i="62" s="1"/>
  <c r="I20" i="62"/>
  <c r="S19" i="62"/>
  <c r="I1014" i="62"/>
  <c r="S1013" i="62"/>
  <c r="I501" i="62"/>
  <c r="S500" i="62"/>
  <c r="S2669" i="62"/>
  <c r="I2670" i="62"/>
  <c r="S364" i="62"/>
  <c r="I365" i="62"/>
  <c r="I570" i="62"/>
  <c r="S569" i="62"/>
  <c r="I2360" i="62"/>
  <c r="S2359" i="62"/>
  <c r="I535" i="62"/>
  <c r="S534" i="62"/>
  <c r="S54" i="62"/>
  <c r="I55" i="62"/>
  <c r="S1151" i="62"/>
  <c r="I2546" i="62"/>
  <c r="S2546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174" i="62"/>
  <c r="S2173" i="62"/>
  <c r="S1762" i="62"/>
  <c r="I1763" i="62"/>
  <c r="S156" i="62"/>
  <c r="I157" i="62"/>
  <c r="I1252" i="62"/>
  <c r="S1251" i="62"/>
  <c r="I2269" i="62"/>
  <c r="S2268" i="62"/>
  <c r="I1497" i="62"/>
  <c r="S1496" i="62"/>
  <c r="S1320" i="62"/>
  <c r="I1321" i="62"/>
  <c r="I2151" i="62"/>
  <c r="S2151" i="62" s="1"/>
  <c r="I2236" i="62"/>
  <c r="S2236" i="62" s="1"/>
  <c r="S980" i="62"/>
  <c r="I981" i="62"/>
  <c r="I1116" i="62"/>
  <c r="S1115" i="62"/>
  <c r="S2390" i="62"/>
  <c r="I2391" i="62"/>
  <c r="I1830" i="62"/>
  <c r="S1829" i="62"/>
  <c r="S2328" i="62"/>
  <c r="I2329" i="62"/>
  <c r="S705" i="62"/>
  <c r="I706" i="62"/>
  <c r="I295" i="62"/>
  <c r="S294" i="62"/>
  <c r="S636" i="62"/>
  <c r="I637" i="62"/>
  <c r="S2731" i="62"/>
  <c r="I2732" i="62"/>
  <c r="S912" i="62"/>
  <c r="I913" i="62"/>
  <c r="I1559" i="62"/>
  <c r="S1559" i="62" s="1"/>
  <c r="I1867" i="62"/>
  <c r="S1867" i="62" s="1"/>
  <c r="S1866" i="62"/>
  <c r="I776" i="62"/>
  <c r="S775" i="62"/>
  <c r="I2054" i="62"/>
  <c r="S2053" i="62"/>
  <c r="I947" i="62"/>
  <c r="S946" i="62"/>
  <c r="S1421" i="62"/>
  <c r="I1422" i="62"/>
  <c r="I1958" i="62"/>
  <c r="S1957" i="62"/>
  <c r="I2205" i="62"/>
  <c r="I2206" i="62" s="1"/>
  <c r="S2204" i="62"/>
  <c r="I2702" i="62"/>
  <c r="S2701" i="62"/>
  <c r="S465" i="62"/>
  <c r="I466" i="62"/>
  <c r="I2424" i="62"/>
  <c r="S2424" i="62" s="1"/>
  <c r="I877" i="62"/>
  <c r="S876" i="62"/>
  <c r="S2452" i="62"/>
  <c r="I2453" i="62"/>
  <c r="I1926" i="62"/>
  <c r="S1925" i="62"/>
  <c r="S2835" i="62" l="1"/>
  <c r="S225" i="62"/>
  <c r="I226" i="62"/>
  <c r="I1695" i="62"/>
  <c r="S1694" i="62"/>
  <c r="I2770" i="62"/>
  <c r="S2769" i="62"/>
  <c r="I1729" i="62"/>
  <c r="S1728" i="62"/>
  <c r="S1631" i="62"/>
  <c r="I1632" i="62"/>
  <c r="S671" i="62"/>
  <c r="I672" i="62"/>
  <c r="I399" i="62"/>
  <c r="S398" i="62"/>
  <c r="I2578" i="62"/>
  <c r="S2577" i="62"/>
  <c r="I1594" i="62"/>
  <c r="S1593" i="62"/>
  <c r="I1083" i="62"/>
  <c r="S1082" i="62"/>
  <c r="I2299" i="62"/>
  <c r="S2298" i="62"/>
  <c r="I2084" i="62"/>
  <c r="S2083" i="62"/>
  <c r="I1900" i="62"/>
  <c r="S1899" i="62"/>
  <c r="I2113" i="62"/>
  <c r="S2112" i="62"/>
  <c r="I2488" i="62"/>
  <c r="S2487" i="62"/>
  <c r="S739" i="62"/>
  <c r="I740" i="62"/>
  <c r="I1457" i="62"/>
  <c r="S1456" i="62"/>
  <c r="I1996" i="62"/>
  <c r="S1995" i="62"/>
  <c r="I1525" i="62"/>
  <c r="S1524" i="62"/>
  <c r="S2797" i="62"/>
  <c r="I2798" i="62"/>
  <c r="I331" i="62"/>
  <c r="S330" i="62"/>
  <c r="S89" i="62"/>
  <c r="I90" i="62"/>
  <c r="I2703" i="62"/>
  <c r="S2702" i="62"/>
  <c r="I296" i="62"/>
  <c r="S295" i="62"/>
  <c r="I609" i="62"/>
  <c r="S609" i="62" s="1"/>
  <c r="I2454" i="62"/>
  <c r="S2453" i="62"/>
  <c r="I1560" i="62"/>
  <c r="S1560" i="62" s="1"/>
  <c r="S706" i="62"/>
  <c r="I707" i="62"/>
  <c r="S2391" i="62"/>
  <c r="I2392" i="62"/>
  <c r="I56" i="62"/>
  <c r="S55" i="62"/>
  <c r="I1799" i="62"/>
  <c r="S1799" i="62" s="1"/>
  <c r="O1800" i="62"/>
  <c r="S260" i="62"/>
  <c r="I261" i="62"/>
  <c r="I1287" i="62"/>
  <c r="S1286" i="62"/>
  <c r="I2175" i="62"/>
  <c r="S2174" i="62"/>
  <c r="I2361" i="62"/>
  <c r="S2360" i="62"/>
  <c r="I2640" i="62"/>
  <c r="S2640" i="62" s="1"/>
  <c r="I2425" i="62"/>
  <c r="S2425" i="62" s="1"/>
  <c r="S2205" i="62"/>
  <c r="I948" i="62"/>
  <c r="S947" i="62"/>
  <c r="I1868" i="62"/>
  <c r="S1868" i="62" s="1"/>
  <c r="I2237" i="62"/>
  <c r="S2237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670" i="62"/>
  <c r="I2671" i="62"/>
  <c r="I1927" i="62"/>
  <c r="S1926" i="62"/>
  <c r="O2611" i="62"/>
  <c r="P2610" i="62"/>
  <c r="I2610" i="62" s="1"/>
  <c r="S2610" i="62" s="1"/>
  <c r="S466" i="62"/>
  <c r="I467" i="62"/>
  <c r="S913" i="62"/>
  <c r="I914" i="62"/>
  <c r="S637" i="62"/>
  <c r="I638" i="62"/>
  <c r="I2330" i="62"/>
  <c r="S2329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732" i="62"/>
  <c r="I2733" i="62"/>
  <c r="S1321" i="62"/>
  <c r="I1322" i="62"/>
  <c r="S776" i="62"/>
  <c r="I777" i="62"/>
  <c r="I1831" i="62"/>
  <c r="S1830" i="62"/>
  <c r="S1152" i="62"/>
  <c r="I878" i="62"/>
  <c r="S877" i="62"/>
  <c r="S1958" i="62"/>
  <c r="I1959" i="62"/>
  <c r="I2055" i="62"/>
  <c r="S2054" i="62"/>
  <c r="I1117" i="62"/>
  <c r="S1116" i="62"/>
  <c r="I2152" i="62"/>
  <c r="I2270" i="62"/>
  <c r="S2269" i="62"/>
  <c r="I1219" i="62"/>
  <c r="S1218" i="62"/>
  <c r="I2547" i="62"/>
  <c r="S2547" i="62" s="1"/>
  <c r="I536" i="62"/>
  <c r="S535" i="62"/>
  <c r="I1015" i="62"/>
  <c r="S1014" i="62"/>
  <c r="I21" i="62"/>
  <c r="S20" i="62"/>
  <c r="I2021" i="62"/>
  <c r="S2020" i="62"/>
  <c r="S2836" i="62" l="1"/>
  <c r="S226" i="62"/>
  <c r="I227" i="62"/>
  <c r="I1696" i="62"/>
  <c r="S1695" i="62"/>
  <c r="I2771" i="62"/>
  <c r="S2770" i="62"/>
  <c r="S1632" i="62"/>
  <c r="I1633" i="62"/>
  <c r="I2153" i="62"/>
  <c r="S2152" i="62"/>
  <c r="I1730" i="62"/>
  <c r="S1729" i="62"/>
  <c r="I400" i="62"/>
  <c r="S399" i="62"/>
  <c r="S672" i="62"/>
  <c r="I673" i="62"/>
  <c r="S740" i="62"/>
  <c r="I741" i="62"/>
  <c r="I2114" i="62"/>
  <c r="S2113" i="62"/>
  <c r="S2084" i="62"/>
  <c r="I2085" i="62"/>
  <c r="I1084" i="62"/>
  <c r="S1083" i="62"/>
  <c r="S2578" i="62"/>
  <c r="I2579" i="62"/>
  <c r="I2489" i="62"/>
  <c r="S2488" i="62"/>
  <c r="S1900" i="62"/>
  <c r="I1901" i="62"/>
  <c r="I2300" i="62"/>
  <c r="S2299" i="62"/>
  <c r="I1595" i="62"/>
  <c r="S1594" i="62"/>
  <c r="I1458" i="62"/>
  <c r="S1457" i="62"/>
  <c r="I1997" i="62"/>
  <c r="S1996" i="62"/>
  <c r="I1526" i="62"/>
  <c r="S1525" i="62"/>
  <c r="I2799" i="62"/>
  <c r="S2798" i="62"/>
  <c r="I332" i="62"/>
  <c r="S331" i="62"/>
  <c r="S90" i="62"/>
  <c r="I91" i="62"/>
  <c r="S982" i="62"/>
  <c r="I983" i="62"/>
  <c r="I1220" i="62"/>
  <c r="S1219" i="62"/>
  <c r="I2238" i="62"/>
  <c r="S2238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26" i="62"/>
  <c r="S2426" i="62" s="1"/>
  <c r="O1801" i="62"/>
  <c r="I1800" i="62"/>
  <c r="S1800" i="62" s="1"/>
  <c r="S2392" i="62"/>
  <c r="I2393" i="62"/>
  <c r="I1561" i="62"/>
  <c r="S1561" i="62" s="1"/>
  <c r="S1959" i="62"/>
  <c r="I1960" i="62"/>
  <c r="S467" i="62"/>
  <c r="I468" i="62"/>
  <c r="I1118" i="62"/>
  <c r="S1117" i="62"/>
  <c r="S56" i="62"/>
  <c r="I57" i="62"/>
  <c r="I537" i="62"/>
  <c r="S536" i="62"/>
  <c r="S878" i="62"/>
  <c r="I879" i="62"/>
  <c r="O2612" i="62"/>
  <c r="P2611" i="62"/>
  <c r="I2611" i="62" s="1"/>
  <c r="S2611" i="62" s="1"/>
  <c r="I1869" i="62"/>
  <c r="S1869" i="62" s="1"/>
  <c r="S2175" i="62"/>
  <c r="I2176" i="62"/>
  <c r="I610" i="62"/>
  <c r="S610" i="62" s="1"/>
  <c r="S192" i="62"/>
  <c r="I193" i="62"/>
  <c r="I1016" i="62"/>
  <c r="S1015" i="62"/>
  <c r="I2331" i="62"/>
  <c r="S2330" i="62"/>
  <c r="I1189" i="62"/>
  <c r="S1188" i="62"/>
  <c r="I2362" i="62"/>
  <c r="S2361" i="62"/>
  <c r="S2733" i="62"/>
  <c r="I2734" i="62"/>
  <c r="S158" i="62"/>
  <c r="I159" i="62"/>
  <c r="S914" i="62"/>
  <c r="I915" i="62"/>
  <c r="S2671" i="62"/>
  <c r="I2672" i="62"/>
  <c r="S707" i="62"/>
  <c r="I708" i="62"/>
  <c r="S261" i="62"/>
  <c r="I262" i="62"/>
  <c r="I2022" i="62"/>
  <c r="S2021" i="62"/>
  <c r="I1424" i="62"/>
  <c r="S1423" i="62"/>
  <c r="S1927" i="62"/>
  <c r="I1928" i="62"/>
  <c r="I2207" i="62"/>
  <c r="S2206" i="62"/>
  <c r="I297" i="62"/>
  <c r="S296" i="62"/>
  <c r="I2271" i="62"/>
  <c r="S2270" i="62"/>
  <c r="S1831" i="62"/>
  <c r="I1832" i="62"/>
  <c r="S777" i="62"/>
  <c r="I778" i="62"/>
  <c r="I22" i="62"/>
  <c r="S21" i="62"/>
  <c r="I2548" i="62"/>
  <c r="S2548" i="62" s="1"/>
  <c r="I2056" i="62"/>
  <c r="S2056" i="62" s="1"/>
  <c r="S2055" i="62"/>
  <c r="S1153" i="62"/>
  <c r="I367" i="62"/>
  <c r="S366" i="62"/>
  <c r="S571" i="62"/>
  <c r="I572" i="62"/>
  <c r="I1499" i="62"/>
  <c r="S1498" i="62"/>
  <c r="S948" i="62"/>
  <c r="I949" i="62"/>
  <c r="I2641" i="62"/>
  <c r="I1288" i="62"/>
  <c r="S1287" i="62"/>
  <c r="I2455" i="62"/>
  <c r="S2454" i="62"/>
  <c r="I2704" i="62"/>
  <c r="S2703" i="62"/>
  <c r="S2837" i="62" l="1"/>
  <c r="S227" i="62"/>
  <c r="I228" i="62"/>
  <c r="I1697" i="62"/>
  <c r="S1696" i="62"/>
  <c r="I2772" i="62"/>
  <c r="S2771" i="62"/>
  <c r="I1731" i="62"/>
  <c r="S1730" i="62"/>
  <c r="I2154" i="62"/>
  <c r="S2153" i="62"/>
  <c r="I1902" i="62"/>
  <c r="S1901" i="62"/>
  <c r="S1633" i="62"/>
  <c r="I1634" i="62"/>
  <c r="S673" i="62"/>
  <c r="I674" i="62"/>
  <c r="I401" i="62"/>
  <c r="S400" i="62"/>
  <c r="I742" i="62"/>
  <c r="S741" i="62"/>
  <c r="S2579" i="62"/>
  <c r="I2580" i="62"/>
  <c r="I2086" i="62"/>
  <c r="S2085" i="62"/>
  <c r="I1596" i="62"/>
  <c r="S1595" i="62"/>
  <c r="I2301" i="62"/>
  <c r="S2300" i="62"/>
  <c r="I2490" i="62"/>
  <c r="S2489" i="62"/>
  <c r="I1085" i="62"/>
  <c r="S1084" i="62"/>
  <c r="I2115" i="62"/>
  <c r="S2114" i="62"/>
  <c r="I1459" i="62"/>
  <c r="S1458" i="62"/>
  <c r="S1997" i="62"/>
  <c r="I1998" i="62"/>
  <c r="I1527" i="62"/>
  <c r="S1526" i="62"/>
  <c r="S2799" i="62"/>
  <c r="I2800" i="62"/>
  <c r="S2800" i="62" s="1"/>
  <c r="I333" i="62"/>
  <c r="S332" i="62"/>
  <c r="S91" i="62"/>
  <c r="I92" i="62"/>
  <c r="I160" i="62"/>
  <c r="S159" i="62"/>
  <c r="S57" i="62"/>
  <c r="I58" i="62"/>
  <c r="I1051" i="62"/>
  <c r="S1050" i="62"/>
  <c r="S2641" i="62"/>
  <c r="I2642" i="62"/>
  <c r="I2549" i="62"/>
  <c r="S1189" i="62"/>
  <c r="I1190" i="62"/>
  <c r="O2613" i="62"/>
  <c r="P2612" i="62"/>
  <c r="I2612" i="62" s="1"/>
  <c r="S2612" i="62" s="1"/>
  <c r="I2239" i="62"/>
  <c r="S2239" i="62" s="1"/>
  <c r="S949" i="62"/>
  <c r="I950" i="62"/>
  <c r="S572" i="62"/>
  <c r="I573" i="62"/>
  <c r="S1928" i="62"/>
  <c r="I1929" i="62"/>
  <c r="I263" i="62"/>
  <c r="S262" i="62"/>
  <c r="S2672" i="62"/>
  <c r="I2673" i="62"/>
  <c r="S2734" i="62"/>
  <c r="I2735" i="62"/>
  <c r="I194" i="62"/>
  <c r="S193" i="62"/>
  <c r="S879" i="62"/>
  <c r="I880" i="62"/>
  <c r="I469" i="62"/>
  <c r="S468" i="62"/>
  <c r="S2393" i="62"/>
  <c r="I2394" i="62"/>
  <c r="S1254" i="62"/>
  <c r="I1255" i="62"/>
  <c r="S503" i="62"/>
  <c r="I504" i="62"/>
  <c r="I368" i="62"/>
  <c r="S367" i="62"/>
  <c r="I2023" i="62"/>
  <c r="S2022" i="62"/>
  <c r="I1119" i="62"/>
  <c r="S1118" i="62"/>
  <c r="S2455" i="62"/>
  <c r="I2456" i="62"/>
  <c r="S1154" i="62"/>
  <c r="S22" i="62"/>
  <c r="I23" i="62"/>
  <c r="I2272" i="62"/>
  <c r="S2271" i="62"/>
  <c r="I2332" i="62"/>
  <c r="S2331" i="62"/>
  <c r="I1870" i="62"/>
  <c r="S1870" i="62" s="1"/>
  <c r="I640" i="62"/>
  <c r="S639" i="62"/>
  <c r="I1324" i="62"/>
  <c r="S1323" i="62"/>
  <c r="I1221" i="62"/>
  <c r="S1220" i="62"/>
  <c r="S1832" i="62"/>
  <c r="I1833" i="62"/>
  <c r="S2176" i="62"/>
  <c r="I2177" i="62"/>
  <c r="I2208" i="62"/>
  <c r="S2207" i="62"/>
  <c r="S1016" i="62"/>
  <c r="I1017" i="62"/>
  <c r="I779" i="62"/>
  <c r="S778" i="62"/>
  <c r="S708" i="62"/>
  <c r="I709" i="62"/>
  <c r="I916" i="62"/>
  <c r="S915" i="62"/>
  <c r="S1960" i="62"/>
  <c r="I1961" i="62"/>
  <c r="I984" i="62"/>
  <c r="S983" i="62"/>
  <c r="I1562" i="62"/>
  <c r="S1562" i="62" s="1"/>
  <c r="I2427" i="62"/>
  <c r="S2427" i="62" s="1"/>
  <c r="I2705" i="62"/>
  <c r="S2704" i="62"/>
  <c r="I1289" i="62"/>
  <c r="S1288" i="62"/>
  <c r="S1499" i="62"/>
  <c r="I1500" i="62"/>
  <c r="I1504" i="62" s="1"/>
  <c r="S1504" i="62" s="1"/>
  <c r="I2057" i="62"/>
  <c r="S2057" i="62" s="1"/>
  <c r="S297" i="62"/>
  <c r="I298" i="62"/>
  <c r="S1424" i="62"/>
  <c r="I1425" i="62"/>
  <c r="I2363" i="62"/>
  <c r="S2362" i="62"/>
  <c r="I611" i="62"/>
  <c r="S537" i="62"/>
  <c r="I538" i="62"/>
  <c r="I1801" i="62"/>
  <c r="S1801" i="62" s="1"/>
  <c r="O1802" i="62"/>
  <c r="I1392" i="62"/>
  <c r="S1391" i="62"/>
  <c r="I1766" i="62"/>
  <c r="S1765" i="62"/>
  <c r="S2839" i="62" l="1"/>
  <c r="S2838" i="62"/>
  <c r="S228" i="62"/>
  <c r="I229" i="62"/>
  <c r="I1698" i="62"/>
  <c r="S1697" i="62"/>
  <c r="I2773" i="62"/>
  <c r="S2772" i="62"/>
  <c r="I1635" i="62"/>
  <c r="S1634" i="62"/>
  <c r="I2155" i="62"/>
  <c r="S2154" i="62"/>
  <c r="I2491" i="62"/>
  <c r="S2490" i="62"/>
  <c r="I1903" i="62"/>
  <c r="S1902" i="62"/>
  <c r="I1732" i="62"/>
  <c r="S1731" i="62"/>
  <c r="I402" i="62"/>
  <c r="S401" i="62"/>
  <c r="S674" i="62"/>
  <c r="I675" i="62"/>
  <c r="I2581" i="62"/>
  <c r="S2580" i="62"/>
  <c r="I2116" i="62"/>
  <c r="S2115" i="62"/>
  <c r="I1597" i="62"/>
  <c r="S1596" i="62"/>
  <c r="I2550" i="62"/>
  <c r="S2549" i="62"/>
  <c r="I1086" i="62"/>
  <c r="S1085" i="62"/>
  <c r="I2302" i="62"/>
  <c r="S2301" i="62"/>
  <c r="I2087" i="62"/>
  <c r="S2086" i="62"/>
  <c r="I743" i="62"/>
  <c r="S742" i="62"/>
  <c r="I1460" i="62"/>
  <c r="S1459" i="62"/>
  <c r="I612" i="62"/>
  <c r="S611" i="62"/>
  <c r="I1999" i="62"/>
  <c r="S1998" i="62"/>
  <c r="I1528" i="62"/>
  <c r="S1527" i="62"/>
  <c r="I2801" i="62"/>
  <c r="S2801" i="62" s="1"/>
  <c r="I334" i="62"/>
  <c r="S333" i="62"/>
  <c r="I93" i="62"/>
  <c r="S92" i="62"/>
  <c r="I2395" i="62"/>
  <c r="S2394" i="62"/>
  <c r="I951" i="62"/>
  <c r="S950" i="62"/>
  <c r="I195" i="62"/>
  <c r="S194" i="62"/>
  <c r="I1052" i="62"/>
  <c r="S1051" i="62"/>
  <c r="I1962" i="62"/>
  <c r="S1961" i="62"/>
  <c r="I2178" i="62"/>
  <c r="S2177" i="62"/>
  <c r="I2457" i="62"/>
  <c r="S2456" i="62"/>
  <c r="I505" i="62"/>
  <c r="S504" i="62"/>
  <c r="S2735" i="62"/>
  <c r="I2736" i="62"/>
  <c r="I1930" i="62"/>
  <c r="S1929" i="62"/>
  <c r="S58" i="62"/>
  <c r="I59" i="62"/>
  <c r="I1802" i="62"/>
  <c r="S1802" i="62" s="1"/>
  <c r="O1803" i="62"/>
  <c r="I2364" i="62"/>
  <c r="S2363" i="62"/>
  <c r="S984" i="62"/>
  <c r="I985" i="62"/>
  <c r="S1766" i="62"/>
  <c r="I1767" i="62"/>
  <c r="I2058" i="62"/>
  <c r="S2058" i="62" s="1"/>
  <c r="I2706" i="62"/>
  <c r="S2705" i="62"/>
  <c r="I1563" i="62"/>
  <c r="S1563" i="62" s="1"/>
  <c r="I780" i="62"/>
  <c r="S779" i="62"/>
  <c r="I1325" i="62"/>
  <c r="S1324" i="62"/>
  <c r="I1871" i="62"/>
  <c r="S1871" i="62" s="1"/>
  <c r="I2273" i="62"/>
  <c r="S2273" i="62" s="1"/>
  <c r="S2272" i="62"/>
  <c r="I2024" i="62"/>
  <c r="S2023" i="62"/>
  <c r="I470" i="62"/>
  <c r="S469" i="62"/>
  <c r="I2240" i="62"/>
  <c r="S2240" i="62" s="1"/>
  <c r="S298" i="62"/>
  <c r="I299" i="62"/>
  <c r="I2428" i="62"/>
  <c r="S2428" i="62" s="1"/>
  <c r="S1155" i="62"/>
  <c r="S1190" i="62"/>
  <c r="I1191" i="62"/>
  <c r="S1289" i="62"/>
  <c r="I1290" i="62"/>
  <c r="I2209" i="62"/>
  <c r="S2208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673" i="62"/>
  <c r="I2674" i="62"/>
  <c r="I574" i="62"/>
  <c r="S573" i="62"/>
  <c r="S2642" i="62"/>
  <c r="I2643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32" i="62"/>
  <c r="I2333" i="62"/>
  <c r="I1120" i="62"/>
  <c r="S1119" i="62"/>
  <c r="S368" i="62"/>
  <c r="I369" i="62"/>
  <c r="O2614" i="62"/>
  <c r="P2613" i="62"/>
  <c r="I2613" i="62" s="1"/>
  <c r="S2613" i="62" s="1"/>
  <c r="I161" i="62"/>
  <c r="S160" i="62"/>
  <c r="S229" i="62" l="1"/>
  <c r="I230" i="62"/>
  <c r="I1699" i="62"/>
  <c r="S1698" i="62"/>
  <c r="I2774" i="62"/>
  <c r="S2773" i="62"/>
  <c r="S1732" i="62"/>
  <c r="I1733" i="62"/>
  <c r="I2156" i="62"/>
  <c r="S2155" i="62"/>
  <c r="I2088" i="62"/>
  <c r="S2087" i="62"/>
  <c r="I1904" i="62"/>
  <c r="S1903" i="62"/>
  <c r="I2492" i="62"/>
  <c r="S2491" i="62"/>
  <c r="I1636" i="62"/>
  <c r="I1640" i="62" s="1"/>
  <c r="S1640" i="62" s="1"/>
  <c r="S1635" i="62"/>
  <c r="S675" i="62"/>
  <c r="I676" i="62"/>
  <c r="I403" i="62"/>
  <c r="S402" i="62"/>
  <c r="I744" i="62"/>
  <c r="S743" i="62"/>
  <c r="I2303" i="62"/>
  <c r="S2302" i="62"/>
  <c r="I2551" i="62"/>
  <c r="S2550" i="62"/>
  <c r="S2116" i="62"/>
  <c r="I2117" i="62"/>
  <c r="I1087" i="62"/>
  <c r="S1086" i="62"/>
  <c r="I1598" i="62"/>
  <c r="S1597" i="62"/>
  <c r="I2582" i="62"/>
  <c r="S2581" i="62"/>
  <c r="I1461" i="62"/>
  <c r="S1460" i="62"/>
  <c r="I613" i="62"/>
  <c r="I617" i="62" s="1"/>
  <c r="S617" i="62" s="1"/>
  <c r="S612" i="62"/>
  <c r="I2000" i="62"/>
  <c r="S1999" i="62"/>
  <c r="S1528" i="62"/>
  <c r="I1529" i="62"/>
  <c r="S1529" i="62" s="1"/>
  <c r="I2802" i="62"/>
  <c r="S2802" i="62" s="1"/>
  <c r="S334" i="62"/>
  <c r="I335" i="62"/>
  <c r="S93" i="62"/>
  <c r="I94" i="62"/>
  <c r="S369" i="62"/>
  <c r="I370" i="62"/>
  <c r="I1931" i="62"/>
  <c r="S1930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736" i="62"/>
  <c r="I2737" i="62"/>
  <c r="I1394" i="62"/>
  <c r="S1393" i="62"/>
  <c r="I882" i="62"/>
  <c r="S881" i="62"/>
  <c r="I540" i="62"/>
  <c r="S539" i="62"/>
  <c r="I2274" i="62"/>
  <c r="S2274" i="62" s="1"/>
  <c r="I162" i="62"/>
  <c r="S161" i="62"/>
  <c r="I1121" i="62"/>
  <c r="S1120" i="62"/>
  <c r="I265" i="62"/>
  <c r="S264" i="62"/>
  <c r="I575" i="62"/>
  <c r="S574" i="62"/>
  <c r="S1256" i="62"/>
  <c r="I1257" i="62"/>
  <c r="I2210" i="62"/>
  <c r="S2209" i="62"/>
  <c r="I471" i="62"/>
  <c r="S470" i="62"/>
  <c r="I1872" i="62"/>
  <c r="S1872" i="62" s="1"/>
  <c r="I2179" i="62"/>
  <c r="S2178" i="62"/>
  <c r="I196" i="62"/>
  <c r="S195" i="62"/>
  <c r="I952" i="62"/>
  <c r="S951" i="62"/>
  <c r="I2241" i="62"/>
  <c r="S2241" i="62" s="1"/>
  <c r="S1767" i="62"/>
  <c r="I1768" i="62"/>
  <c r="I2429" i="62"/>
  <c r="S2429" i="62" s="1"/>
  <c r="I781" i="62"/>
  <c r="S780" i="62"/>
  <c r="I1053" i="62"/>
  <c r="S1052" i="62"/>
  <c r="S2333" i="62"/>
  <c r="I2334" i="62"/>
  <c r="I711" i="62"/>
  <c r="S711" i="62" s="1"/>
  <c r="S2674" i="62"/>
  <c r="I2675" i="62"/>
  <c r="S24" i="62"/>
  <c r="I25" i="62"/>
  <c r="I1427" i="62"/>
  <c r="S1426" i="62"/>
  <c r="I1291" i="62"/>
  <c r="S1290" i="62"/>
  <c r="I60" i="62"/>
  <c r="S59" i="62"/>
  <c r="S2643" i="62"/>
  <c r="I2644" i="62"/>
  <c r="S641" i="62"/>
  <c r="I642" i="62"/>
  <c r="I1835" i="62"/>
  <c r="S1835" i="62" s="1"/>
  <c r="S1834" i="62"/>
  <c r="I2059" i="62"/>
  <c r="S2059" i="62" s="1"/>
  <c r="S2457" i="62"/>
  <c r="I2458" i="62"/>
  <c r="P2614" i="62"/>
  <c r="I2614" i="62" s="1"/>
  <c r="S2614" i="62" s="1"/>
  <c r="O2615" i="62"/>
  <c r="I1223" i="62"/>
  <c r="S1222" i="62"/>
  <c r="S1156" i="62"/>
  <c r="I2025" i="62"/>
  <c r="S2025" i="62" s="1"/>
  <c r="S2024" i="62"/>
  <c r="S1325" i="62"/>
  <c r="I1326" i="62"/>
  <c r="I2707" i="62"/>
  <c r="S2706" i="62"/>
  <c r="I2365" i="62"/>
  <c r="S2364" i="62"/>
  <c r="I506" i="62"/>
  <c r="S505" i="62"/>
  <c r="I1963" i="62"/>
  <c r="S1962" i="62"/>
  <c r="I2396" i="62"/>
  <c r="S2395" i="62"/>
  <c r="S230" i="62" l="1"/>
  <c r="I231" i="62"/>
  <c r="I1700" i="62"/>
  <c r="S1699" i="62"/>
  <c r="I2775" i="62"/>
  <c r="S2774" i="62"/>
  <c r="I2493" i="62"/>
  <c r="S2492" i="62"/>
  <c r="I2089" i="62"/>
  <c r="S2088" i="62"/>
  <c r="I1734" i="62"/>
  <c r="S1733" i="62"/>
  <c r="I1599" i="62"/>
  <c r="S1598" i="62"/>
  <c r="I1637" i="62"/>
  <c r="I1641" i="62" s="1"/>
  <c r="S1641" i="62" s="1"/>
  <c r="S1636" i="62"/>
  <c r="I1905" i="62"/>
  <c r="S1904" i="62"/>
  <c r="I2157" i="62"/>
  <c r="S2156" i="62"/>
  <c r="I404" i="62"/>
  <c r="S403" i="62"/>
  <c r="S676" i="62"/>
  <c r="I677" i="62"/>
  <c r="I1088" i="62"/>
  <c r="S1087" i="62"/>
  <c r="I745" i="62"/>
  <c r="S744" i="62"/>
  <c r="S2117" i="62"/>
  <c r="I2118" i="62"/>
  <c r="S2582" i="62"/>
  <c r="I2583" i="62"/>
  <c r="I2552" i="62"/>
  <c r="S2551" i="62"/>
  <c r="I2304" i="62"/>
  <c r="S2303" i="62"/>
  <c r="I1462" i="62"/>
  <c r="S1461" i="62"/>
  <c r="I614" i="62"/>
  <c r="I618" i="62" s="1"/>
  <c r="S618" i="62" s="1"/>
  <c r="S613" i="62"/>
  <c r="I2001" i="62"/>
  <c r="S2000" i="62"/>
  <c r="I1530" i="62"/>
  <c r="S1530" i="62" s="1"/>
  <c r="I2803" i="62"/>
  <c r="S2803" i="62" s="1"/>
  <c r="S335" i="62"/>
  <c r="I336" i="62"/>
  <c r="S94" i="62"/>
  <c r="I95" i="62"/>
  <c r="I1327" i="62"/>
  <c r="S1326" i="62"/>
  <c r="I2242" i="62"/>
  <c r="S2242" i="62" s="1"/>
  <c r="S1157" i="62"/>
  <c r="I576" i="62"/>
  <c r="S575" i="62"/>
  <c r="O2616" i="62"/>
  <c r="P2615" i="62"/>
  <c r="I2615" i="62" s="1"/>
  <c r="S2615" i="62" s="1"/>
  <c r="I26" i="62"/>
  <c r="S25" i="62"/>
  <c r="I2335" i="62"/>
  <c r="S2335" i="62" s="1"/>
  <c r="S2334" i="62"/>
  <c r="S2737" i="62"/>
  <c r="I2738" i="62"/>
  <c r="I1565" i="62"/>
  <c r="S1565" i="62" s="1"/>
  <c r="I712" i="62"/>
  <c r="S712" i="62" s="1"/>
  <c r="I1428" i="62"/>
  <c r="S1427" i="62"/>
  <c r="S2179" i="62"/>
  <c r="I2180" i="62"/>
  <c r="S2180" i="62" s="1"/>
  <c r="I1122" i="62"/>
  <c r="S1121" i="62"/>
  <c r="I1193" i="62"/>
  <c r="S1192" i="62"/>
  <c r="S1963" i="62"/>
  <c r="I1964" i="62"/>
  <c r="I2026" i="62"/>
  <c r="S2026" i="62" s="1"/>
  <c r="I1836" i="62"/>
  <c r="S1836" i="62" s="1"/>
  <c r="I61" i="62"/>
  <c r="S60" i="62"/>
  <c r="I2430" i="62"/>
  <c r="S2430" i="62" s="1"/>
  <c r="S952" i="62"/>
  <c r="I953" i="62"/>
  <c r="I2211" i="62"/>
  <c r="S2211" i="62" s="1"/>
  <c r="S2210" i="62"/>
  <c r="S162" i="62"/>
  <c r="I163" i="62"/>
  <c r="S540" i="62"/>
  <c r="I541" i="62"/>
  <c r="I1503" i="62"/>
  <c r="S1502" i="62"/>
  <c r="S1931" i="62"/>
  <c r="I1932" i="62"/>
  <c r="S1932" i="62" s="1"/>
  <c r="I2366" i="62"/>
  <c r="S2366" i="62" s="1"/>
  <c r="S2365" i="62"/>
  <c r="I2060" i="62"/>
  <c r="S2060" i="62" s="1"/>
  <c r="I2275" i="62"/>
  <c r="S2275" i="62" s="1"/>
  <c r="I919" i="62"/>
  <c r="S918" i="62"/>
  <c r="S2458" i="62"/>
  <c r="I2459" i="62"/>
  <c r="S642" i="62"/>
  <c r="I643" i="62"/>
  <c r="S2675" i="62"/>
  <c r="I2676" i="62"/>
  <c r="S1768" i="62"/>
  <c r="I1769" i="62"/>
  <c r="I1258" i="62"/>
  <c r="S1257" i="62"/>
  <c r="I301" i="62"/>
  <c r="S300" i="62"/>
  <c r="S370" i="62"/>
  <c r="I371" i="62"/>
  <c r="I2645" i="62"/>
  <c r="S2645" i="62" s="1"/>
  <c r="S2644" i="62"/>
  <c r="S781" i="62"/>
  <c r="I782" i="62"/>
  <c r="S471" i="62"/>
  <c r="I472" i="62"/>
  <c r="S1394" i="62"/>
  <c r="I1395" i="62"/>
  <c r="I987" i="62"/>
  <c r="S986" i="62"/>
  <c r="I2397" i="62"/>
  <c r="S2397" i="62" s="1"/>
  <c r="S2396" i="62"/>
  <c r="S506" i="62"/>
  <c r="I507" i="62"/>
  <c r="I2708" i="62"/>
  <c r="S2707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S231" i="62" l="1"/>
  <c r="I232" i="62"/>
  <c r="I1701" i="62"/>
  <c r="S1700" i="62"/>
  <c r="I2776" i="62"/>
  <c r="S2775" i="62"/>
  <c r="S2157" i="62"/>
  <c r="I1638" i="62"/>
  <c r="I1642" i="62" s="1"/>
  <c r="S1642" i="62" s="1"/>
  <c r="S1637" i="62"/>
  <c r="S1734" i="62"/>
  <c r="I1735" i="62"/>
  <c r="S2089" i="62"/>
  <c r="I2090" i="62"/>
  <c r="I1906" i="62"/>
  <c r="S1905" i="62"/>
  <c r="I1600" i="62"/>
  <c r="S1599" i="62"/>
  <c r="I2494" i="62"/>
  <c r="S2493" i="62"/>
  <c r="S677" i="62"/>
  <c r="I678" i="62"/>
  <c r="I405" i="62"/>
  <c r="S404" i="62"/>
  <c r="S2583" i="62"/>
  <c r="I2584" i="62"/>
  <c r="I2305" i="62"/>
  <c r="S2304" i="62"/>
  <c r="S745" i="62"/>
  <c r="I746" i="62"/>
  <c r="I2119" i="62"/>
  <c r="S2118" i="62"/>
  <c r="I2553" i="62"/>
  <c r="S2552" i="62"/>
  <c r="I1089" i="62"/>
  <c r="S1088" i="62"/>
  <c r="I1463" i="62"/>
  <c r="S1462" i="62"/>
  <c r="I615" i="62"/>
  <c r="I619" i="62" s="1"/>
  <c r="S619" i="62" s="1"/>
  <c r="S614" i="62"/>
  <c r="S2001" i="62"/>
  <c r="I2002" i="62"/>
  <c r="I1531" i="62"/>
  <c r="S1531" i="62" s="1"/>
  <c r="I2804" i="62"/>
  <c r="S2804" i="62" s="1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459" i="62"/>
  <c r="I2460" i="62"/>
  <c r="I1933" i="62"/>
  <c r="S1933" i="62" s="1"/>
  <c r="S163" i="62"/>
  <c r="I164" i="62"/>
  <c r="I2243" i="62"/>
  <c r="S2243" i="62" s="1"/>
  <c r="S266" i="62"/>
  <c r="I267" i="62"/>
  <c r="I2212" i="62"/>
  <c r="S2212" i="62" s="1"/>
  <c r="I1429" i="62"/>
  <c r="S1428" i="62"/>
  <c r="O2617" i="62"/>
  <c r="P2616" i="62"/>
  <c r="I2616" i="62" s="1"/>
  <c r="S2616" i="62" s="1"/>
  <c r="I1874" i="62"/>
  <c r="S1874" i="62" s="1"/>
  <c r="I1293" i="62"/>
  <c r="S1292" i="62"/>
  <c r="I2709" i="62"/>
  <c r="S2708" i="62"/>
  <c r="I988" i="62"/>
  <c r="S987" i="62"/>
  <c r="I2061" i="62"/>
  <c r="S2061" i="62" s="1"/>
  <c r="I62" i="62"/>
  <c r="S61" i="62"/>
  <c r="I2027" i="62"/>
  <c r="S2027" i="62" s="1"/>
  <c r="I1123" i="62"/>
  <c r="S1122" i="62"/>
  <c r="I2336" i="62"/>
  <c r="S2336" i="62" s="1"/>
  <c r="S1054" i="62"/>
  <c r="I1055" i="62"/>
  <c r="S472" i="62"/>
  <c r="I473" i="62"/>
  <c r="S643" i="62"/>
  <c r="I644" i="62"/>
  <c r="S2738" i="62"/>
  <c r="I2739" i="62"/>
  <c r="I2431" i="62"/>
  <c r="S2431" i="62" s="1"/>
  <c r="S197" i="62"/>
  <c r="I198" i="62"/>
  <c r="S507" i="62"/>
  <c r="I508" i="62"/>
  <c r="S1395" i="62"/>
  <c r="I1396" i="62"/>
  <c r="S2676" i="62"/>
  <c r="I2677" i="62"/>
  <c r="S953" i="62"/>
  <c r="I954" i="62"/>
  <c r="S1964" i="62"/>
  <c r="I1965" i="62"/>
  <c r="I2181" i="62"/>
  <c r="S2181" i="62" s="1"/>
  <c r="I1566" i="62"/>
  <c r="S1566" i="62" s="1"/>
  <c r="I1805" i="62"/>
  <c r="S1805" i="62" s="1"/>
  <c r="I372" i="62"/>
  <c r="S371" i="62"/>
  <c r="I2398" i="62"/>
  <c r="S2398" i="62" s="1"/>
  <c r="I2276" i="62"/>
  <c r="S2276" i="62" s="1"/>
  <c r="S1020" i="62"/>
  <c r="I1021" i="62"/>
  <c r="I1225" i="62"/>
  <c r="S1224" i="62"/>
  <c r="I2646" i="62"/>
  <c r="S2646" i="62" s="1"/>
  <c r="I302" i="62"/>
  <c r="S301" i="62"/>
  <c r="I920" i="62"/>
  <c r="S919" i="62"/>
  <c r="I2367" i="62"/>
  <c r="S2367" i="62" s="1"/>
  <c r="I1507" i="62"/>
  <c r="S1503" i="62"/>
  <c r="I1837" i="62"/>
  <c r="S1837" i="62" s="1"/>
  <c r="I27" i="62"/>
  <c r="S26" i="62"/>
  <c r="S576" i="62"/>
  <c r="I577" i="62"/>
  <c r="S1327" i="62"/>
  <c r="I1328" i="62"/>
  <c r="S232" i="62" l="1"/>
  <c r="I233" i="62"/>
  <c r="I1702" i="62"/>
  <c r="S1701" i="62"/>
  <c r="I2777" i="62"/>
  <c r="S2776" i="62"/>
  <c r="S2090" i="62"/>
  <c r="I2091" i="62"/>
  <c r="I2495" i="62"/>
  <c r="S2494" i="62"/>
  <c r="I1601" i="62"/>
  <c r="S1600" i="62"/>
  <c r="I1639" i="62"/>
  <c r="S1638" i="62"/>
  <c r="S1735" i="62"/>
  <c r="I1736" i="62"/>
  <c r="I2554" i="62"/>
  <c r="S2553" i="62"/>
  <c r="I1907" i="62"/>
  <c r="S1906" i="62"/>
  <c r="I406" i="62"/>
  <c r="S405" i="62"/>
  <c r="S678" i="62"/>
  <c r="I679" i="62"/>
  <c r="I1090" i="62"/>
  <c r="S1089" i="62"/>
  <c r="S2119" i="62"/>
  <c r="I2120" i="62"/>
  <c r="S2305" i="62"/>
  <c r="I2306" i="62"/>
  <c r="S746" i="62"/>
  <c r="I747" i="62"/>
  <c r="S2584" i="62"/>
  <c r="I2585" i="62"/>
  <c r="I1464" i="62"/>
  <c r="S1463" i="62"/>
  <c r="I616" i="62"/>
  <c r="S615" i="62"/>
  <c r="S2002" i="62"/>
  <c r="I1532" i="62"/>
  <c r="S1532" i="62" s="1"/>
  <c r="I2805" i="62"/>
  <c r="S2805" i="62" s="1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182" i="62"/>
  <c r="S2182" i="62" s="1"/>
  <c r="S2677" i="62"/>
  <c r="I2678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399" i="62"/>
  <c r="S2399" i="62" s="1"/>
  <c r="S2739" i="62"/>
  <c r="I2740" i="62"/>
  <c r="S1055" i="62"/>
  <c r="I1056" i="62"/>
  <c r="I2244" i="62"/>
  <c r="S2244" i="62" s="1"/>
  <c r="I2461" i="62"/>
  <c r="S2460" i="62"/>
  <c r="I2028" i="62"/>
  <c r="S2028" i="62" s="1"/>
  <c r="I1195" i="62"/>
  <c r="I1199" i="62" s="1"/>
  <c r="S1199" i="62" s="1"/>
  <c r="S1194" i="62"/>
  <c r="I1838" i="62"/>
  <c r="S1838" i="62" s="1"/>
  <c r="I2368" i="62"/>
  <c r="S2368" i="62" s="1"/>
  <c r="I2647" i="62"/>
  <c r="S2647" i="62" s="1"/>
  <c r="I373" i="62"/>
  <c r="S372" i="62"/>
  <c r="I63" i="62"/>
  <c r="S62" i="62"/>
  <c r="S988" i="62"/>
  <c r="I989" i="62"/>
  <c r="I1875" i="62"/>
  <c r="S1875" i="62" s="1"/>
  <c r="I2213" i="62"/>
  <c r="S2213" i="62" s="1"/>
  <c r="I1260" i="62"/>
  <c r="S1259" i="62"/>
  <c r="S1507" i="62"/>
  <c r="I1567" i="62"/>
  <c r="S1567" i="62" s="1"/>
  <c r="I1294" i="62"/>
  <c r="S1293" i="62"/>
  <c r="S1965" i="62"/>
  <c r="I1966" i="62"/>
  <c r="I1397" i="62"/>
  <c r="S1396" i="62"/>
  <c r="I2432" i="62"/>
  <c r="S2432" i="62" s="1"/>
  <c r="S473" i="62"/>
  <c r="I474" i="62"/>
  <c r="I2337" i="62"/>
  <c r="S2337" i="62" s="1"/>
  <c r="S267" i="62"/>
  <c r="I268" i="62"/>
  <c r="I1934" i="62"/>
  <c r="S1934" i="62" s="1"/>
  <c r="I714" i="62"/>
  <c r="S714" i="62" s="1"/>
  <c r="S954" i="62"/>
  <c r="I955" i="62"/>
  <c r="I2062" i="62"/>
  <c r="S2062" i="62" s="1"/>
  <c r="I28" i="62"/>
  <c r="S27" i="62"/>
  <c r="S920" i="62"/>
  <c r="I921" i="62"/>
  <c r="I1226" i="62"/>
  <c r="S1225" i="62"/>
  <c r="I2277" i="62"/>
  <c r="S2277" i="62" s="1"/>
  <c r="I1806" i="62"/>
  <c r="S1806" i="62" s="1"/>
  <c r="I1124" i="62"/>
  <c r="S1123" i="62"/>
  <c r="I2710" i="62"/>
  <c r="S2709" i="62"/>
  <c r="O2618" i="62"/>
  <c r="P2617" i="62"/>
  <c r="I2617" i="62" s="1"/>
  <c r="S2617" i="62" s="1"/>
  <c r="S1159" i="62"/>
  <c r="S233" i="62" l="1"/>
  <c r="I234" i="62"/>
  <c r="I239" i="62" s="1"/>
  <c r="S239" i="62" s="1"/>
  <c r="I1703" i="62"/>
  <c r="S1702" i="62"/>
  <c r="S2777" i="62"/>
  <c r="I1908" i="62"/>
  <c r="S1907" i="62"/>
  <c r="I2555" i="62"/>
  <c r="S2554" i="62"/>
  <c r="I1643" i="62"/>
  <c r="S1639" i="62"/>
  <c r="I2496" i="62"/>
  <c r="S2495" i="62"/>
  <c r="S1736" i="62"/>
  <c r="I1737" i="62"/>
  <c r="S2091" i="62"/>
  <c r="I2092" i="62"/>
  <c r="I1602" i="62"/>
  <c r="I1606" i="62" s="1"/>
  <c r="S1606" i="62" s="1"/>
  <c r="S1601" i="62"/>
  <c r="S679" i="62"/>
  <c r="I680" i="62"/>
  <c r="I407" i="62"/>
  <c r="S406" i="62"/>
  <c r="S747" i="62"/>
  <c r="I748" i="62"/>
  <c r="S2120" i="62"/>
  <c r="I2121" i="62"/>
  <c r="I2586" i="62"/>
  <c r="S2585" i="62"/>
  <c r="S2306" i="62"/>
  <c r="I2307" i="62"/>
  <c r="I1091" i="62"/>
  <c r="S1090" i="62"/>
  <c r="I1465" i="62"/>
  <c r="S1464" i="62"/>
  <c r="I620" i="62"/>
  <c r="S616" i="62"/>
  <c r="I1533" i="62"/>
  <c r="S1533" i="62" s="1"/>
  <c r="I2806" i="62"/>
  <c r="S2806" i="62" s="1"/>
  <c r="S338" i="62"/>
  <c r="I339" i="62"/>
  <c r="I29" i="62"/>
  <c r="S28" i="62"/>
  <c r="I98" i="62"/>
  <c r="I102" i="62" s="1"/>
  <c r="S102" i="62" s="1"/>
  <c r="S97" i="62"/>
  <c r="I2400" i="62"/>
  <c r="S2400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33" i="62"/>
  <c r="S2433" i="62" s="1"/>
  <c r="S989" i="62"/>
  <c r="I990" i="62"/>
  <c r="I994" i="62" s="1"/>
  <c r="S994" i="62" s="1"/>
  <c r="I1057" i="62"/>
  <c r="S1056" i="62"/>
  <c r="I544" i="62"/>
  <c r="S544" i="62" s="1"/>
  <c r="I166" i="62"/>
  <c r="S165" i="62"/>
  <c r="S2678" i="62"/>
  <c r="I2679" i="62"/>
  <c r="I1772" i="62"/>
  <c r="I1776" i="62" s="1"/>
  <c r="S1776" i="62" s="1"/>
  <c r="S1771" i="62"/>
  <c r="I200" i="62"/>
  <c r="S199" i="62"/>
  <c r="I1876" i="62"/>
  <c r="S1876" i="62" s="1"/>
  <c r="S1195" i="62"/>
  <c r="I1196" i="62"/>
  <c r="I1200" i="62" s="1"/>
  <c r="S1200" i="62" s="1"/>
  <c r="S1160" i="62"/>
  <c r="I2711" i="62"/>
  <c r="S2710" i="62"/>
  <c r="I1807" i="62"/>
  <c r="S1807" i="62" s="1"/>
  <c r="I2063" i="62"/>
  <c r="S2063" i="62" s="1"/>
  <c r="S1294" i="62"/>
  <c r="I1295" i="62"/>
  <c r="I1261" i="62"/>
  <c r="S1260" i="62"/>
  <c r="I2369" i="62"/>
  <c r="S2369" i="62" s="1"/>
  <c r="I2029" i="62"/>
  <c r="S2029" i="62" s="1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19" i="62"/>
  <c r="P2618" i="62"/>
  <c r="I2618" i="62" s="1"/>
  <c r="S2618" i="62" s="1"/>
  <c r="I1227" i="62"/>
  <c r="S1226" i="62"/>
  <c r="I2245" i="62"/>
  <c r="S2245" i="62" s="1"/>
  <c r="I715" i="62"/>
  <c r="I1839" i="62"/>
  <c r="S1839" i="62" s="1"/>
  <c r="S2740" i="62"/>
  <c r="I2741" i="62"/>
  <c r="I886" i="62"/>
  <c r="I890" i="62" s="1"/>
  <c r="S890" i="62" s="1"/>
  <c r="S885" i="62"/>
  <c r="I2183" i="62"/>
  <c r="S2183" i="62" s="1"/>
  <c r="S1329" i="62"/>
  <c r="I1330" i="62"/>
  <c r="I1334" i="62" s="1"/>
  <c r="S1334" i="62" s="1"/>
  <c r="I1935" i="62"/>
  <c r="S1935" i="62" s="1"/>
  <c r="S1966" i="62"/>
  <c r="I1967" i="62"/>
  <c r="I2648" i="62"/>
  <c r="S2648" i="62" s="1"/>
  <c r="I2278" i="62"/>
  <c r="S2278" i="62" s="1"/>
  <c r="I2338" i="62"/>
  <c r="S2338" i="62" s="1"/>
  <c r="I1398" i="62"/>
  <c r="I1402" i="62" s="1"/>
  <c r="S1402" i="62" s="1"/>
  <c r="S1397" i="62"/>
  <c r="I1568" i="62"/>
  <c r="I2214" i="62"/>
  <c r="S2214" i="62" s="1"/>
  <c r="I64" i="62"/>
  <c r="I68" i="62" s="1"/>
  <c r="S68" i="62" s="1"/>
  <c r="S63" i="62"/>
  <c r="I374" i="62"/>
  <c r="I378" i="62" s="1"/>
  <c r="S378" i="62" s="1"/>
  <c r="S373" i="62"/>
  <c r="I2462" i="62"/>
  <c r="S2461" i="62"/>
  <c r="I646" i="62"/>
  <c r="S645" i="62"/>
  <c r="I304" i="62"/>
  <c r="I309" i="62" s="1"/>
  <c r="S309" i="62" s="1"/>
  <c r="S303" i="62"/>
  <c r="S1568" i="62" l="1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092" i="62"/>
  <c r="I2093" i="62"/>
  <c r="I1603" i="62"/>
  <c r="I1607" i="62" s="1"/>
  <c r="S1607" i="62" s="1"/>
  <c r="S1602" i="62"/>
  <c r="I2497" i="62"/>
  <c r="S2496" i="62"/>
  <c r="I2556" i="62"/>
  <c r="S2555" i="62"/>
  <c r="S1737" i="62"/>
  <c r="I1738" i="62"/>
  <c r="S1643" i="62"/>
  <c r="I1909" i="62"/>
  <c r="S1908" i="62"/>
  <c r="I408" i="62"/>
  <c r="I412" i="62" s="1"/>
  <c r="S412" i="62" s="1"/>
  <c r="S407" i="62"/>
  <c r="S680" i="62"/>
  <c r="I681" i="62"/>
  <c r="I685" i="62" s="1"/>
  <c r="S685" i="62" s="1"/>
  <c r="S2307" i="62"/>
  <c r="I2308" i="62"/>
  <c r="S2121" i="62"/>
  <c r="I2122" i="62"/>
  <c r="I749" i="62"/>
  <c r="I753" i="62" s="1"/>
  <c r="S753" i="62" s="1"/>
  <c r="S748" i="62"/>
  <c r="I1092" i="62"/>
  <c r="I1096" i="62" s="1"/>
  <c r="S1096" i="62" s="1"/>
  <c r="S1091" i="62"/>
  <c r="I2587" i="62"/>
  <c r="S2586" i="62"/>
  <c r="S1465" i="62"/>
  <c r="I1466" i="62"/>
  <c r="I1470" i="62" s="1"/>
  <c r="S1470" i="62" s="1"/>
  <c r="S620" i="62"/>
  <c r="I1534" i="62"/>
  <c r="I2807" i="62"/>
  <c r="S2807" i="62" s="1"/>
  <c r="I340" i="62"/>
  <c r="I344" i="62" s="1"/>
  <c r="S344" i="62" s="1"/>
  <c r="S339" i="62"/>
  <c r="I30" i="62"/>
  <c r="S29" i="62"/>
  <c r="I99" i="62"/>
  <c r="I103" i="62" s="1"/>
  <c r="S103" i="62" s="1"/>
  <c r="S98" i="62"/>
  <c r="I2184" i="62"/>
  <c r="S2184" i="62" s="1"/>
  <c r="I2463" i="62"/>
  <c r="S246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15" i="62"/>
  <c r="S2215" i="62" s="1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36" i="62"/>
  <c r="S1936" i="62" s="1"/>
  <c r="S886" i="62"/>
  <c r="I887" i="62"/>
  <c r="I891" i="62" s="1"/>
  <c r="S891" i="62" s="1"/>
  <c r="O2620" i="62"/>
  <c r="P2619" i="62"/>
  <c r="I2619" i="62" s="1"/>
  <c r="S2619" i="62" s="1"/>
  <c r="I511" i="62"/>
  <c r="I515" i="62" s="1"/>
  <c r="S515" i="62" s="1"/>
  <c r="S510" i="62"/>
  <c r="I2030" i="62"/>
  <c r="S2030" i="62" s="1"/>
  <c r="I2712" i="62"/>
  <c r="S2711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279" i="62"/>
  <c r="S2279" i="62" s="1"/>
  <c r="I1228" i="62"/>
  <c r="I1232" i="62" s="1"/>
  <c r="S1232" i="62" s="1"/>
  <c r="S1227" i="62"/>
  <c r="I786" i="62"/>
  <c r="S785" i="62"/>
  <c r="I2649" i="62"/>
  <c r="S2649" i="62" s="1"/>
  <c r="I1331" i="62"/>
  <c r="I1335" i="62" s="1"/>
  <c r="S1335" i="62" s="1"/>
  <c r="S1330" i="62"/>
  <c r="S2741" i="62"/>
  <c r="I2742" i="62"/>
  <c r="I2370" i="62"/>
  <c r="S2370" i="62" s="1"/>
  <c r="S2679" i="62"/>
  <c r="I2680" i="62"/>
  <c r="I2434" i="62"/>
  <c r="S2434" i="62" s="1"/>
  <c r="I923" i="62"/>
  <c r="I927" i="62" s="1"/>
  <c r="S927" i="62" s="1"/>
  <c r="S922" i="62"/>
  <c r="I2401" i="62"/>
  <c r="S2401" i="62" s="1"/>
  <c r="S1967" i="62"/>
  <c r="I1968" i="62"/>
  <c r="I1840" i="62"/>
  <c r="S579" i="62"/>
  <c r="I580" i="62"/>
  <c r="I584" i="62" s="1"/>
  <c r="S584" i="62" s="1"/>
  <c r="I2339" i="62"/>
  <c r="S2339" i="62" s="1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48" i="62"/>
  <c r="S2248" i="62" s="1"/>
  <c r="I2246" i="62"/>
  <c r="S2246" i="62" s="1"/>
  <c r="S1431" i="62"/>
  <c r="I1432" i="62"/>
  <c r="I1436" i="62" s="1"/>
  <c r="S1436" i="62" s="1"/>
  <c r="I2064" i="62"/>
  <c r="S2064" i="62" s="1"/>
  <c r="S1161" i="62"/>
  <c r="I1058" i="62"/>
  <c r="I1062" i="62" s="1"/>
  <c r="S1062" i="62" s="1"/>
  <c r="S1057" i="62"/>
  <c r="S1840" i="62" l="1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09" i="62"/>
  <c r="I2557" i="62"/>
  <c r="S2556" i="62"/>
  <c r="I1604" i="62"/>
  <c r="I1608" i="62" s="1"/>
  <c r="S1608" i="62" s="1"/>
  <c r="S1603" i="62"/>
  <c r="I1739" i="62"/>
  <c r="S2093" i="62"/>
  <c r="I2094" i="62"/>
  <c r="I2498" i="62"/>
  <c r="S2497" i="62"/>
  <c r="S681" i="62"/>
  <c r="I682" i="62"/>
  <c r="I686" i="62" s="1"/>
  <c r="S686" i="62" s="1"/>
  <c r="I409" i="62"/>
  <c r="I413" i="62" s="1"/>
  <c r="S413" i="62" s="1"/>
  <c r="S408" i="62"/>
  <c r="S2122" i="62"/>
  <c r="I2123" i="62"/>
  <c r="I1093" i="62"/>
  <c r="I1097" i="62" s="1"/>
  <c r="S1097" i="62" s="1"/>
  <c r="S1092" i="62"/>
  <c r="S2308" i="62"/>
  <c r="I2309" i="62"/>
  <c r="I2588" i="62"/>
  <c r="S2587" i="62"/>
  <c r="I750" i="62"/>
  <c r="I754" i="62" s="1"/>
  <c r="S754" i="62" s="1"/>
  <c r="S749" i="62"/>
  <c r="I1467" i="62"/>
  <c r="I1471" i="62" s="1"/>
  <c r="S1471" i="62" s="1"/>
  <c r="S1466" i="62"/>
  <c r="I1535" i="62"/>
  <c r="I2808" i="62"/>
  <c r="S2808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40" i="62"/>
  <c r="S2340" i="62" s="1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680" i="62"/>
  <c r="I2681" i="62"/>
  <c r="I2650" i="62"/>
  <c r="S2650" i="62" s="1"/>
  <c r="S305" i="62"/>
  <c r="I306" i="62"/>
  <c r="I311" i="62" s="1"/>
  <c r="S311" i="62" s="1"/>
  <c r="I717" i="62"/>
  <c r="I1969" i="62"/>
  <c r="S1968" i="62"/>
  <c r="I958" i="62"/>
  <c r="I962" i="62" s="1"/>
  <c r="S962" i="62" s="1"/>
  <c r="S957" i="62"/>
  <c r="I1400" i="62"/>
  <c r="I1404" i="62" s="1"/>
  <c r="S1404" i="62" s="1"/>
  <c r="S1399" i="62"/>
  <c r="I2371" i="62"/>
  <c r="S2371" i="62" s="1"/>
  <c r="I1878" i="62"/>
  <c r="S1878" i="62" s="1"/>
  <c r="I2249" i="62"/>
  <c r="S2249" i="62" s="1"/>
  <c r="I66" i="62"/>
  <c r="I70" i="62" s="1"/>
  <c r="S70" i="62" s="1"/>
  <c r="S65" i="62"/>
  <c r="I2402" i="62"/>
  <c r="S2402" i="62" s="1"/>
  <c r="I1229" i="62"/>
  <c r="I1233" i="62" s="1"/>
  <c r="S1233" i="62" s="1"/>
  <c r="S1228" i="62"/>
  <c r="I546" i="62"/>
  <c r="I2713" i="62"/>
  <c r="S2712" i="62"/>
  <c r="O2621" i="62"/>
  <c r="P2620" i="62"/>
  <c r="I2620" i="62" s="1"/>
  <c r="S2620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463" i="62"/>
  <c r="I2464" i="62"/>
  <c r="I1059" i="62"/>
  <c r="I1063" i="62" s="1"/>
  <c r="S1063" i="62" s="1"/>
  <c r="S1058" i="62"/>
  <c r="I1937" i="62"/>
  <c r="S1937" i="62" s="1"/>
  <c r="I790" i="62"/>
  <c r="S786" i="62"/>
  <c r="S511" i="62"/>
  <c r="I512" i="62"/>
  <c r="I516" i="62" s="1"/>
  <c r="S516" i="62" s="1"/>
  <c r="I1809" i="62"/>
  <c r="S1809" i="62" s="1"/>
  <c r="I1841" i="62"/>
  <c r="S2742" i="62"/>
  <c r="I2743" i="62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185" i="62"/>
  <c r="I1297" i="62"/>
  <c r="I1301" i="62" s="1"/>
  <c r="S1301" i="62" s="1"/>
  <c r="S1296" i="62"/>
  <c r="I2247" i="62"/>
  <c r="S2247" i="62" s="1"/>
  <c r="I2435" i="62"/>
  <c r="S2435" i="62" s="1"/>
  <c r="I2280" i="62"/>
  <c r="S2280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31" i="62"/>
  <c r="S2031" i="62" s="1"/>
  <c r="I168" i="62"/>
  <c r="I172" i="62" s="1"/>
  <c r="S172" i="62" s="1"/>
  <c r="S167" i="62"/>
  <c r="I2216" i="62"/>
  <c r="S2216" i="62" s="1"/>
  <c r="I992" i="62"/>
  <c r="I996" i="62" s="1"/>
  <c r="S996" i="62" s="1"/>
  <c r="S991" i="62"/>
  <c r="S1841" i="62" l="1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185" i="62"/>
  <c r="I2186" i="62"/>
  <c r="I2187" i="62" s="1"/>
  <c r="I2188" i="62" s="1"/>
  <c r="S236" i="62"/>
  <c r="I237" i="62"/>
  <c r="I242" i="62" s="1"/>
  <c r="S242" i="62" s="1"/>
  <c r="I1706" i="62"/>
  <c r="I1710" i="62" s="1"/>
  <c r="S1710" i="62" s="1"/>
  <c r="S1705" i="62"/>
  <c r="I1740" i="62"/>
  <c r="I2558" i="62"/>
  <c r="S2557" i="62"/>
  <c r="S2094" i="62"/>
  <c r="I2095" i="62"/>
  <c r="S2498" i="62"/>
  <c r="I1605" i="62"/>
  <c r="S1604" i="62"/>
  <c r="I410" i="62"/>
  <c r="I414" i="62" s="1"/>
  <c r="S414" i="62" s="1"/>
  <c r="S409" i="62"/>
  <c r="S682" i="62"/>
  <c r="I683" i="62"/>
  <c r="I687" i="62" s="1"/>
  <c r="S687" i="62" s="1"/>
  <c r="S2588" i="62"/>
  <c r="I2589" i="62"/>
  <c r="I1094" i="62"/>
  <c r="I1098" i="62" s="1"/>
  <c r="S1098" i="62" s="1"/>
  <c r="S1093" i="62"/>
  <c r="S2309" i="62"/>
  <c r="I2310" i="62"/>
  <c r="I2124" i="62"/>
  <c r="S2123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372" i="62"/>
  <c r="S2372" i="62" s="1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50" i="62"/>
  <c r="S2250" i="62" s="1"/>
  <c r="I718" i="62"/>
  <c r="S718" i="62" s="1"/>
  <c r="I2651" i="62"/>
  <c r="S2651" i="62" s="1"/>
  <c r="I582" i="62"/>
  <c r="S581" i="62"/>
  <c r="S1025" i="62"/>
  <c r="I1026" i="62"/>
  <c r="I1030" i="62" s="1"/>
  <c r="S1030" i="62" s="1"/>
  <c r="I547" i="62"/>
  <c r="S992" i="62"/>
  <c r="I993" i="62"/>
  <c r="I2436" i="62"/>
  <c r="S2436" i="62" s="1"/>
  <c r="I1571" i="62"/>
  <c r="S1571" i="62" s="1"/>
  <c r="I2217" i="62"/>
  <c r="S2217" i="62" s="1"/>
  <c r="I2032" i="62"/>
  <c r="S2032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622" i="62"/>
  <c r="P2621" i="62"/>
  <c r="I2621" i="62" s="1"/>
  <c r="S2621" i="62" s="1"/>
  <c r="I1230" i="62"/>
  <c r="I1234" i="62" s="1"/>
  <c r="S1234" i="62" s="1"/>
  <c r="S1229" i="62"/>
  <c r="I1401" i="62"/>
  <c r="S1400" i="62"/>
  <c r="I1333" i="62"/>
  <c r="S1332" i="62"/>
  <c r="S2743" i="62"/>
  <c r="I2744" i="62"/>
  <c r="S1433" i="62"/>
  <c r="I1434" i="62"/>
  <c r="I1438" i="62" s="1"/>
  <c r="S1438" i="62" s="1"/>
  <c r="S1774" i="62"/>
  <c r="I1775" i="62"/>
  <c r="S648" i="62"/>
  <c r="I649" i="62"/>
  <c r="I653" i="62" s="1"/>
  <c r="S653" i="62" s="1"/>
  <c r="I2281" i="62"/>
  <c r="S2281" i="62" s="1"/>
  <c r="S376" i="62"/>
  <c r="I377" i="62"/>
  <c r="I1842" i="62"/>
  <c r="S2464" i="62"/>
  <c r="I2465" i="62"/>
  <c r="I2403" i="62"/>
  <c r="S2403" i="62" s="1"/>
  <c r="S1163" i="62"/>
  <c r="I2341" i="62"/>
  <c r="S2341" i="62" s="1"/>
  <c r="S2681" i="62"/>
  <c r="I2682" i="62"/>
  <c r="I889" i="62"/>
  <c r="S888" i="62"/>
  <c r="I1938" i="62"/>
  <c r="S1938" i="62" s="1"/>
  <c r="I67" i="62"/>
  <c r="S66" i="62"/>
  <c r="I1970" i="62"/>
  <c r="S1969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14" i="62"/>
  <c r="S2713" i="62"/>
  <c r="I959" i="62"/>
  <c r="S958" i="62"/>
  <c r="S1842" i="62" l="1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186" i="62"/>
  <c r="S237" i="62"/>
  <c r="I238" i="62"/>
  <c r="I1707" i="62"/>
  <c r="S1706" i="62"/>
  <c r="I2559" i="62"/>
  <c r="S2558" i="62"/>
  <c r="S2095" i="62"/>
  <c r="I1741" i="62"/>
  <c r="S1741" i="62" s="1"/>
  <c r="I1609" i="62"/>
  <c r="S1605" i="62"/>
  <c r="S683" i="62"/>
  <c r="I684" i="62"/>
  <c r="S410" i="62"/>
  <c r="I411" i="62"/>
  <c r="I2125" i="62"/>
  <c r="S2124" i="62"/>
  <c r="I1095" i="62"/>
  <c r="S1094" i="62"/>
  <c r="S751" i="62"/>
  <c r="I752" i="62"/>
  <c r="S2310" i="62"/>
  <c r="I2311" i="62"/>
  <c r="I2590" i="62"/>
  <c r="S2589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39" i="62"/>
  <c r="S1939" i="62" s="1"/>
  <c r="S1230" i="62"/>
  <c r="I1231" i="62"/>
  <c r="I1265" i="62"/>
  <c r="S1264" i="62"/>
  <c r="I2218" i="62"/>
  <c r="S2218" i="62" s="1"/>
  <c r="I2373" i="62"/>
  <c r="S2373" i="62" s="1"/>
  <c r="S272" i="62"/>
  <c r="I273" i="62"/>
  <c r="I2466" i="62"/>
  <c r="S2465" i="62"/>
  <c r="S2187" i="62"/>
  <c r="I2652" i="62"/>
  <c r="S2652" i="62" s="1"/>
  <c r="S649" i="62"/>
  <c r="I650" i="62"/>
  <c r="S2682" i="62"/>
  <c r="I2683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33" i="62"/>
  <c r="S2033" i="62" s="1"/>
  <c r="S169" i="62"/>
  <c r="I170" i="62"/>
  <c r="I2342" i="62"/>
  <c r="S2342" i="62" s="1"/>
  <c r="I1843" i="62"/>
  <c r="S1843" i="62" s="1"/>
  <c r="S2744" i="62"/>
  <c r="I2745" i="62"/>
  <c r="S1060" i="62"/>
  <c r="I1061" i="62"/>
  <c r="I722" i="62"/>
  <c r="S722" i="62" s="1"/>
  <c r="I2715" i="62"/>
  <c r="S2714" i="62"/>
  <c r="I1971" i="62"/>
  <c r="S1970" i="62"/>
  <c r="I895" i="62"/>
  <c r="S889" i="62"/>
  <c r="I2404" i="62"/>
  <c r="S2404" i="62" s="1"/>
  <c r="S1333" i="62"/>
  <c r="I1337" i="62"/>
  <c r="P2622" i="62"/>
  <c r="I2622" i="62" s="1"/>
  <c r="S2622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560" i="62"/>
  <c r="S2559" i="62"/>
  <c r="S1609" i="62"/>
  <c r="S411" i="62"/>
  <c r="I415" i="62"/>
  <c r="S684" i="62"/>
  <c r="I688" i="62"/>
  <c r="S2311" i="62"/>
  <c r="I2312" i="62"/>
  <c r="I1099" i="62"/>
  <c r="S1095" i="62"/>
  <c r="I756" i="62"/>
  <c r="S752" i="62"/>
  <c r="I2591" i="62"/>
  <c r="S2590" i="62"/>
  <c r="S2125" i="62"/>
  <c r="I212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683" i="62"/>
  <c r="I2684" i="62"/>
  <c r="I1940" i="62"/>
  <c r="S1940" i="62" s="1"/>
  <c r="S479" i="62"/>
  <c r="I484" i="62"/>
  <c r="I1133" i="62"/>
  <c r="S1129" i="62"/>
  <c r="S1971" i="62"/>
  <c r="I1847" i="62"/>
  <c r="S1847" i="62" s="1"/>
  <c r="S1779" i="62"/>
  <c r="I2653" i="62"/>
  <c r="S2653" i="62" s="1"/>
  <c r="S2188" i="62"/>
  <c r="I2374" i="62"/>
  <c r="S2374" i="62" s="1"/>
  <c r="I1269" i="62"/>
  <c r="S1265" i="62"/>
  <c r="S2745" i="62"/>
  <c r="I2746" i="62"/>
  <c r="S170" i="62"/>
  <c r="I174" i="62"/>
  <c r="S963" i="62"/>
  <c r="I2219" i="62"/>
  <c r="S2219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05" i="62"/>
  <c r="S2405" i="62" s="1"/>
  <c r="S2715" i="62"/>
  <c r="I2343" i="62"/>
  <c r="S2343" i="62" s="1"/>
  <c r="S1405" i="62"/>
  <c r="S1027" i="62"/>
  <c r="I1031" i="62"/>
  <c r="S381" i="62"/>
  <c r="S2466" i="62"/>
  <c r="I2467" i="62"/>
  <c r="S71" i="62"/>
  <c r="I1439" i="62"/>
  <c r="S1435" i="62"/>
  <c r="S2560" i="62" l="1"/>
  <c r="S688" i="62"/>
  <c r="S415" i="62"/>
  <c r="S2591" i="62"/>
  <c r="S1099" i="62"/>
  <c r="S2126" i="62"/>
  <c r="S2312" i="62"/>
  <c r="S756" i="62"/>
  <c r="S1473" i="62"/>
  <c r="S347" i="62"/>
  <c r="S654" i="62"/>
  <c r="S313" i="62"/>
  <c r="S1065" i="62"/>
  <c r="S2467" i="62"/>
  <c r="S278" i="62"/>
  <c r="S484" i="62"/>
  <c r="S1235" i="62"/>
  <c r="S174" i="62"/>
  <c r="S208" i="62"/>
  <c r="S518" i="62"/>
  <c r="S1269" i="62"/>
  <c r="S1031" i="62"/>
  <c r="S2746" i="62"/>
  <c r="S2684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<sst xmlns="http://schemas.openxmlformats.org/spreadsheetml/2006/main" count="10089" uniqueCount="352">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</sst>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4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2:S194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53:S228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780:S280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563:S259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7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749:S277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625:S265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60:S218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687:S271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594:S262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532:S256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470:S249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39:S246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08:S243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284:S231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191:S221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29:S215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67:S209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74:S200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098:S212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01:S252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377:S240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46:S237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15:S234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22:S225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36:S206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05:S203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1:S190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43:S197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718:S274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656:S268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841"/>
  <sheetViews>
    <sheetView tabSelected="1" topLeftCell="A1842" zoomScale="70" zoomScaleNormal="70" workbookViewId="0">
      <selection activeCell="A1878" sqref="A1878:XFD187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8" t="s">
        <v>8</v>
      </c>
      <c r="C1" s="139"/>
      <c r="D1" s="139"/>
      <c r="E1" s="139"/>
      <c r="F1" s="139"/>
      <c r="G1" s="139"/>
      <c r="H1" s="139"/>
      <c r="I1" s="139"/>
      <c r="J1" s="139"/>
      <c r="K1" s="139"/>
      <c r="L1" s="140"/>
      <c r="M1" s="138" t="s">
        <v>261</v>
      </c>
      <c r="N1" s="139"/>
      <c r="O1" s="139"/>
      <c r="P1" s="139"/>
      <c r="Q1" s="139"/>
      <c r="R1" s="139"/>
      <c r="S1" s="140"/>
    </row>
    <row r="2" spans="2:19" ht="14.45" customHeight="1">
      <c r="B2" s="141"/>
      <c r="C2" s="142"/>
      <c r="D2" s="142"/>
      <c r="E2" s="142"/>
      <c r="F2" s="142"/>
      <c r="G2" s="142"/>
      <c r="H2" s="142"/>
      <c r="I2" s="142"/>
      <c r="J2" s="142"/>
      <c r="K2" s="142"/>
      <c r="L2" s="143"/>
      <c r="M2" s="141"/>
      <c r="N2" s="142"/>
      <c r="O2" s="142"/>
      <c r="P2" s="142"/>
      <c r="Q2" s="142"/>
      <c r="R2" s="142"/>
      <c r="S2" s="143"/>
    </row>
    <row r="3" spans="2:19" ht="14.45" customHeight="1">
      <c r="B3" s="144"/>
      <c r="C3" s="145"/>
      <c r="D3" s="145"/>
      <c r="E3" s="145"/>
      <c r="F3" s="145"/>
      <c r="G3" s="145"/>
      <c r="H3" s="145"/>
      <c r="I3" s="145"/>
      <c r="J3" s="145"/>
      <c r="K3" s="145"/>
      <c r="L3" s="146"/>
      <c r="M3" s="144"/>
      <c r="N3" s="145"/>
      <c r="O3" s="145"/>
      <c r="P3" s="145"/>
      <c r="Q3" s="145"/>
      <c r="R3" s="145"/>
      <c r="S3" s="14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5" t="str">
        <f>M$1</f>
        <v>BM JANEIRO 2026</v>
      </c>
      <c r="N5" s="135"/>
      <c r="O5" s="135"/>
      <c r="P5" s="19" t="s">
        <v>10</v>
      </c>
      <c r="Q5" s="136"/>
      <c r="R5" s="136"/>
      <c r="S5" s="136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5" t="str">
        <f>M$1</f>
        <v>BM JANEIRO 2026</v>
      </c>
      <c r="N39" s="135"/>
      <c r="O39" s="135"/>
      <c r="P39" s="19" t="s">
        <v>10</v>
      </c>
      <c r="Q39" s="136"/>
      <c r="R39" s="136"/>
      <c r="S39" s="136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5" t="str">
        <f>M$1</f>
        <v>BM JANEIRO 2026</v>
      </c>
      <c r="N73" s="135"/>
      <c r="O73" s="135"/>
      <c r="P73" s="19" t="s">
        <v>10</v>
      </c>
      <c r="Q73" s="136"/>
      <c r="R73" s="136"/>
      <c r="S73" s="136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5" t="str">
        <f>M$1</f>
        <v>BM JANEIRO 2026</v>
      </c>
      <c r="N107" s="135"/>
      <c r="O107" s="135"/>
      <c r="P107" s="19" t="s">
        <v>10</v>
      </c>
      <c r="Q107" s="136"/>
      <c r="R107" s="136"/>
      <c r="S107" s="136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5" t="str">
        <f>M$1</f>
        <v>BM JANEIRO 2026</v>
      </c>
      <c r="N142" s="135"/>
      <c r="O142" s="135"/>
      <c r="P142" s="19" t="s">
        <v>10</v>
      </c>
      <c r="Q142" s="136"/>
      <c r="R142" s="136"/>
      <c r="S142" s="136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5" t="str">
        <f>M$1</f>
        <v>BM JANEIRO 2026</v>
      </c>
      <c r="N176" s="135"/>
      <c r="O176" s="135"/>
      <c r="P176" s="19" t="s">
        <v>10</v>
      </c>
      <c r="Q176" s="136"/>
      <c r="R176" s="136"/>
      <c r="S176" s="136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5" t="str">
        <f>M$1</f>
        <v>BM JANEIRO 2026</v>
      </c>
      <c r="N210" s="135"/>
      <c r="O210" s="135"/>
      <c r="P210" s="19" t="s">
        <v>10</v>
      </c>
      <c r="Q210" s="136"/>
      <c r="R210" s="136"/>
      <c r="S210" s="136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5" t="str">
        <f>M$1</f>
        <v>BM JANEIRO 2026</v>
      </c>
      <c r="N245" s="135"/>
      <c r="O245" s="135"/>
      <c r="P245" s="19" t="s">
        <v>10</v>
      </c>
      <c r="Q245" s="136"/>
      <c r="R245" s="136"/>
      <c r="S245" s="136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5" t="str">
        <f>M$1</f>
        <v>BM JANEIRO 2026</v>
      </c>
      <c r="N280" s="135"/>
      <c r="O280" s="135"/>
      <c r="P280" s="19" t="s">
        <v>10</v>
      </c>
      <c r="Q280" s="136"/>
      <c r="R280" s="136"/>
      <c r="S280" s="136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5" t="str">
        <f>M$1</f>
        <v>BM JANEIRO 2026</v>
      </c>
      <c r="N315" s="135"/>
      <c r="O315" s="135"/>
      <c r="P315" s="19" t="s">
        <v>10</v>
      </c>
      <c r="Q315" s="136"/>
      <c r="R315" s="136"/>
      <c r="S315" s="136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5" t="str">
        <f>M$1</f>
        <v>BM JANEIRO 2026</v>
      </c>
      <c r="N349" s="135"/>
      <c r="O349" s="135"/>
      <c r="P349" s="19" t="s">
        <v>10</v>
      </c>
      <c r="Q349" s="136"/>
      <c r="R349" s="136"/>
      <c r="S349" s="136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5" t="str">
        <f>M$1</f>
        <v>BM JANEIRO 2026</v>
      </c>
      <c r="N383" s="135"/>
      <c r="O383" s="135"/>
      <c r="P383" s="19" t="s">
        <v>10</v>
      </c>
      <c r="Q383" s="136" t="s">
        <v>259</v>
      </c>
      <c r="R383" s="136"/>
      <c r="S383" s="136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5" t="str">
        <f>M$1</f>
        <v>BM JANEIRO 2026</v>
      </c>
      <c r="N417" s="135"/>
      <c r="O417" s="135"/>
      <c r="P417" s="19" t="s">
        <v>10</v>
      </c>
      <c r="Q417" s="136"/>
      <c r="R417" s="136"/>
      <c r="S417" s="136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5" t="str">
        <f>M$1</f>
        <v>BM JANEIRO 2026</v>
      </c>
      <c r="N451" s="135"/>
      <c r="O451" s="135"/>
      <c r="P451" s="19" t="s">
        <v>10</v>
      </c>
      <c r="Q451" s="136"/>
      <c r="R451" s="136"/>
      <c r="S451" s="136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266.66666666666669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O453/30</f>
        <v>266.66666666666669</v>
      </c>
      <c r="Q453" s="9"/>
      <c r="R453" s="85">
        <v>0</v>
      </c>
      <c r="S453" s="10">
        <f>SUM(R453+Q453+I453)</f>
        <v>266.66666666666669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266.66666666666669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266.66666666666669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266.66666666666669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266.66666666666669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266.66666666666669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266.66666666666669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266.66666666666669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266.66666666666669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266.66666666666669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266.66666666666669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266.66666666666669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266.66666666666669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266.66666666666669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266.66666666666669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266.66666666666669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266.66666666666669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266.66666666666669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266.66666666666669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266.66666666666669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266.66666666666669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266.66666666666669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266.66666666666669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266.66666666666669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266.66666666666669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266.66666666666669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266.66666666666669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266.66666666666669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266.66666666666669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266.66666666666669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266.66666666666669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266.66666666666669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266.66666666666669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266.66666666666669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266.66666666666669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266.66666666666669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266.66666666666669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266.66666666666669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266.66666666666669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266.66666666666669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266.66666666666669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266.66666666666669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266.66666666666669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266.66666666666669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266.66666666666669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266.66666666666669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266.66666666666669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266.66666666666669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266.66666666666669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266.66666666666669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266.66666666666669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266.66666666666669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266.66666666666669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266.66666666666669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266.66666666666669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266.66666666666669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266.66666666666669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266.66666666666669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266.66666666666669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266.66666666666669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266.66666666666669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266.66666666666669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266.66666666666669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5" t="str">
        <f>M$1</f>
        <v>BM JANEIRO 2026</v>
      </c>
      <c r="N486" s="135"/>
      <c r="O486" s="135"/>
      <c r="P486" s="19" t="s">
        <v>10</v>
      </c>
      <c r="Q486" s="136"/>
      <c r="R486" s="136"/>
      <c r="S486" s="136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500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O488/30</f>
        <v>500</v>
      </c>
      <c r="Q488" s="9"/>
      <c r="R488" s="85">
        <v>0</v>
      </c>
      <c r="S488" s="10">
        <f>SUM(R488+Q488+I488)</f>
        <v>500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500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500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500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500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500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500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500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500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500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500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500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500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500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500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500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500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500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500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500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500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500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500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500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500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500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500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500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500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500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500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500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500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500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500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500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500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500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500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500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500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500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500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500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500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500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500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500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500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500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500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500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500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500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500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500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500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500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500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500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500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5" t="str">
        <f>M$1</f>
        <v>BM JANEIRO 2026</v>
      </c>
      <c r="N520" s="135"/>
      <c r="O520" s="135"/>
      <c r="P520" s="19" t="s">
        <v>10</v>
      </c>
      <c r="Q520" s="136"/>
      <c r="R520" s="136"/>
      <c r="S520" s="136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 t="shared" ref="G522:G525" si="151">F522-E522</f>
        <v>0</v>
      </c>
      <c r="H522" s="16" t="s">
        <v>6</v>
      </c>
      <c r="I522" s="10">
        <f>P522</f>
        <v>513.33333333333337</v>
      </c>
      <c r="J522" s="16" t="s">
        <v>201</v>
      </c>
      <c r="K522" s="15"/>
      <c r="L522" s="15"/>
      <c r="M522" s="17"/>
      <c r="N522" s="9"/>
      <c r="O522" s="9">
        <v>15400</v>
      </c>
      <c r="P522" s="9">
        <f>O522/30</f>
        <v>513.33333333333337</v>
      </c>
      <c r="Q522" s="9"/>
      <c r="R522" s="72"/>
      <c r="S522" s="10">
        <f>SUM(R522+Q522+I522)</f>
        <v>513.33333333333337</v>
      </c>
    </row>
    <row r="523" spans="2:19" outlineLevel="1">
      <c r="B523" s="13" t="s">
        <v>52</v>
      </c>
      <c r="C523" s="7" t="str">
        <f t="shared" ref="C523:C552" si="152">C$520</f>
        <v>ROLO HD 14  PARA PAVIMENTAÇÃO O.S TERRA</v>
      </c>
      <c r="D523" s="8">
        <f t="shared" si="150"/>
        <v>46083</v>
      </c>
      <c r="E523" s="15"/>
      <c r="F523" s="15"/>
      <c r="G523" s="15">
        <f t="shared" si="151"/>
        <v>0</v>
      </c>
      <c r="H523" s="16" t="s">
        <v>6</v>
      </c>
      <c r="I523" s="10">
        <f>I522</f>
        <v>513.33333333333337</v>
      </c>
      <c r="J523" s="16" t="s">
        <v>201</v>
      </c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3">SUM(R523+Q523+I523)</f>
        <v>513.33333333333337</v>
      </c>
    </row>
    <row r="524" spans="2:19" outlineLevel="1">
      <c r="B524" s="13" t="s">
        <v>52</v>
      </c>
      <c r="C524" s="7" t="str">
        <f t="shared" si="152"/>
        <v>ROLO HD 14  PARA PAVIMENTAÇÃO O.S TERRA</v>
      </c>
      <c r="D524" s="8">
        <f t="shared" si="150"/>
        <v>46084</v>
      </c>
      <c r="E524" s="15"/>
      <c r="F524" s="15"/>
      <c r="G524" s="15">
        <f t="shared" si="151"/>
        <v>0</v>
      </c>
      <c r="H524" s="16" t="s">
        <v>6</v>
      </c>
      <c r="I524" s="10">
        <f t="shared" ref="I524:I548" si="154">I523</f>
        <v>513.33333333333337</v>
      </c>
      <c r="J524" s="16" t="s">
        <v>201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3"/>
        <v>513.33333333333337</v>
      </c>
    </row>
    <row r="525" spans="2:19" outlineLevel="1">
      <c r="B525" s="13" t="s">
        <v>52</v>
      </c>
      <c r="C525" s="7" t="str">
        <f t="shared" si="152"/>
        <v>ROLO HD 14  PARA PAVIMENTAÇÃO O.S TERRA</v>
      </c>
      <c r="D525" s="8">
        <f t="shared" si="150"/>
        <v>46085</v>
      </c>
      <c r="E525" s="15"/>
      <c r="F525" s="15"/>
      <c r="G525" s="15">
        <f t="shared" si="151"/>
        <v>0</v>
      </c>
      <c r="H525" s="16" t="s">
        <v>6</v>
      </c>
      <c r="I525" s="10">
        <f t="shared" si="154"/>
        <v>513.33333333333337</v>
      </c>
      <c r="J525" s="16" t="s">
        <v>201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3"/>
        <v>513.33333333333337</v>
      </c>
    </row>
    <row r="526" spans="2:19" outlineLevel="1">
      <c r="B526" s="13" t="s">
        <v>52</v>
      </c>
      <c r="C526" s="7" t="str">
        <f t="shared" si="152"/>
        <v>ROLO HD 14  PARA PAVIMENTAÇÃO O.S TERRA</v>
      </c>
      <c r="D526" s="8">
        <f t="shared" si="150"/>
        <v>46086</v>
      </c>
      <c r="E526" s="15"/>
      <c r="F526" s="15"/>
      <c r="G526" s="15">
        <f>F526-E526</f>
        <v>0</v>
      </c>
      <c r="H526" s="16" t="s">
        <v>6</v>
      </c>
      <c r="I526" s="10">
        <f t="shared" si="154"/>
        <v>513.33333333333337</v>
      </c>
      <c r="J526" s="16" t="s">
        <v>201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3"/>
        <v>513.33333333333337</v>
      </c>
    </row>
    <row r="527" spans="2:19" outlineLevel="1">
      <c r="B527" s="13" t="s">
        <v>52</v>
      </c>
      <c r="C527" s="7" t="str">
        <f t="shared" si="152"/>
        <v>ROLO HD 14  PARA PAVIMENTAÇÃO O.S TERRA</v>
      </c>
      <c r="D527" s="8">
        <f t="shared" si="150"/>
        <v>46087</v>
      </c>
      <c r="E527" s="15"/>
      <c r="F527" s="15"/>
      <c r="G527" s="15">
        <f t="shared" ref="G527:G552" si="155">F527-E527</f>
        <v>0</v>
      </c>
      <c r="H527" s="16" t="s">
        <v>6</v>
      </c>
      <c r="I527" s="10">
        <f t="shared" si="154"/>
        <v>513.33333333333337</v>
      </c>
      <c r="J527" s="16" t="s">
        <v>201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3"/>
        <v>513.33333333333337</v>
      </c>
    </row>
    <row r="528" spans="2:19" outlineLevel="1">
      <c r="B528" s="13" t="s">
        <v>52</v>
      </c>
      <c r="C528" s="7" t="str">
        <f t="shared" si="152"/>
        <v>ROLO HD 14  PARA PAVIMENTAÇÃO O.S TERRA</v>
      </c>
      <c r="D528" s="8">
        <f t="shared" si="150"/>
        <v>46088</v>
      </c>
      <c r="E528" s="15"/>
      <c r="F528" s="15"/>
      <c r="G528" s="15">
        <f t="shared" si="155"/>
        <v>0</v>
      </c>
      <c r="H528" s="16" t="s">
        <v>6</v>
      </c>
      <c r="I528" s="10">
        <f t="shared" si="154"/>
        <v>513.33333333333337</v>
      </c>
      <c r="J528" s="16" t="s">
        <v>201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3"/>
        <v>513.33333333333337</v>
      </c>
    </row>
    <row r="529" spans="2:20" outlineLevel="1">
      <c r="B529" s="13" t="s">
        <v>52</v>
      </c>
      <c r="C529" s="7" t="str">
        <f t="shared" si="152"/>
        <v>ROLO HD 14  PARA PAVIMENTAÇÃO O.S TERRA</v>
      </c>
      <c r="D529" s="8">
        <f t="shared" si="150"/>
        <v>46089</v>
      </c>
      <c r="E529" s="15"/>
      <c r="F529" s="15"/>
      <c r="G529" s="15">
        <f t="shared" si="155"/>
        <v>0</v>
      </c>
      <c r="H529" s="16" t="s">
        <v>6</v>
      </c>
      <c r="I529" s="10">
        <f t="shared" si="154"/>
        <v>513.33333333333337</v>
      </c>
      <c r="J529" s="16" t="s">
        <v>201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3"/>
        <v>513.33333333333337</v>
      </c>
    </row>
    <row r="530" spans="2:20" outlineLevel="1">
      <c r="B530" s="13" t="s">
        <v>52</v>
      </c>
      <c r="C530" s="7" t="str">
        <f t="shared" si="152"/>
        <v>ROLO HD 14  PARA PAVIMENTAÇÃO O.S TERRA</v>
      </c>
      <c r="D530" s="8">
        <f t="shared" si="150"/>
        <v>46090</v>
      </c>
      <c r="E530" s="15">
        <v>1806.4</v>
      </c>
      <c r="F530" s="15">
        <v>1810.6</v>
      </c>
      <c r="G530" s="15">
        <f t="shared" si="155"/>
        <v>4.1999999999998181</v>
      </c>
      <c r="H530" s="16" t="s">
        <v>6</v>
      </c>
      <c r="I530" s="10">
        <f t="shared" si="154"/>
        <v>513.33333333333337</v>
      </c>
      <c r="J530" s="16" t="s">
        <v>283</v>
      </c>
      <c r="K530" s="15">
        <v>1</v>
      </c>
      <c r="L530" s="15">
        <v>20</v>
      </c>
      <c r="M530" s="17"/>
      <c r="N530" s="9"/>
      <c r="O530" s="18"/>
      <c r="P530" s="9"/>
      <c r="Q530" s="9"/>
      <c r="R530" s="72"/>
      <c r="S530" s="10">
        <f t="shared" si="153"/>
        <v>513.33333333333337</v>
      </c>
      <c r="T530" s="76"/>
    </row>
    <row r="531" spans="2:20" outlineLevel="1">
      <c r="B531" s="13" t="s">
        <v>52</v>
      </c>
      <c r="C531" s="7" t="str">
        <f t="shared" si="152"/>
        <v>ROLO HD 14  PARA PAVIMENTAÇÃO O.S TERRA</v>
      </c>
      <c r="D531" s="8">
        <f t="shared" si="150"/>
        <v>46091</v>
      </c>
      <c r="E531" s="15">
        <v>1810.6</v>
      </c>
      <c r="F531" s="15">
        <v>1814.8</v>
      </c>
      <c r="G531" s="15">
        <f t="shared" si="155"/>
        <v>4.2000000000000455</v>
      </c>
      <c r="H531" s="16" t="s">
        <v>285</v>
      </c>
      <c r="I531" s="10">
        <f t="shared" si="154"/>
        <v>513.33333333333337</v>
      </c>
      <c r="J531" s="16" t="s">
        <v>283</v>
      </c>
      <c r="K531" s="15">
        <v>1</v>
      </c>
      <c r="L531" s="15">
        <v>20</v>
      </c>
      <c r="M531" s="17"/>
      <c r="N531" s="9"/>
      <c r="O531" s="18">
        <f t="shared" ref="O531:O548" si="156">O530</f>
        <v>0</v>
      </c>
      <c r="P531" s="9"/>
      <c r="Q531" s="9"/>
      <c r="R531" s="72"/>
      <c r="S531" s="10">
        <f t="shared" si="153"/>
        <v>513.33333333333337</v>
      </c>
    </row>
    <row r="532" spans="2:20" outlineLevel="1">
      <c r="B532" s="13" t="s">
        <v>52</v>
      </c>
      <c r="C532" s="7" t="str">
        <f t="shared" si="152"/>
        <v>ROLO HD 14  PARA PAVIMENTAÇÃO O.S TERRA</v>
      </c>
      <c r="D532" s="8">
        <f t="shared" si="150"/>
        <v>46092</v>
      </c>
      <c r="E532" s="15">
        <v>1814.8</v>
      </c>
      <c r="F532" s="15">
        <v>1821.8</v>
      </c>
      <c r="G532" s="15">
        <f t="shared" si="155"/>
        <v>7</v>
      </c>
      <c r="H532" s="16" t="s">
        <v>285</v>
      </c>
      <c r="I532" s="10">
        <f t="shared" si="154"/>
        <v>513.33333333333337</v>
      </c>
      <c r="J532" s="16" t="s">
        <v>283</v>
      </c>
      <c r="K532" s="15">
        <v>1</v>
      </c>
      <c r="L532" s="15"/>
      <c r="M532" s="17"/>
      <c r="N532" s="9"/>
      <c r="O532" s="18">
        <f t="shared" si="156"/>
        <v>0</v>
      </c>
      <c r="P532" s="9"/>
      <c r="Q532" s="9"/>
      <c r="R532" s="72"/>
      <c r="S532" s="10">
        <f t="shared" si="153"/>
        <v>513.33333333333337</v>
      </c>
    </row>
    <row r="533" spans="2:20" outlineLevel="1">
      <c r="B533" s="13" t="s">
        <v>52</v>
      </c>
      <c r="C533" s="7" t="str">
        <f t="shared" si="152"/>
        <v>ROLO HD 14  PARA PAVIMENTAÇÃO O.S TERRA</v>
      </c>
      <c r="D533" s="8">
        <f t="shared" si="150"/>
        <v>46093</v>
      </c>
      <c r="E533" s="15">
        <v>1821.8</v>
      </c>
      <c r="F533" s="15">
        <v>1822.5</v>
      </c>
      <c r="G533" s="15">
        <f t="shared" si="155"/>
        <v>0.70000000000004547</v>
      </c>
      <c r="H533" s="16" t="s">
        <v>284</v>
      </c>
      <c r="I533" s="10">
        <f t="shared" si="154"/>
        <v>513.33333333333337</v>
      </c>
      <c r="J533" s="16" t="s">
        <v>283</v>
      </c>
      <c r="K533" s="15">
        <v>1</v>
      </c>
      <c r="L533" s="15">
        <v>30</v>
      </c>
      <c r="M533" s="17"/>
      <c r="N533" s="9"/>
      <c r="O533" s="18">
        <f t="shared" si="156"/>
        <v>0</v>
      </c>
      <c r="P533" s="9"/>
      <c r="Q533" s="9"/>
      <c r="R533" s="72"/>
      <c r="S533" s="10">
        <f t="shared" si="153"/>
        <v>513.33333333333337</v>
      </c>
    </row>
    <row r="534" spans="2:20" outlineLevel="1">
      <c r="B534" s="13" t="s">
        <v>52</v>
      </c>
      <c r="C534" s="7" t="str">
        <f t="shared" si="152"/>
        <v>ROLO HD 14  PARA PAVIMENTAÇÃO O.S TERRA</v>
      </c>
      <c r="D534" s="8">
        <f t="shared" si="150"/>
        <v>46094</v>
      </c>
      <c r="E534" s="15">
        <v>1822.5</v>
      </c>
      <c r="F534" s="15">
        <v>1834.2</v>
      </c>
      <c r="G534" s="15">
        <f t="shared" si="155"/>
        <v>11.700000000000045</v>
      </c>
      <c r="H534" s="16" t="s">
        <v>284</v>
      </c>
      <c r="I534" s="10">
        <f t="shared" si="154"/>
        <v>513.33333333333337</v>
      </c>
      <c r="J534" s="16" t="s">
        <v>283</v>
      </c>
      <c r="K534" s="15">
        <v>1</v>
      </c>
      <c r="L534" s="15">
        <v>32</v>
      </c>
      <c r="M534" s="17"/>
      <c r="N534" s="9"/>
      <c r="O534" s="18">
        <f t="shared" si="156"/>
        <v>0</v>
      </c>
      <c r="P534" s="9"/>
      <c r="Q534" s="9"/>
      <c r="R534" s="72"/>
      <c r="S534" s="10">
        <f t="shared" si="153"/>
        <v>513.33333333333337</v>
      </c>
    </row>
    <row r="535" spans="2:20" outlineLevel="1">
      <c r="B535" s="13" t="s">
        <v>52</v>
      </c>
      <c r="C535" s="7" t="str">
        <f t="shared" si="152"/>
        <v>ROLO HD 14  PARA PAVIMENTAÇÃO O.S TERRA</v>
      </c>
      <c r="D535" s="8">
        <f t="shared" si="150"/>
        <v>46095</v>
      </c>
      <c r="E535" s="15">
        <v>1834.2</v>
      </c>
      <c r="F535" s="15">
        <v>1846.8</v>
      </c>
      <c r="G535" s="15">
        <f t="shared" si="155"/>
        <v>12.599999999999909</v>
      </c>
      <c r="H535" s="16" t="s">
        <v>284</v>
      </c>
      <c r="I535" s="10">
        <f t="shared" si="154"/>
        <v>513.33333333333337</v>
      </c>
      <c r="J535" s="16"/>
      <c r="K535" s="15">
        <v>1</v>
      </c>
      <c r="L535" s="15">
        <v>20</v>
      </c>
      <c r="M535" s="17">
        <v>46067</v>
      </c>
      <c r="N535" s="9"/>
      <c r="O535" s="18">
        <f t="shared" si="156"/>
        <v>0</v>
      </c>
      <c r="P535" s="9"/>
      <c r="Q535" s="9"/>
      <c r="R535" s="72"/>
      <c r="S535" s="10">
        <f t="shared" si="153"/>
        <v>513.33333333333337</v>
      </c>
    </row>
    <row r="536" spans="2:20" outlineLevel="1">
      <c r="B536" s="13" t="s">
        <v>52</v>
      </c>
      <c r="C536" s="7" t="str">
        <f t="shared" si="152"/>
        <v>ROLO HD 14  PARA PAVIMENTAÇÃO O.S TERRA</v>
      </c>
      <c r="D536" s="8">
        <f t="shared" si="150"/>
        <v>46096</v>
      </c>
      <c r="E536" s="15"/>
      <c r="F536" s="15"/>
      <c r="G536" s="15">
        <f t="shared" si="155"/>
        <v>0</v>
      </c>
      <c r="H536" s="16" t="s">
        <v>284</v>
      </c>
      <c r="I536" s="10">
        <f t="shared" si="154"/>
        <v>513.33333333333337</v>
      </c>
      <c r="J536" s="16" t="s">
        <v>16</v>
      </c>
      <c r="K536" s="15"/>
      <c r="L536" s="15"/>
      <c r="M536" s="17"/>
      <c r="N536" s="9"/>
      <c r="O536" s="18">
        <f t="shared" si="156"/>
        <v>0</v>
      </c>
      <c r="P536" s="9"/>
      <c r="Q536" s="9"/>
      <c r="R536" s="72"/>
      <c r="S536" s="10">
        <f t="shared" si="153"/>
        <v>513.33333333333337</v>
      </c>
    </row>
    <row r="537" spans="2:20" outlineLevel="1">
      <c r="B537" s="13" t="s">
        <v>52</v>
      </c>
      <c r="C537" s="7" t="str">
        <f t="shared" si="152"/>
        <v>ROLO HD 14  PARA PAVIMENTAÇÃO O.S TERRA</v>
      </c>
      <c r="D537" s="8">
        <f t="shared" si="150"/>
        <v>46097</v>
      </c>
      <c r="E537" s="15">
        <v>1846.8</v>
      </c>
      <c r="F537" s="15">
        <v>1851.6</v>
      </c>
      <c r="G537" s="15">
        <f t="shared" si="155"/>
        <v>4.7999999999999545</v>
      </c>
      <c r="H537" s="16" t="s">
        <v>284</v>
      </c>
      <c r="I537" s="10">
        <f t="shared" si="154"/>
        <v>513.33333333333337</v>
      </c>
      <c r="J537" s="16"/>
      <c r="K537" s="15">
        <v>1</v>
      </c>
      <c r="L537" s="15"/>
      <c r="M537" s="17"/>
      <c r="N537" s="9"/>
      <c r="O537" s="18">
        <f t="shared" si="156"/>
        <v>0</v>
      </c>
      <c r="P537" s="9"/>
      <c r="Q537" s="9"/>
      <c r="R537" s="72"/>
      <c r="S537" s="10">
        <f t="shared" si="153"/>
        <v>513.33333333333337</v>
      </c>
    </row>
    <row r="538" spans="2:20" outlineLevel="1">
      <c r="B538" s="13" t="s">
        <v>52</v>
      </c>
      <c r="C538" s="7" t="str">
        <f t="shared" si="152"/>
        <v>ROLO HD 14  PARA PAVIMENTAÇÃO O.S TERRA</v>
      </c>
      <c r="D538" s="8">
        <f t="shared" si="150"/>
        <v>46098</v>
      </c>
      <c r="E538" s="15"/>
      <c r="F538" s="15"/>
      <c r="G538" s="15">
        <f t="shared" si="155"/>
        <v>0</v>
      </c>
      <c r="H538" s="16" t="s">
        <v>284</v>
      </c>
      <c r="I538" s="10">
        <f t="shared" si="154"/>
        <v>513.33333333333337</v>
      </c>
      <c r="J538" s="16" t="s">
        <v>16</v>
      </c>
      <c r="K538" s="15"/>
      <c r="L538" s="15"/>
      <c r="M538" s="17"/>
      <c r="N538" s="9"/>
      <c r="O538" s="18">
        <f t="shared" si="156"/>
        <v>0</v>
      </c>
      <c r="P538" s="9"/>
      <c r="Q538" s="9"/>
      <c r="R538" s="72"/>
      <c r="S538" s="10">
        <f t="shared" si="153"/>
        <v>513.33333333333337</v>
      </c>
    </row>
    <row r="539" spans="2:20" outlineLevel="1">
      <c r="B539" s="13" t="s">
        <v>52</v>
      </c>
      <c r="C539" s="7" t="str">
        <f t="shared" si="152"/>
        <v>ROLO HD 14  PARA PAVIMENTAÇÃO O.S TERRA</v>
      </c>
      <c r="D539" s="8">
        <f t="shared" si="150"/>
        <v>46099</v>
      </c>
      <c r="E539" s="15">
        <v>1851.6</v>
      </c>
      <c r="F539" s="15">
        <v>1853.3</v>
      </c>
      <c r="G539" s="15">
        <f t="shared" si="155"/>
        <v>1.7000000000000455</v>
      </c>
      <c r="H539" s="16" t="s">
        <v>286</v>
      </c>
      <c r="I539" s="10">
        <f t="shared" si="154"/>
        <v>513.33333333333337</v>
      </c>
      <c r="J539" s="16"/>
      <c r="K539" s="15">
        <v>1</v>
      </c>
      <c r="L539" s="15">
        <v>40</v>
      </c>
      <c r="M539" s="17">
        <v>46071</v>
      </c>
      <c r="N539" s="9"/>
      <c r="O539" s="18">
        <f t="shared" si="156"/>
        <v>0</v>
      </c>
      <c r="P539" s="9"/>
      <c r="Q539" s="9"/>
      <c r="R539" s="72"/>
      <c r="S539" s="10">
        <f t="shared" si="153"/>
        <v>513.33333333333337</v>
      </c>
    </row>
    <row r="540" spans="2:20" outlineLevel="1">
      <c r="B540" s="13" t="s">
        <v>52</v>
      </c>
      <c r="C540" s="7" t="str">
        <f t="shared" si="152"/>
        <v>ROLO HD 14  PARA PAVIMENTAÇÃO O.S TERRA</v>
      </c>
      <c r="D540" s="8">
        <f t="shared" si="150"/>
        <v>46100</v>
      </c>
      <c r="E540" s="15">
        <v>1853.3</v>
      </c>
      <c r="F540" s="15">
        <v>1857.3</v>
      </c>
      <c r="G540" s="15">
        <f t="shared" si="155"/>
        <v>4</v>
      </c>
      <c r="H540" s="16" t="s">
        <v>286</v>
      </c>
      <c r="I540" s="10">
        <f t="shared" si="154"/>
        <v>513.33333333333337</v>
      </c>
      <c r="J540" s="16"/>
      <c r="K540" s="15">
        <v>1</v>
      </c>
      <c r="L540" s="15"/>
      <c r="M540" s="17"/>
      <c r="N540" s="9"/>
      <c r="O540" s="18">
        <f t="shared" si="156"/>
        <v>0</v>
      </c>
      <c r="P540" s="9"/>
      <c r="Q540" s="9"/>
      <c r="R540" s="72"/>
      <c r="S540" s="10">
        <f t="shared" si="153"/>
        <v>513.33333333333337</v>
      </c>
    </row>
    <row r="541" spans="2:20" outlineLevel="1">
      <c r="B541" s="13" t="s">
        <v>52</v>
      </c>
      <c r="C541" s="7" t="str">
        <f t="shared" si="152"/>
        <v>ROLO HD 14  PARA PAVIMENTAÇÃO O.S TERRA</v>
      </c>
      <c r="D541" s="8">
        <f t="shared" si="150"/>
        <v>46101</v>
      </c>
      <c r="E541" s="15">
        <v>1857.3</v>
      </c>
      <c r="F541" s="15">
        <v>1860.1</v>
      </c>
      <c r="G541" s="15">
        <f t="shared" si="155"/>
        <v>2.7999999999999545</v>
      </c>
      <c r="H541" s="16" t="s">
        <v>286</v>
      </c>
      <c r="I541" s="10">
        <f t="shared" si="154"/>
        <v>513.33333333333337</v>
      </c>
      <c r="J541" s="16"/>
      <c r="K541" s="15">
        <v>1</v>
      </c>
      <c r="L541" s="15">
        <v>20</v>
      </c>
      <c r="M541" s="17">
        <v>46073</v>
      </c>
      <c r="N541" s="9"/>
      <c r="O541" s="18">
        <f t="shared" si="156"/>
        <v>0</v>
      </c>
      <c r="P541" s="9"/>
      <c r="Q541" s="9"/>
      <c r="R541" s="72"/>
      <c r="S541" s="10">
        <f t="shared" si="153"/>
        <v>513.33333333333337</v>
      </c>
    </row>
    <row r="542" spans="2:20" outlineLevel="1">
      <c r="B542" s="13" t="s">
        <v>52</v>
      </c>
      <c r="C542" s="7" t="str">
        <f t="shared" si="152"/>
        <v>ROLO HD 14  PARA PAVIMENTAÇÃO O.S TERRA</v>
      </c>
      <c r="D542" s="8">
        <f t="shared" si="150"/>
        <v>46102</v>
      </c>
      <c r="E542" s="15">
        <v>1860.1</v>
      </c>
      <c r="F542" s="15">
        <v>1870.1</v>
      </c>
      <c r="G542" s="15">
        <f t="shared" si="155"/>
        <v>10</v>
      </c>
      <c r="H542" s="16" t="s">
        <v>286</v>
      </c>
      <c r="I542" s="10">
        <f t="shared" si="154"/>
        <v>513.33333333333337</v>
      </c>
      <c r="J542" s="16"/>
      <c r="K542" s="15">
        <v>1</v>
      </c>
      <c r="L542" s="15">
        <v>40</v>
      </c>
      <c r="M542" s="17"/>
      <c r="N542" s="9"/>
      <c r="O542" s="18">
        <f t="shared" si="156"/>
        <v>0</v>
      </c>
      <c r="P542" s="9"/>
      <c r="Q542" s="9"/>
      <c r="R542" s="72"/>
      <c r="S542" s="10">
        <f t="shared" si="153"/>
        <v>513.33333333333337</v>
      </c>
    </row>
    <row r="543" spans="2:20" outlineLevel="1">
      <c r="B543" s="13" t="s">
        <v>52</v>
      </c>
      <c r="C543" s="7" t="str">
        <f t="shared" si="152"/>
        <v>ROLO HD 14  PARA PAVIMENTAÇÃO O.S TERRA</v>
      </c>
      <c r="D543" s="8">
        <f t="shared" si="150"/>
        <v>46103</v>
      </c>
      <c r="E543" s="15"/>
      <c r="F543" s="15"/>
      <c r="G543" s="15">
        <f t="shared" si="155"/>
        <v>0</v>
      </c>
      <c r="H543" s="16" t="s">
        <v>286</v>
      </c>
      <c r="I543" s="10">
        <f t="shared" si="154"/>
        <v>513.33333333333337</v>
      </c>
      <c r="J543" s="16" t="s">
        <v>16</v>
      </c>
      <c r="K543" s="15"/>
      <c r="L543" s="15"/>
      <c r="M543" s="17"/>
      <c r="N543" s="9"/>
      <c r="O543" s="18">
        <f t="shared" si="156"/>
        <v>0</v>
      </c>
      <c r="P543" s="9"/>
      <c r="Q543" s="9"/>
      <c r="R543" s="72"/>
      <c r="S543" s="10">
        <f t="shared" si="153"/>
        <v>513.33333333333337</v>
      </c>
    </row>
    <row r="544" spans="2:20" outlineLevel="1">
      <c r="B544" s="13" t="s">
        <v>52</v>
      </c>
      <c r="C544" s="7" t="str">
        <f t="shared" si="152"/>
        <v>ROLO HD 14  PARA PAVIMENTAÇÃO O.S TERRA</v>
      </c>
      <c r="D544" s="8">
        <f t="shared" si="150"/>
        <v>46104</v>
      </c>
      <c r="E544" s="15">
        <v>1870.1</v>
      </c>
      <c r="F544" s="15">
        <v>1870.1</v>
      </c>
      <c r="G544" s="15">
        <f t="shared" si="155"/>
        <v>0</v>
      </c>
      <c r="H544" s="16" t="s">
        <v>286</v>
      </c>
      <c r="I544" s="10">
        <f t="shared" si="154"/>
        <v>513.33333333333337</v>
      </c>
      <c r="J544" s="16"/>
      <c r="K544" s="15">
        <v>1</v>
      </c>
      <c r="L544" s="15">
        <v>30</v>
      </c>
      <c r="M544" s="17">
        <v>46076</v>
      </c>
      <c r="N544" s="9"/>
      <c r="O544" s="18">
        <f t="shared" si="156"/>
        <v>0</v>
      </c>
      <c r="P544" s="9"/>
      <c r="Q544" s="9"/>
      <c r="R544" s="72"/>
      <c r="S544" s="10">
        <f t="shared" si="153"/>
        <v>513.33333333333337</v>
      </c>
    </row>
    <row r="545" spans="2:19" outlineLevel="1">
      <c r="B545" s="13" t="s">
        <v>52</v>
      </c>
      <c r="C545" s="7" t="str">
        <f t="shared" si="152"/>
        <v>ROLO HD 14  PARA PAVIMENTAÇÃO O.S TERRA</v>
      </c>
      <c r="D545" s="8">
        <f t="shared" si="150"/>
        <v>46105</v>
      </c>
      <c r="E545" s="15"/>
      <c r="F545" s="15"/>
      <c r="G545" s="15">
        <f t="shared" si="155"/>
        <v>0</v>
      </c>
      <c r="H545" s="16" t="s">
        <v>286</v>
      </c>
      <c r="I545" s="10">
        <f t="shared" si="154"/>
        <v>513.33333333333337</v>
      </c>
      <c r="J545" s="16" t="s">
        <v>16</v>
      </c>
      <c r="K545" s="15"/>
      <c r="L545" s="15"/>
      <c r="M545" s="17"/>
      <c r="N545" s="9"/>
      <c r="O545" s="18">
        <f t="shared" si="156"/>
        <v>0</v>
      </c>
      <c r="P545" s="9"/>
      <c r="Q545" s="9"/>
      <c r="R545" s="72"/>
      <c r="S545" s="10">
        <f t="shared" si="153"/>
        <v>513.33333333333337</v>
      </c>
    </row>
    <row r="546" spans="2:19" outlineLevel="1">
      <c r="B546" s="13" t="s">
        <v>52</v>
      </c>
      <c r="C546" s="7" t="str">
        <f t="shared" si="152"/>
        <v>ROLO HD 14  PARA PAVIMENTAÇÃO O.S TERRA</v>
      </c>
      <c r="D546" s="8">
        <f t="shared" si="150"/>
        <v>46106</v>
      </c>
      <c r="E546" s="15">
        <v>1870</v>
      </c>
      <c r="F546" s="15">
        <v>1880</v>
      </c>
      <c r="G546" s="15">
        <f t="shared" si="155"/>
        <v>10</v>
      </c>
      <c r="H546" s="16" t="s">
        <v>343</v>
      </c>
      <c r="I546" s="10">
        <f t="shared" si="154"/>
        <v>513.33333333333337</v>
      </c>
      <c r="J546" s="16"/>
      <c r="K546" s="15">
        <v>1</v>
      </c>
      <c r="L546" s="15"/>
      <c r="M546" s="17"/>
      <c r="N546" s="9"/>
      <c r="O546" s="18">
        <f t="shared" si="156"/>
        <v>0</v>
      </c>
      <c r="P546" s="9"/>
      <c r="Q546" s="9"/>
      <c r="R546" s="72"/>
      <c r="S546" s="10">
        <f t="shared" si="153"/>
        <v>513.33333333333337</v>
      </c>
    </row>
    <row r="547" spans="2:19" outlineLevel="1">
      <c r="B547" s="13" t="s">
        <v>52</v>
      </c>
      <c r="C547" s="7" t="str">
        <f t="shared" si="152"/>
        <v>ROLO HD 14  PARA PAVIMENTAÇÃO O.S TERRA</v>
      </c>
      <c r="D547" s="8">
        <f t="shared" si="150"/>
        <v>46107</v>
      </c>
      <c r="E547" s="15"/>
      <c r="F547" s="15"/>
      <c r="G547" s="15">
        <f t="shared" si="155"/>
        <v>0</v>
      </c>
      <c r="H547" s="16" t="s">
        <v>286</v>
      </c>
      <c r="I547" s="10">
        <f t="shared" si="154"/>
        <v>513.33333333333337</v>
      </c>
      <c r="J547" s="16" t="s">
        <v>16</v>
      </c>
      <c r="K547" s="15"/>
      <c r="L547" s="15"/>
      <c r="M547" s="17"/>
      <c r="N547" s="9"/>
      <c r="O547" s="18">
        <f t="shared" si="156"/>
        <v>0</v>
      </c>
      <c r="P547" s="9"/>
      <c r="Q547" s="9"/>
      <c r="R547" s="72"/>
      <c r="S547" s="10">
        <f t="shared" si="153"/>
        <v>513.33333333333337</v>
      </c>
    </row>
    <row r="548" spans="2:19" outlineLevel="1">
      <c r="B548" s="13" t="s">
        <v>52</v>
      </c>
      <c r="C548" s="7" t="str">
        <f t="shared" si="152"/>
        <v>ROLO HD 14  PARA PAVIMENTAÇÃO O.S TERRA</v>
      </c>
      <c r="D548" s="8">
        <f t="shared" si="150"/>
        <v>46108</v>
      </c>
      <c r="E548" s="15">
        <v>1880</v>
      </c>
      <c r="F548" s="15">
        <v>1888.2</v>
      </c>
      <c r="G548" s="15">
        <f t="shared" si="155"/>
        <v>8.2000000000000455</v>
      </c>
      <c r="H548" s="16" t="s">
        <v>343</v>
      </c>
      <c r="I548" s="10">
        <f t="shared" si="154"/>
        <v>513.33333333333337</v>
      </c>
      <c r="J548" s="16"/>
      <c r="K548" s="15">
        <v>1</v>
      </c>
      <c r="L548" s="15"/>
      <c r="M548" s="17"/>
      <c r="N548" s="9"/>
      <c r="O548" s="18">
        <f t="shared" si="156"/>
        <v>0</v>
      </c>
      <c r="P548" s="9"/>
      <c r="Q548" s="9"/>
      <c r="R548" s="72"/>
      <c r="S548" s="10">
        <f t="shared" si="153"/>
        <v>513.33333333333337</v>
      </c>
    </row>
    <row r="549" spans="2:19" outlineLevel="1">
      <c r="B549" s="13" t="s">
        <v>52</v>
      </c>
      <c r="C549" s="7" t="str">
        <f t="shared" si="152"/>
        <v>ROLO HD 14  PARA PAVIMENTAÇÃO O.S TERRA</v>
      </c>
      <c r="D549" s="8">
        <f t="shared" ref="D549" si="157">D481</f>
        <v>46109</v>
      </c>
      <c r="E549" s="15">
        <v>1888.2</v>
      </c>
      <c r="F549" s="15">
        <v>1896.6</v>
      </c>
      <c r="G549" s="15">
        <f t="shared" ref="G549:G551" si="158">F549-E549</f>
        <v>8.3999999999998636</v>
      </c>
      <c r="H549" s="16" t="s">
        <v>286</v>
      </c>
      <c r="I549" s="10">
        <f>I545</f>
        <v>513.33333333333337</v>
      </c>
      <c r="J549" s="16"/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9">SUM(R549+Q549+I549)</f>
        <v>513.33333333333337</v>
      </c>
    </row>
    <row r="550" spans="2:19" outlineLevel="1">
      <c r="B550" s="13" t="s">
        <v>52</v>
      </c>
      <c r="C550" s="7" t="str">
        <f t="shared" si="152"/>
        <v>ROLO HD 14  PARA PAVIMENTAÇÃO O.S TERRA</v>
      </c>
      <c r="D550" s="8">
        <f t="shared" ref="D550:D552" si="160">D482</f>
        <v>46110</v>
      </c>
      <c r="E550" s="15">
        <v>1888.2</v>
      </c>
      <c r="F550" s="15">
        <v>1896.6</v>
      </c>
      <c r="G550" s="15">
        <f t="shared" si="158"/>
        <v>8.3999999999998636</v>
      </c>
      <c r="H550" s="16" t="s">
        <v>286</v>
      </c>
      <c r="I550" s="10">
        <f>I546</f>
        <v>513.33333333333337</v>
      </c>
      <c r="J550" s="16"/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9"/>
        <v>513.33333333333337</v>
      </c>
    </row>
    <row r="551" spans="2:19" outlineLevel="1">
      <c r="B551" s="13" t="s">
        <v>52</v>
      </c>
      <c r="C551" s="7" t="str">
        <f t="shared" si="152"/>
        <v>ROLO HD 14  PARA PAVIMENTAÇÃO O.S TERRA</v>
      </c>
      <c r="D551" s="8">
        <f t="shared" si="160"/>
        <v>46111</v>
      </c>
      <c r="E551" s="15">
        <v>1888.2</v>
      </c>
      <c r="F551" s="15">
        <v>1896.6</v>
      </c>
      <c r="G551" s="15">
        <f t="shared" si="158"/>
        <v>8.3999999999998636</v>
      </c>
      <c r="H551" s="16" t="s">
        <v>286</v>
      </c>
      <c r="I551" s="10">
        <f>I547</f>
        <v>513.33333333333337</v>
      </c>
      <c r="J551" s="16"/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9"/>
        <v>513.33333333333337</v>
      </c>
    </row>
    <row r="552" spans="2:19" outlineLevel="1">
      <c r="B552" s="13" t="s">
        <v>52</v>
      </c>
      <c r="C552" s="7" t="str">
        <f t="shared" si="152"/>
        <v>ROLO HD 14  PARA PAVIMENTAÇÃO O.S TERRA</v>
      </c>
      <c r="D552" s="8">
        <f t="shared" si="160"/>
        <v>46112</v>
      </c>
      <c r="E552" s="15">
        <v>1888.2</v>
      </c>
      <c r="F552" s="15">
        <v>1896.6</v>
      </c>
      <c r="G552" s="15">
        <f t="shared" si="155"/>
        <v>8.3999999999998636</v>
      </c>
      <c r="H552" s="16" t="s">
        <v>286</v>
      </c>
      <c r="I552" s="10">
        <f>I548</f>
        <v>513.33333333333337</v>
      </c>
      <c r="J552" s="16"/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3"/>
        <v>513.33333333333337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5" t="str">
        <f>M$1</f>
        <v>BM JANEIRO 2026</v>
      </c>
      <c r="N554" s="135"/>
      <c r="O554" s="135"/>
      <c r="P554" s="19" t="s">
        <v>10</v>
      </c>
      <c r="Q554" s="136"/>
      <c r="R554" s="136"/>
      <c r="S554" s="136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61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400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O556/30</f>
        <v>400</v>
      </c>
      <c r="Q556" s="9"/>
      <c r="R556" s="85"/>
      <c r="S556" s="10">
        <f>SUM(R556+Q556+I556)</f>
        <v>400</v>
      </c>
    </row>
    <row r="557" spans="2:19" outlineLevel="1">
      <c r="B557" s="13" t="s">
        <v>54</v>
      </c>
      <c r="C557" s="7" t="str">
        <f t="shared" ref="C557:C586" si="162">C$554</f>
        <v>ROLO COMBINADO DINAPAC G14</v>
      </c>
      <c r="D557" s="8">
        <f t="shared" si="161"/>
        <v>46083</v>
      </c>
      <c r="E557" s="15"/>
      <c r="F557" s="15"/>
      <c r="G557" s="15">
        <f t="shared" ref="G557:G586" si="163">F557-E557</f>
        <v>0</v>
      </c>
      <c r="H557" s="16" t="s">
        <v>6</v>
      </c>
      <c r="I557" s="10">
        <f>I556</f>
        <v>400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4">SUM(R557+Q557+I557)</f>
        <v>400</v>
      </c>
    </row>
    <row r="558" spans="2:19" outlineLevel="1">
      <c r="B558" s="13" t="s">
        <v>54</v>
      </c>
      <c r="C558" s="7" t="str">
        <f t="shared" si="162"/>
        <v>ROLO COMBINADO DINAPAC G14</v>
      </c>
      <c r="D558" s="8">
        <f t="shared" si="161"/>
        <v>46084</v>
      </c>
      <c r="E558" s="15"/>
      <c r="F558" s="15"/>
      <c r="G558" s="15">
        <f t="shared" si="163"/>
        <v>0</v>
      </c>
      <c r="H558" s="16" t="s">
        <v>6</v>
      </c>
      <c r="I558" s="10">
        <f t="shared" ref="I558:I582" si="165">I557</f>
        <v>400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6">O557</f>
        <v>12000</v>
      </c>
      <c r="P558" s="9"/>
      <c r="Q558" s="9"/>
      <c r="R558" s="85"/>
      <c r="S558" s="10">
        <f t="shared" si="164"/>
        <v>400</v>
      </c>
    </row>
    <row r="559" spans="2:19" outlineLevel="1">
      <c r="B559" s="13" t="s">
        <v>54</v>
      </c>
      <c r="C559" s="7" t="str">
        <f t="shared" si="162"/>
        <v>ROLO COMBINADO DINAPAC G14</v>
      </c>
      <c r="D559" s="8">
        <f t="shared" si="161"/>
        <v>46085</v>
      </c>
      <c r="E559" s="15"/>
      <c r="F559" s="15"/>
      <c r="G559" s="15">
        <f t="shared" si="163"/>
        <v>0</v>
      </c>
      <c r="H559" s="16" t="s">
        <v>6</v>
      </c>
      <c r="I559" s="10">
        <f t="shared" si="165"/>
        <v>400</v>
      </c>
      <c r="J559" s="16" t="s">
        <v>201</v>
      </c>
      <c r="K559" s="15">
        <v>0</v>
      </c>
      <c r="L559" s="15"/>
      <c r="M559" s="16"/>
      <c r="N559" s="8"/>
      <c r="O559" s="18">
        <f t="shared" si="166"/>
        <v>12000</v>
      </c>
      <c r="P559" s="9"/>
      <c r="Q559" s="9"/>
      <c r="R559" s="85"/>
      <c r="S559" s="10">
        <f t="shared" si="164"/>
        <v>400</v>
      </c>
    </row>
    <row r="560" spans="2:19" outlineLevel="1">
      <c r="B560" s="13" t="s">
        <v>54</v>
      </c>
      <c r="C560" s="7" t="str">
        <f t="shared" si="162"/>
        <v>ROLO COMBINADO DINAPAC G14</v>
      </c>
      <c r="D560" s="8">
        <f t="shared" si="161"/>
        <v>46086</v>
      </c>
      <c r="E560" s="15"/>
      <c r="F560" s="15"/>
      <c r="G560" s="15">
        <f t="shared" si="163"/>
        <v>0</v>
      </c>
      <c r="H560" s="16" t="s">
        <v>6</v>
      </c>
      <c r="I560" s="10">
        <f t="shared" si="165"/>
        <v>400</v>
      </c>
      <c r="J560" s="16" t="s">
        <v>201</v>
      </c>
      <c r="K560" s="15">
        <v>0</v>
      </c>
      <c r="L560" s="15"/>
      <c r="M560" s="16"/>
      <c r="N560" s="8"/>
      <c r="O560" s="18">
        <f t="shared" si="166"/>
        <v>12000</v>
      </c>
      <c r="P560" s="9"/>
      <c r="Q560" s="9"/>
      <c r="R560" s="85"/>
      <c r="S560" s="10">
        <f t="shared" si="164"/>
        <v>400</v>
      </c>
    </row>
    <row r="561" spans="2:19" outlineLevel="1">
      <c r="B561" s="13" t="s">
        <v>54</v>
      </c>
      <c r="C561" s="7" t="str">
        <f t="shared" si="162"/>
        <v>ROLO COMBINADO DINAPAC G14</v>
      </c>
      <c r="D561" s="8">
        <f t="shared" si="161"/>
        <v>46087</v>
      </c>
      <c r="E561" s="15"/>
      <c r="F561" s="15"/>
      <c r="G561" s="15">
        <f t="shared" si="163"/>
        <v>0</v>
      </c>
      <c r="H561" s="16" t="s">
        <v>6</v>
      </c>
      <c r="I561" s="10">
        <f t="shared" si="165"/>
        <v>400</v>
      </c>
      <c r="J561" s="16" t="s">
        <v>201</v>
      </c>
      <c r="K561" s="15">
        <v>0</v>
      </c>
      <c r="L561" s="15"/>
      <c r="M561" s="16"/>
      <c r="N561" s="8"/>
      <c r="O561" s="18">
        <f t="shared" si="166"/>
        <v>12000</v>
      </c>
      <c r="P561" s="9"/>
      <c r="Q561" s="9"/>
      <c r="R561" s="85"/>
      <c r="S561" s="10">
        <f t="shared" si="164"/>
        <v>400</v>
      </c>
    </row>
    <row r="562" spans="2:19" outlineLevel="1">
      <c r="B562" s="13" t="s">
        <v>54</v>
      </c>
      <c r="C562" s="7" t="str">
        <f t="shared" si="162"/>
        <v>ROLO COMBINADO DINAPAC G14</v>
      </c>
      <c r="D562" s="8">
        <f t="shared" si="161"/>
        <v>46088</v>
      </c>
      <c r="E562" s="15"/>
      <c r="F562" s="15"/>
      <c r="G562" s="15">
        <f t="shared" si="163"/>
        <v>0</v>
      </c>
      <c r="H562" s="16" t="s">
        <v>6</v>
      </c>
      <c r="I562" s="10">
        <f t="shared" si="165"/>
        <v>400</v>
      </c>
      <c r="J562" s="16" t="s">
        <v>201</v>
      </c>
      <c r="K562" s="15">
        <v>0</v>
      </c>
      <c r="L562" s="15"/>
      <c r="M562" s="16"/>
      <c r="N562" s="8"/>
      <c r="O562" s="18">
        <f t="shared" si="166"/>
        <v>12000</v>
      </c>
      <c r="P562" s="9"/>
      <c r="Q562" s="9"/>
      <c r="R562" s="85"/>
      <c r="S562" s="10">
        <f t="shared" si="164"/>
        <v>400</v>
      </c>
    </row>
    <row r="563" spans="2:19" outlineLevel="1">
      <c r="B563" s="13" t="s">
        <v>54</v>
      </c>
      <c r="C563" s="7" t="str">
        <f t="shared" si="162"/>
        <v>ROLO COMBINADO DINAPAC G14</v>
      </c>
      <c r="D563" s="8">
        <f t="shared" si="161"/>
        <v>46089</v>
      </c>
      <c r="E563" s="15"/>
      <c r="F563" s="15"/>
      <c r="G563" s="15">
        <f t="shared" si="163"/>
        <v>0</v>
      </c>
      <c r="H563" s="16" t="s">
        <v>6</v>
      </c>
      <c r="I563" s="10">
        <f t="shared" si="165"/>
        <v>400</v>
      </c>
      <c r="J563" s="16" t="s">
        <v>201</v>
      </c>
      <c r="K563" s="15">
        <v>0</v>
      </c>
      <c r="L563" s="15"/>
      <c r="M563" s="16"/>
      <c r="N563" s="8"/>
      <c r="O563" s="18">
        <f t="shared" si="166"/>
        <v>12000</v>
      </c>
      <c r="P563" s="9"/>
      <c r="Q563" s="9"/>
      <c r="R563" s="85"/>
      <c r="S563" s="10">
        <f t="shared" si="164"/>
        <v>400</v>
      </c>
    </row>
    <row r="564" spans="2:19" outlineLevel="1">
      <c r="B564" s="13" t="s">
        <v>54</v>
      </c>
      <c r="C564" s="7" t="str">
        <f t="shared" si="162"/>
        <v>ROLO COMBINADO DINAPAC G14</v>
      </c>
      <c r="D564" s="8">
        <f t="shared" si="161"/>
        <v>46090</v>
      </c>
      <c r="E564" s="15"/>
      <c r="F564" s="15"/>
      <c r="G564" s="15">
        <f t="shared" si="163"/>
        <v>0</v>
      </c>
      <c r="H564" s="16" t="s">
        <v>6</v>
      </c>
      <c r="I564" s="10">
        <f t="shared" si="165"/>
        <v>400</v>
      </c>
      <c r="J564" s="16" t="s">
        <v>201</v>
      </c>
      <c r="K564" s="15">
        <v>0</v>
      </c>
      <c r="L564" s="15"/>
      <c r="M564" s="16"/>
      <c r="N564" s="8"/>
      <c r="O564" s="18">
        <f t="shared" si="166"/>
        <v>12000</v>
      </c>
      <c r="P564" s="9"/>
      <c r="Q564" s="9"/>
      <c r="R564" s="85"/>
      <c r="S564" s="10">
        <f t="shared" si="164"/>
        <v>400</v>
      </c>
    </row>
    <row r="565" spans="2:19" outlineLevel="1">
      <c r="B565" s="13" t="s">
        <v>54</v>
      </c>
      <c r="C565" s="7" t="str">
        <f t="shared" si="162"/>
        <v>ROLO COMBINADO DINAPAC G14</v>
      </c>
      <c r="D565" s="8">
        <f t="shared" si="161"/>
        <v>46091</v>
      </c>
      <c r="E565" s="15"/>
      <c r="F565" s="15"/>
      <c r="G565" s="15">
        <f t="shared" si="163"/>
        <v>0</v>
      </c>
      <c r="H565" s="16" t="s">
        <v>6</v>
      </c>
      <c r="I565" s="10">
        <f t="shared" si="165"/>
        <v>400</v>
      </c>
      <c r="J565" s="16" t="s">
        <v>201</v>
      </c>
      <c r="K565" s="15">
        <v>0</v>
      </c>
      <c r="L565" s="15"/>
      <c r="M565" s="16"/>
      <c r="N565" s="8"/>
      <c r="O565" s="18">
        <f t="shared" si="166"/>
        <v>12000</v>
      </c>
      <c r="P565" s="9"/>
      <c r="Q565" s="9"/>
      <c r="R565" s="85"/>
      <c r="S565" s="10">
        <f t="shared" si="164"/>
        <v>400</v>
      </c>
    </row>
    <row r="566" spans="2:19" outlineLevel="1">
      <c r="B566" s="13" t="s">
        <v>54</v>
      </c>
      <c r="C566" s="7" t="str">
        <f t="shared" si="162"/>
        <v>ROLO COMBINADO DINAPAC G14</v>
      </c>
      <c r="D566" s="8">
        <f t="shared" si="161"/>
        <v>46092</v>
      </c>
      <c r="E566" s="15"/>
      <c r="F566" s="15"/>
      <c r="G566" s="15">
        <f t="shared" si="163"/>
        <v>0</v>
      </c>
      <c r="H566" s="16" t="s">
        <v>6</v>
      </c>
      <c r="I566" s="10">
        <f t="shared" si="165"/>
        <v>400</v>
      </c>
      <c r="J566" s="16" t="s">
        <v>201</v>
      </c>
      <c r="K566" s="15">
        <v>0</v>
      </c>
      <c r="L566" s="15"/>
      <c r="M566" s="16"/>
      <c r="N566" s="8"/>
      <c r="O566" s="18">
        <f t="shared" si="166"/>
        <v>12000</v>
      </c>
      <c r="P566" s="9"/>
      <c r="Q566" s="9"/>
      <c r="R566" s="85"/>
      <c r="S566" s="10">
        <f t="shared" si="164"/>
        <v>400</v>
      </c>
    </row>
    <row r="567" spans="2:19" outlineLevel="1">
      <c r="B567" s="13" t="s">
        <v>54</v>
      </c>
      <c r="C567" s="7" t="str">
        <f t="shared" si="162"/>
        <v>ROLO COMBINADO DINAPAC G14</v>
      </c>
      <c r="D567" s="8">
        <f t="shared" si="161"/>
        <v>46093</v>
      </c>
      <c r="E567" s="15"/>
      <c r="F567" s="15"/>
      <c r="G567" s="15">
        <f t="shared" si="163"/>
        <v>0</v>
      </c>
      <c r="H567" s="16" t="s">
        <v>6</v>
      </c>
      <c r="I567" s="10">
        <f t="shared" si="165"/>
        <v>400</v>
      </c>
      <c r="J567" s="16" t="s">
        <v>201</v>
      </c>
      <c r="K567" s="15">
        <v>0</v>
      </c>
      <c r="L567" s="15"/>
      <c r="M567" s="16"/>
      <c r="N567" s="8"/>
      <c r="O567" s="18">
        <f t="shared" si="166"/>
        <v>12000</v>
      </c>
      <c r="P567" s="9"/>
      <c r="Q567" s="9"/>
      <c r="R567" s="85"/>
      <c r="S567" s="10">
        <f t="shared" si="164"/>
        <v>400</v>
      </c>
    </row>
    <row r="568" spans="2:19" outlineLevel="1">
      <c r="B568" s="13" t="s">
        <v>54</v>
      </c>
      <c r="C568" s="7" t="str">
        <f t="shared" si="162"/>
        <v>ROLO COMBINADO DINAPAC G14</v>
      </c>
      <c r="D568" s="8">
        <f t="shared" si="161"/>
        <v>46094</v>
      </c>
      <c r="E568" s="15"/>
      <c r="F568" s="15"/>
      <c r="G568" s="15">
        <f t="shared" si="163"/>
        <v>0</v>
      </c>
      <c r="H568" s="16" t="s">
        <v>6</v>
      </c>
      <c r="I568" s="10">
        <f t="shared" si="165"/>
        <v>400</v>
      </c>
      <c r="J568" s="16" t="s">
        <v>201</v>
      </c>
      <c r="K568" s="15">
        <v>0</v>
      </c>
      <c r="L568" s="15"/>
      <c r="M568" s="16"/>
      <c r="N568" s="8"/>
      <c r="O568" s="18">
        <f t="shared" si="166"/>
        <v>12000</v>
      </c>
      <c r="P568" s="9"/>
      <c r="Q568" s="9"/>
      <c r="R568" s="85"/>
      <c r="S568" s="10">
        <f t="shared" si="164"/>
        <v>400</v>
      </c>
    </row>
    <row r="569" spans="2:19" outlineLevel="1">
      <c r="B569" s="13" t="s">
        <v>54</v>
      </c>
      <c r="C569" s="7" t="str">
        <f t="shared" si="162"/>
        <v>ROLO COMBINADO DINAPAC G14</v>
      </c>
      <c r="D569" s="8">
        <f t="shared" si="161"/>
        <v>46095</v>
      </c>
      <c r="E569" s="15"/>
      <c r="F569" s="15"/>
      <c r="G569" s="15">
        <f t="shared" si="163"/>
        <v>0</v>
      </c>
      <c r="H569" s="16" t="s">
        <v>6</v>
      </c>
      <c r="I569" s="10">
        <f t="shared" si="165"/>
        <v>400</v>
      </c>
      <c r="J569" s="16" t="s">
        <v>201</v>
      </c>
      <c r="K569" s="15">
        <v>0</v>
      </c>
      <c r="L569" s="15"/>
      <c r="M569" s="16"/>
      <c r="N569" s="8"/>
      <c r="O569" s="18">
        <f t="shared" si="166"/>
        <v>12000</v>
      </c>
      <c r="P569" s="9"/>
      <c r="Q569" s="9"/>
      <c r="R569" s="85"/>
      <c r="S569" s="10">
        <f t="shared" si="164"/>
        <v>400</v>
      </c>
    </row>
    <row r="570" spans="2:19" outlineLevel="1">
      <c r="B570" s="13" t="s">
        <v>54</v>
      </c>
      <c r="C570" s="7" t="str">
        <f t="shared" si="162"/>
        <v>ROLO COMBINADO DINAPAC G14</v>
      </c>
      <c r="D570" s="8">
        <f t="shared" si="161"/>
        <v>46096</v>
      </c>
      <c r="E570" s="15"/>
      <c r="F570" s="15"/>
      <c r="G570" s="15">
        <f t="shared" si="163"/>
        <v>0</v>
      </c>
      <c r="H570" s="16" t="s">
        <v>6</v>
      </c>
      <c r="I570" s="10">
        <f t="shared" si="165"/>
        <v>400</v>
      </c>
      <c r="J570" s="16" t="s">
        <v>201</v>
      </c>
      <c r="K570" s="15">
        <v>0</v>
      </c>
      <c r="L570" s="15"/>
      <c r="M570" s="16"/>
      <c r="N570" s="8"/>
      <c r="O570" s="18">
        <f t="shared" si="166"/>
        <v>12000</v>
      </c>
      <c r="P570" s="9"/>
      <c r="Q570" s="9"/>
      <c r="R570" s="85"/>
      <c r="S570" s="10">
        <f t="shared" si="164"/>
        <v>400</v>
      </c>
    </row>
    <row r="571" spans="2:19" outlineLevel="1">
      <c r="B571" s="13" t="s">
        <v>54</v>
      </c>
      <c r="C571" s="7" t="str">
        <f t="shared" si="162"/>
        <v>ROLO COMBINADO DINAPAC G14</v>
      </c>
      <c r="D571" s="8">
        <f t="shared" si="161"/>
        <v>46097</v>
      </c>
      <c r="E571" s="15"/>
      <c r="F571" s="15"/>
      <c r="G571" s="15">
        <f t="shared" si="163"/>
        <v>0</v>
      </c>
      <c r="H571" s="16" t="s">
        <v>6</v>
      </c>
      <c r="I571" s="10">
        <f t="shared" si="165"/>
        <v>400</v>
      </c>
      <c r="J571" s="16" t="s">
        <v>201</v>
      </c>
      <c r="K571" s="15">
        <v>0</v>
      </c>
      <c r="L571" s="15"/>
      <c r="M571" s="16"/>
      <c r="N571" s="8"/>
      <c r="O571" s="18">
        <f t="shared" si="166"/>
        <v>12000</v>
      </c>
      <c r="P571" s="9"/>
      <c r="Q571" s="9"/>
      <c r="R571" s="85"/>
      <c r="S571" s="10">
        <f t="shared" si="164"/>
        <v>400</v>
      </c>
    </row>
    <row r="572" spans="2:19" outlineLevel="1">
      <c r="B572" s="13" t="s">
        <v>54</v>
      </c>
      <c r="C572" s="7" t="str">
        <f t="shared" si="162"/>
        <v>ROLO COMBINADO DINAPAC G14</v>
      </c>
      <c r="D572" s="8">
        <f t="shared" si="161"/>
        <v>46098</v>
      </c>
      <c r="E572" s="15"/>
      <c r="F572" s="15"/>
      <c r="G572" s="15">
        <f t="shared" si="163"/>
        <v>0</v>
      </c>
      <c r="H572" s="16" t="s">
        <v>6</v>
      </c>
      <c r="I572" s="10">
        <f t="shared" si="165"/>
        <v>400</v>
      </c>
      <c r="J572" s="16" t="s">
        <v>201</v>
      </c>
      <c r="K572" s="15">
        <v>0</v>
      </c>
      <c r="L572" s="15"/>
      <c r="M572" s="16"/>
      <c r="N572" s="8"/>
      <c r="O572" s="18">
        <f t="shared" si="166"/>
        <v>12000</v>
      </c>
      <c r="P572" s="9"/>
      <c r="Q572" s="9"/>
      <c r="R572" s="85"/>
      <c r="S572" s="10">
        <f t="shared" si="164"/>
        <v>400</v>
      </c>
    </row>
    <row r="573" spans="2:19" outlineLevel="1">
      <c r="B573" s="13" t="s">
        <v>54</v>
      </c>
      <c r="C573" s="7" t="str">
        <f t="shared" si="162"/>
        <v>ROLO COMBINADO DINAPAC G14</v>
      </c>
      <c r="D573" s="8">
        <f t="shared" si="161"/>
        <v>46099</v>
      </c>
      <c r="E573" s="15"/>
      <c r="F573" s="15"/>
      <c r="G573" s="15">
        <f t="shared" si="163"/>
        <v>0</v>
      </c>
      <c r="H573" s="16" t="s">
        <v>6</v>
      </c>
      <c r="I573" s="10">
        <f t="shared" si="165"/>
        <v>400</v>
      </c>
      <c r="J573" s="16" t="s">
        <v>201</v>
      </c>
      <c r="K573" s="15">
        <v>0</v>
      </c>
      <c r="L573" s="15"/>
      <c r="M573" s="16"/>
      <c r="N573" s="8"/>
      <c r="O573" s="18">
        <f t="shared" si="166"/>
        <v>12000</v>
      </c>
      <c r="P573" s="9"/>
      <c r="Q573" s="9"/>
      <c r="R573" s="85"/>
      <c r="S573" s="10">
        <f t="shared" si="164"/>
        <v>400</v>
      </c>
    </row>
    <row r="574" spans="2:19" outlineLevel="1">
      <c r="B574" s="13" t="s">
        <v>54</v>
      </c>
      <c r="C574" s="7" t="str">
        <f t="shared" si="162"/>
        <v>ROLO COMBINADO DINAPAC G14</v>
      </c>
      <c r="D574" s="8">
        <f t="shared" si="161"/>
        <v>46100</v>
      </c>
      <c r="E574" s="15"/>
      <c r="F574" s="15"/>
      <c r="G574" s="15">
        <f t="shared" si="163"/>
        <v>0</v>
      </c>
      <c r="H574" s="16" t="s">
        <v>6</v>
      </c>
      <c r="I574" s="10">
        <f t="shared" si="165"/>
        <v>400</v>
      </c>
      <c r="J574" s="16" t="s">
        <v>201</v>
      </c>
      <c r="K574" s="15">
        <v>0</v>
      </c>
      <c r="L574" s="15"/>
      <c r="M574" s="16"/>
      <c r="N574" s="8"/>
      <c r="O574" s="18">
        <f t="shared" si="166"/>
        <v>12000</v>
      </c>
      <c r="P574" s="9"/>
      <c r="Q574" s="9"/>
      <c r="R574" s="85"/>
      <c r="S574" s="10">
        <f t="shared" si="164"/>
        <v>400</v>
      </c>
    </row>
    <row r="575" spans="2:19" outlineLevel="1">
      <c r="B575" s="13" t="s">
        <v>54</v>
      </c>
      <c r="C575" s="7" t="str">
        <f t="shared" si="162"/>
        <v>ROLO COMBINADO DINAPAC G14</v>
      </c>
      <c r="D575" s="8">
        <f t="shared" si="161"/>
        <v>46101</v>
      </c>
      <c r="E575" s="15"/>
      <c r="F575" s="15"/>
      <c r="G575" s="15">
        <f t="shared" si="163"/>
        <v>0</v>
      </c>
      <c r="H575" s="16" t="s">
        <v>6</v>
      </c>
      <c r="I575" s="10">
        <f t="shared" si="165"/>
        <v>400</v>
      </c>
      <c r="J575" s="16" t="s">
        <v>201</v>
      </c>
      <c r="K575" s="15">
        <v>0</v>
      </c>
      <c r="L575" s="15"/>
      <c r="M575" s="16"/>
      <c r="N575" s="8"/>
      <c r="O575" s="18">
        <f t="shared" si="166"/>
        <v>12000</v>
      </c>
      <c r="P575" s="9"/>
      <c r="Q575" s="9"/>
      <c r="R575" s="85"/>
      <c r="S575" s="10">
        <f t="shared" si="164"/>
        <v>400</v>
      </c>
    </row>
    <row r="576" spans="2:19" outlineLevel="1">
      <c r="B576" s="13" t="s">
        <v>54</v>
      </c>
      <c r="C576" s="7" t="str">
        <f t="shared" si="162"/>
        <v>ROLO COMBINADO DINAPAC G14</v>
      </c>
      <c r="D576" s="8">
        <f t="shared" si="161"/>
        <v>46102</v>
      </c>
      <c r="E576" s="15"/>
      <c r="F576" s="15"/>
      <c r="G576" s="15">
        <f t="shared" si="163"/>
        <v>0</v>
      </c>
      <c r="H576" s="16" t="s">
        <v>6</v>
      </c>
      <c r="I576" s="10">
        <f t="shared" si="165"/>
        <v>400</v>
      </c>
      <c r="J576" s="16" t="s">
        <v>201</v>
      </c>
      <c r="K576" s="15">
        <v>0</v>
      </c>
      <c r="L576" s="15"/>
      <c r="M576" s="16"/>
      <c r="N576" s="8"/>
      <c r="O576" s="18">
        <f t="shared" si="166"/>
        <v>12000</v>
      </c>
      <c r="P576" s="9"/>
      <c r="Q576" s="9"/>
      <c r="R576" s="85"/>
      <c r="S576" s="10">
        <f t="shared" si="164"/>
        <v>400</v>
      </c>
    </row>
    <row r="577" spans="2:19" outlineLevel="1">
      <c r="B577" s="13" t="s">
        <v>54</v>
      </c>
      <c r="C577" s="7" t="str">
        <f t="shared" si="162"/>
        <v>ROLO COMBINADO DINAPAC G14</v>
      </c>
      <c r="D577" s="8">
        <f t="shared" si="161"/>
        <v>46103</v>
      </c>
      <c r="E577" s="15"/>
      <c r="F577" s="15"/>
      <c r="G577" s="15">
        <f t="shared" si="163"/>
        <v>0</v>
      </c>
      <c r="H577" s="16" t="s">
        <v>6</v>
      </c>
      <c r="I577" s="10">
        <f t="shared" si="165"/>
        <v>400</v>
      </c>
      <c r="J577" s="16" t="s">
        <v>201</v>
      </c>
      <c r="K577" s="15">
        <v>0</v>
      </c>
      <c r="L577" s="15"/>
      <c r="M577" s="16"/>
      <c r="N577" s="8"/>
      <c r="O577" s="18">
        <f t="shared" si="166"/>
        <v>12000</v>
      </c>
      <c r="P577" s="9"/>
      <c r="Q577" s="9"/>
      <c r="R577" s="85"/>
      <c r="S577" s="10">
        <f t="shared" si="164"/>
        <v>400</v>
      </c>
    </row>
    <row r="578" spans="2:19" outlineLevel="1">
      <c r="B578" s="13" t="s">
        <v>54</v>
      </c>
      <c r="C578" s="7" t="str">
        <f t="shared" si="162"/>
        <v>ROLO COMBINADO DINAPAC G14</v>
      </c>
      <c r="D578" s="8">
        <f t="shared" si="161"/>
        <v>46104</v>
      </c>
      <c r="E578" s="15"/>
      <c r="F578" s="15"/>
      <c r="G578" s="15">
        <f t="shared" si="163"/>
        <v>0</v>
      </c>
      <c r="H578" s="16" t="s">
        <v>6</v>
      </c>
      <c r="I578" s="10">
        <f t="shared" si="165"/>
        <v>400</v>
      </c>
      <c r="J578" s="16" t="s">
        <v>201</v>
      </c>
      <c r="K578" s="15">
        <v>0</v>
      </c>
      <c r="L578" s="15"/>
      <c r="M578" s="16"/>
      <c r="N578" s="8"/>
      <c r="O578" s="18">
        <f t="shared" si="166"/>
        <v>12000</v>
      </c>
      <c r="P578" s="9"/>
      <c r="Q578" s="9"/>
      <c r="R578" s="85"/>
      <c r="S578" s="10">
        <f t="shared" si="164"/>
        <v>400</v>
      </c>
    </row>
    <row r="579" spans="2:19" outlineLevel="1">
      <c r="B579" s="13" t="s">
        <v>54</v>
      </c>
      <c r="C579" s="7" t="str">
        <f t="shared" si="162"/>
        <v>ROLO COMBINADO DINAPAC G14</v>
      </c>
      <c r="D579" s="8">
        <f t="shared" si="161"/>
        <v>46105</v>
      </c>
      <c r="E579" s="15"/>
      <c r="F579" s="15"/>
      <c r="G579" s="15">
        <f t="shared" si="163"/>
        <v>0</v>
      </c>
      <c r="H579" s="16" t="s">
        <v>6</v>
      </c>
      <c r="I579" s="10">
        <f t="shared" si="165"/>
        <v>400</v>
      </c>
      <c r="J579" s="16" t="s">
        <v>201</v>
      </c>
      <c r="K579" s="15">
        <v>0</v>
      </c>
      <c r="L579" s="15"/>
      <c r="M579" s="16"/>
      <c r="N579" s="8"/>
      <c r="O579" s="18">
        <f t="shared" si="166"/>
        <v>12000</v>
      </c>
      <c r="P579" s="9"/>
      <c r="Q579" s="9"/>
      <c r="R579" s="85"/>
      <c r="S579" s="10">
        <f t="shared" si="164"/>
        <v>400</v>
      </c>
    </row>
    <row r="580" spans="2:19" outlineLevel="1">
      <c r="B580" s="13" t="s">
        <v>54</v>
      </c>
      <c r="C580" s="7" t="str">
        <f t="shared" si="162"/>
        <v>ROLO COMBINADO DINAPAC G14</v>
      </c>
      <c r="D580" s="8">
        <f t="shared" si="161"/>
        <v>46106</v>
      </c>
      <c r="E580" s="15"/>
      <c r="F580" s="15"/>
      <c r="G580" s="15">
        <f t="shared" si="163"/>
        <v>0</v>
      </c>
      <c r="H580" s="16" t="s">
        <v>6</v>
      </c>
      <c r="I580" s="10">
        <f t="shared" si="165"/>
        <v>400</v>
      </c>
      <c r="J580" s="16" t="s">
        <v>201</v>
      </c>
      <c r="K580" s="15">
        <v>0</v>
      </c>
      <c r="L580" s="15"/>
      <c r="M580" s="16"/>
      <c r="N580" s="8"/>
      <c r="O580" s="18">
        <f t="shared" si="166"/>
        <v>12000</v>
      </c>
      <c r="P580" s="9"/>
      <c r="Q580" s="9"/>
      <c r="R580" s="85"/>
      <c r="S580" s="10">
        <f t="shared" si="164"/>
        <v>400</v>
      </c>
    </row>
    <row r="581" spans="2:19" outlineLevel="1">
      <c r="B581" s="13" t="s">
        <v>54</v>
      </c>
      <c r="C581" s="7" t="str">
        <f t="shared" si="162"/>
        <v>ROLO COMBINADO DINAPAC G14</v>
      </c>
      <c r="D581" s="8">
        <f t="shared" si="161"/>
        <v>46107</v>
      </c>
      <c r="E581" s="15"/>
      <c r="F581" s="15"/>
      <c r="G581" s="15">
        <f t="shared" si="163"/>
        <v>0</v>
      </c>
      <c r="H581" s="16" t="s">
        <v>6</v>
      </c>
      <c r="I581" s="10">
        <f t="shared" si="165"/>
        <v>400</v>
      </c>
      <c r="J581" s="16" t="s">
        <v>201</v>
      </c>
      <c r="K581" s="15">
        <v>0</v>
      </c>
      <c r="L581" s="15"/>
      <c r="M581" s="16"/>
      <c r="N581" s="8"/>
      <c r="O581" s="18">
        <f t="shared" si="166"/>
        <v>12000</v>
      </c>
      <c r="P581" s="9"/>
      <c r="Q581" s="9"/>
      <c r="R581" s="85"/>
      <c r="S581" s="10">
        <f t="shared" si="164"/>
        <v>400</v>
      </c>
    </row>
    <row r="582" spans="2:19" outlineLevel="1">
      <c r="B582" s="13" t="s">
        <v>54</v>
      </c>
      <c r="C582" s="7" t="str">
        <f t="shared" si="162"/>
        <v>ROLO COMBINADO DINAPAC G14</v>
      </c>
      <c r="D582" s="8">
        <f t="shared" si="161"/>
        <v>46108</v>
      </c>
      <c r="E582" s="15"/>
      <c r="F582" s="15"/>
      <c r="G582" s="15">
        <f t="shared" si="163"/>
        <v>0</v>
      </c>
      <c r="H582" s="16" t="s">
        <v>6</v>
      </c>
      <c r="I582" s="10">
        <f t="shared" si="165"/>
        <v>400</v>
      </c>
      <c r="J582" s="16" t="s">
        <v>201</v>
      </c>
      <c r="K582" s="15">
        <v>0</v>
      </c>
      <c r="L582" s="15"/>
      <c r="M582" s="16"/>
      <c r="N582" s="8"/>
      <c r="O582" s="18">
        <f t="shared" si="166"/>
        <v>12000</v>
      </c>
      <c r="P582" s="9"/>
      <c r="Q582" s="9"/>
      <c r="R582" s="85"/>
      <c r="S582" s="10">
        <f t="shared" si="164"/>
        <v>400</v>
      </c>
    </row>
    <row r="583" spans="2:19" outlineLevel="1">
      <c r="B583" s="13" t="s">
        <v>54</v>
      </c>
      <c r="C583" s="7" t="str">
        <f t="shared" si="162"/>
        <v>ROLO COMBINADO DINAPAC G14</v>
      </c>
      <c r="D583" s="8">
        <f t="shared" si="161"/>
        <v>46109</v>
      </c>
      <c r="E583" s="15"/>
      <c r="F583" s="15"/>
      <c r="G583" s="15">
        <f t="shared" ref="G583:G585" si="167">F583-E583</f>
        <v>0</v>
      </c>
      <c r="H583" s="16" t="s">
        <v>6</v>
      </c>
      <c r="I583" s="10">
        <f>I579</f>
        <v>400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8">SUM(R583+Q583+I583)</f>
        <v>400</v>
      </c>
    </row>
    <row r="584" spans="2:19" outlineLevel="1">
      <c r="B584" s="13" t="s">
        <v>54</v>
      </c>
      <c r="C584" s="7" t="str">
        <f t="shared" si="162"/>
        <v>ROLO COMBINADO DINAPAC G14</v>
      </c>
      <c r="D584" s="8">
        <f t="shared" ref="D584:D586" si="169">D516</f>
        <v>46110</v>
      </c>
      <c r="E584" s="15"/>
      <c r="F584" s="15"/>
      <c r="G584" s="15">
        <f t="shared" si="167"/>
        <v>0</v>
      </c>
      <c r="H584" s="16" t="s">
        <v>6</v>
      </c>
      <c r="I584" s="10">
        <f>I580</f>
        <v>400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8"/>
        <v>400</v>
      </c>
    </row>
    <row r="585" spans="2:19" outlineLevel="1">
      <c r="B585" s="13" t="s">
        <v>54</v>
      </c>
      <c r="C585" s="7" t="str">
        <f t="shared" si="162"/>
        <v>ROLO COMBINADO DINAPAC G14</v>
      </c>
      <c r="D585" s="8">
        <f t="shared" si="169"/>
        <v>46111</v>
      </c>
      <c r="E585" s="15"/>
      <c r="F585" s="15"/>
      <c r="G585" s="15">
        <f t="shared" si="167"/>
        <v>0</v>
      </c>
      <c r="H585" s="16" t="s">
        <v>6</v>
      </c>
      <c r="I585" s="10">
        <f>I581</f>
        <v>400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8"/>
        <v>400</v>
      </c>
    </row>
    <row r="586" spans="2:19" outlineLevel="1">
      <c r="B586" s="13" t="s">
        <v>54</v>
      </c>
      <c r="C586" s="7" t="str">
        <f t="shared" si="162"/>
        <v>ROLO COMBINADO DINAPAC G14</v>
      </c>
      <c r="D586" s="8">
        <f t="shared" si="169"/>
        <v>46112</v>
      </c>
      <c r="E586" s="15"/>
      <c r="F586" s="15"/>
      <c r="G586" s="15">
        <f t="shared" si="163"/>
        <v>0</v>
      </c>
      <c r="H586" s="16" t="s">
        <v>6</v>
      </c>
      <c r="I586" s="10">
        <f>I582</f>
        <v>400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4"/>
        <v>400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5" t="str">
        <f>M$1</f>
        <v>BM JANEIRO 2026</v>
      </c>
      <c r="N588" s="135"/>
      <c r="O588" s="135"/>
      <c r="P588" s="19" t="s">
        <v>10</v>
      </c>
      <c r="Q588" s="136"/>
      <c r="R588" s="136"/>
      <c r="S588" s="136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70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71">C$588</f>
        <v>CAMINHÃO ESPARGIDOR PLACA KKP 3155</v>
      </c>
      <c r="D591" s="8">
        <f t="shared" si="170"/>
        <v>46083</v>
      </c>
      <c r="E591" s="15"/>
      <c r="F591" s="15"/>
      <c r="G591" s="15">
        <f t="shared" ref="G591:G620" si="172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3">SUM(R591+Q591+I591)</f>
        <v>0</v>
      </c>
    </row>
    <row r="592" spans="2:19" outlineLevel="1">
      <c r="B592" s="13" t="s">
        <v>56</v>
      </c>
      <c r="C592" s="7" t="str">
        <f t="shared" si="171"/>
        <v>CAMINHÃO ESPARGIDOR PLACA KKP 3155</v>
      </c>
      <c r="D592" s="8">
        <f t="shared" si="170"/>
        <v>46084</v>
      </c>
      <c r="E592" s="15"/>
      <c r="F592" s="15"/>
      <c r="G592" s="15">
        <f t="shared" si="172"/>
        <v>0</v>
      </c>
      <c r="H592" s="16" t="s">
        <v>6</v>
      </c>
      <c r="I592" s="10">
        <f t="shared" ref="I592:I616" si="174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3"/>
        <v>0</v>
      </c>
    </row>
    <row r="593" spans="2:19" outlineLevel="1">
      <c r="B593" s="13" t="s">
        <v>56</v>
      </c>
      <c r="C593" s="7" t="str">
        <f t="shared" si="171"/>
        <v>CAMINHÃO ESPARGIDOR PLACA KKP 3155</v>
      </c>
      <c r="D593" s="8">
        <f t="shared" si="170"/>
        <v>46085</v>
      </c>
      <c r="E593" s="15"/>
      <c r="F593" s="15"/>
      <c r="G593" s="15">
        <f t="shared" si="172"/>
        <v>0</v>
      </c>
      <c r="H593" s="16" t="s">
        <v>6</v>
      </c>
      <c r="I593" s="10">
        <f t="shared" si="174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3"/>
        <v>0</v>
      </c>
    </row>
    <row r="594" spans="2:19" outlineLevel="1">
      <c r="B594" s="13" t="s">
        <v>56</v>
      </c>
      <c r="C594" s="7" t="str">
        <f t="shared" si="171"/>
        <v>CAMINHÃO ESPARGIDOR PLACA KKP 3155</v>
      </c>
      <c r="D594" s="8">
        <f t="shared" si="170"/>
        <v>46086</v>
      </c>
      <c r="E594" s="15"/>
      <c r="F594" s="15"/>
      <c r="G594" s="15">
        <f t="shared" si="172"/>
        <v>0</v>
      </c>
      <c r="H594" s="16" t="s">
        <v>6</v>
      </c>
      <c r="I594" s="10">
        <f t="shared" si="174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3"/>
        <v>0</v>
      </c>
    </row>
    <row r="595" spans="2:19" outlineLevel="1">
      <c r="B595" s="13" t="s">
        <v>56</v>
      </c>
      <c r="C595" s="7" t="str">
        <f t="shared" si="171"/>
        <v>CAMINHÃO ESPARGIDOR PLACA KKP 3155</v>
      </c>
      <c r="D595" s="8">
        <f t="shared" si="170"/>
        <v>46087</v>
      </c>
      <c r="E595" s="15"/>
      <c r="F595" s="15"/>
      <c r="G595" s="15">
        <f t="shared" si="172"/>
        <v>0</v>
      </c>
      <c r="H595" s="16" t="s">
        <v>6</v>
      </c>
      <c r="I595" s="10">
        <f t="shared" si="174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3"/>
        <v>0</v>
      </c>
    </row>
    <row r="596" spans="2:19" outlineLevel="1">
      <c r="B596" s="13" t="s">
        <v>56</v>
      </c>
      <c r="C596" s="7" t="str">
        <f t="shared" si="171"/>
        <v>CAMINHÃO ESPARGIDOR PLACA KKP 3155</v>
      </c>
      <c r="D596" s="8">
        <f t="shared" si="170"/>
        <v>46088</v>
      </c>
      <c r="E596" s="15"/>
      <c r="F596" s="15"/>
      <c r="G596" s="15">
        <f t="shared" si="172"/>
        <v>0</v>
      </c>
      <c r="H596" s="16" t="s">
        <v>6</v>
      </c>
      <c r="I596" s="10">
        <f t="shared" si="174"/>
        <v>0</v>
      </c>
      <c r="J596" s="16" t="s">
        <v>201</v>
      </c>
      <c r="K596" s="15"/>
      <c r="L596" s="15"/>
      <c r="M596" s="17"/>
      <c r="N596" s="9"/>
      <c r="O596" s="18">
        <f t="shared" ref="O596:O616" si="175">O595</f>
        <v>0</v>
      </c>
      <c r="P596" s="9"/>
      <c r="Q596" s="9"/>
      <c r="R596" s="85"/>
      <c r="S596" s="10">
        <f t="shared" si="173"/>
        <v>0</v>
      </c>
    </row>
    <row r="597" spans="2:19" outlineLevel="1">
      <c r="B597" s="13" t="s">
        <v>56</v>
      </c>
      <c r="C597" s="7" t="str">
        <f t="shared" si="171"/>
        <v>CAMINHÃO ESPARGIDOR PLACA KKP 3155</v>
      </c>
      <c r="D597" s="8">
        <f t="shared" si="170"/>
        <v>46089</v>
      </c>
      <c r="E597" s="15"/>
      <c r="F597" s="15"/>
      <c r="G597" s="15">
        <f t="shared" si="172"/>
        <v>0</v>
      </c>
      <c r="H597" s="16" t="s">
        <v>6</v>
      </c>
      <c r="I597" s="10">
        <f t="shared" si="174"/>
        <v>0</v>
      </c>
      <c r="J597" s="16" t="s">
        <v>201</v>
      </c>
      <c r="K597" s="15"/>
      <c r="L597" s="15"/>
      <c r="M597" s="17"/>
      <c r="N597" s="9"/>
      <c r="O597" s="18">
        <f t="shared" si="175"/>
        <v>0</v>
      </c>
      <c r="P597" s="9"/>
      <c r="Q597" s="9"/>
      <c r="R597" s="85"/>
      <c r="S597" s="10">
        <f t="shared" si="173"/>
        <v>0</v>
      </c>
    </row>
    <row r="598" spans="2:19" outlineLevel="1">
      <c r="B598" s="13" t="s">
        <v>56</v>
      </c>
      <c r="C598" s="7" t="str">
        <f t="shared" si="171"/>
        <v>CAMINHÃO ESPARGIDOR PLACA KKP 3155</v>
      </c>
      <c r="D598" s="8">
        <f t="shared" si="170"/>
        <v>46090</v>
      </c>
      <c r="E598" s="15"/>
      <c r="F598" s="15"/>
      <c r="G598" s="15">
        <f t="shared" si="172"/>
        <v>0</v>
      </c>
      <c r="H598" s="16" t="s">
        <v>6</v>
      </c>
      <c r="I598" s="10">
        <f t="shared" si="174"/>
        <v>0</v>
      </c>
      <c r="J598" s="16" t="s">
        <v>201</v>
      </c>
      <c r="K598" s="15"/>
      <c r="L598" s="15"/>
      <c r="M598" s="17"/>
      <c r="N598" s="9"/>
      <c r="O598" s="18">
        <f t="shared" si="175"/>
        <v>0</v>
      </c>
      <c r="P598" s="9"/>
      <c r="Q598" s="9"/>
      <c r="R598" s="85"/>
      <c r="S598" s="10">
        <f t="shared" si="173"/>
        <v>0</v>
      </c>
    </row>
    <row r="599" spans="2:19" outlineLevel="1">
      <c r="B599" s="13" t="s">
        <v>56</v>
      </c>
      <c r="C599" s="7" t="str">
        <f t="shared" si="171"/>
        <v>CAMINHÃO ESPARGIDOR PLACA KKP 3155</v>
      </c>
      <c r="D599" s="8">
        <f t="shared" si="170"/>
        <v>46091</v>
      </c>
      <c r="E599" s="15"/>
      <c r="F599" s="15"/>
      <c r="G599" s="15">
        <f t="shared" si="172"/>
        <v>0</v>
      </c>
      <c r="H599" s="16" t="s">
        <v>6</v>
      </c>
      <c r="I599" s="10">
        <f t="shared" si="174"/>
        <v>0</v>
      </c>
      <c r="J599" s="16" t="s">
        <v>201</v>
      </c>
      <c r="K599" s="15"/>
      <c r="L599" s="15"/>
      <c r="M599" s="17"/>
      <c r="N599" s="9"/>
      <c r="O599" s="18">
        <f t="shared" si="175"/>
        <v>0</v>
      </c>
      <c r="P599" s="9"/>
      <c r="Q599" s="9"/>
      <c r="R599" s="85"/>
      <c r="S599" s="10">
        <f t="shared" si="173"/>
        <v>0</v>
      </c>
    </row>
    <row r="600" spans="2:19" outlineLevel="1">
      <c r="B600" s="13" t="s">
        <v>56</v>
      </c>
      <c r="C600" s="7" t="str">
        <f t="shared" si="171"/>
        <v>CAMINHÃO ESPARGIDOR PLACA KKP 3155</v>
      </c>
      <c r="D600" s="8">
        <f t="shared" si="170"/>
        <v>46092</v>
      </c>
      <c r="E600" s="15"/>
      <c r="F600" s="15"/>
      <c r="G600" s="15">
        <f t="shared" si="172"/>
        <v>0</v>
      </c>
      <c r="H600" s="16" t="s">
        <v>6</v>
      </c>
      <c r="I600" s="10">
        <f t="shared" si="174"/>
        <v>0</v>
      </c>
      <c r="J600" s="16" t="s">
        <v>201</v>
      </c>
      <c r="K600" s="15"/>
      <c r="L600" s="15"/>
      <c r="M600" s="17"/>
      <c r="N600" s="9"/>
      <c r="O600" s="18">
        <f t="shared" si="175"/>
        <v>0</v>
      </c>
      <c r="P600" s="9"/>
      <c r="Q600" s="9"/>
      <c r="R600" s="85"/>
      <c r="S600" s="10">
        <f t="shared" si="173"/>
        <v>0</v>
      </c>
    </row>
    <row r="601" spans="2:19" outlineLevel="1">
      <c r="B601" s="13" t="s">
        <v>56</v>
      </c>
      <c r="C601" s="7" t="str">
        <f t="shared" si="171"/>
        <v>CAMINHÃO ESPARGIDOR PLACA KKP 3155</v>
      </c>
      <c r="D601" s="8">
        <f t="shared" si="170"/>
        <v>46093</v>
      </c>
      <c r="E601" s="15"/>
      <c r="F601" s="15"/>
      <c r="G601" s="15">
        <f t="shared" si="172"/>
        <v>0</v>
      </c>
      <c r="H601" s="16" t="s">
        <v>6</v>
      </c>
      <c r="I601" s="10">
        <f t="shared" si="174"/>
        <v>0</v>
      </c>
      <c r="J601" s="16" t="s">
        <v>201</v>
      </c>
      <c r="K601" s="15"/>
      <c r="L601" s="15"/>
      <c r="M601" s="17"/>
      <c r="N601" s="9"/>
      <c r="O601" s="18">
        <f t="shared" si="175"/>
        <v>0</v>
      </c>
      <c r="P601" s="9"/>
      <c r="Q601" s="9"/>
      <c r="R601" s="85"/>
      <c r="S601" s="10">
        <f t="shared" si="173"/>
        <v>0</v>
      </c>
    </row>
    <row r="602" spans="2:19" outlineLevel="1">
      <c r="B602" s="13" t="s">
        <v>56</v>
      </c>
      <c r="C602" s="7" t="str">
        <f t="shared" si="171"/>
        <v>CAMINHÃO ESPARGIDOR PLACA KKP 3155</v>
      </c>
      <c r="D602" s="8">
        <f t="shared" si="170"/>
        <v>46094</v>
      </c>
      <c r="E602" s="15"/>
      <c r="F602" s="15"/>
      <c r="G602" s="15">
        <f t="shared" si="172"/>
        <v>0</v>
      </c>
      <c r="H602" s="16" t="s">
        <v>6</v>
      </c>
      <c r="I602" s="10">
        <f t="shared" si="174"/>
        <v>0</v>
      </c>
      <c r="J602" s="16" t="s">
        <v>201</v>
      </c>
      <c r="K602" s="15"/>
      <c r="L602" s="15"/>
      <c r="M602" s="17"/>
      <c r="N602" s="9"/>
      <c r="O602" s="18">
        <f t="shared" si="175"/>
        <v>0</v>
      </c>
      <c r="P602" s="9"/>
      <c r="Q602" s="9"/>
      <c r="R602" s="85"/>
      <c r="S602" s="10">
        <f t="shared" si="173"/>
        <v>0</v>
      </c>
    </row>
    <row r="603" spans="2:19" outlineLevel="1">
      <c r="B603" s="13" t="s">
        <v>56</v>
      </c>
      <c r="C603" s="7" t="str">
        <f t="shared" si="171"/>
        <v>CAMINHÃO ESPARGIDOR PLACA KKP 3155</v>
      </c>
      <c r="D603" s="8">
        <f t="shared" si="170"/>
        <v>46095</v>
      </c>
      <c r="E603" s="15"/>
      <c r="F603" s="15"/>
      <c r="G603" s="15">
        <f t="shared" si="172"/>
        <v>0</v>
      </c>
      <c r="H603" s="16" t="s">
        <v>6</v>
      </c>
      <c r="I603" s="10">
        <f t="shared" si="174"/>
        <v>0</v>
      </c>
      <c r="J603" s="16" t="s">
        <v>201</v>
      </c>
      <c r="K603" s="15"/>
      <c r="L603" s="15"/>
      <c r="M603" s="17"/>
      <c r="N603" s="9"/>
      <c r="O603" s="18">
        <f t="shared" si="175"/>
        <v>0</v>
      </c>
      <c r="P603" s="9"/>
      <c r="Q603" s="9"/>
      <c r="R603" s="85"/>
      <c r="S603" s="10">
        <f t="shared" si="173"/>
        <v>0</v>
      </c>
    </row>
    <row r="604" spans="2:19" outlineLevel="1">
      <c r="B604" s="13" t="s">
        <v>56</v>
      </c>
      <c r="C604" s="7" t="str">
        <f t="shared" si="171"/>
        <v>CAMINHÃO ESPARGIDOR PLACA KKP 3155</v>
      </c>
      <c r="D604" s="8">
        <f t="shared" si="170"/>
        <v>46096</v>
      </c>
      <c r="E604" s="15"/>
      <c r="F604" s="15"/>
      <c r="G604" s="15">
        <f t="shared" si="172"/>
        <v>0</v>
      </c>
      <c r="H604" s="16" t="s">
        <v>6</v>
      </c>
      <c r="I604" s="10">
        <f t="shared" si="174"/>
        <v>0</v>
      </c>
      <c r="J604" s="16" t="s">
        <v>201</v>
      </c>
      <c r="K604" s="15"/>
      <c r="L604" s="15"/>
      <c r="M604" s="17"/>
      <c r="N604" s="9"/>
      <c r="O604" s="18">
        <f t="shared" si="175"/>
        <v>0</v>
      </c>
      <c r="P604" s="9"/>
      <c r="Q604" s="9"/>
      <c r="R604" s="85"/>
      <c r="S604" s="10">
        <f t="shared" si="173"/>
        <v>0</v>
      </c>
    </row>
    <row r="605" spans="2:19" outlineLevel="1">
      <c r="B605" s="13" t="s">
        <v>56</v>
      </c>
      <c r="C605" s="7" t="str">
        <f t="shared" si="171"/>
        <v>CAMINHÃO ESPARGIDOR PLACA KKP 3155</v>
      </c>
      <c r="D605" s="8">
        <f t="shared" si="170"/>
        <v>46097</v>
      </c>
      <c r="E605" s="15"/>
      <c r="F605" s="15"/>
      <c r="G605" s="15">
        <f t="shared" si="172"/>
        <v>0</v>
      </c>
      <c r="H605" s="16" t="s">
        <v>6</v>
      </c>
      <c r="I605" s="10">
        <f t="shared" si="174"/>
        <v>0</v>
      </c>
      <c r="J605" s="16" t="s">
        <v>201</v>
      </c>
      <c r="K605" s="15"/>
      <c r="L605" s="15"/>
      <c r="M605" s="17"/>
      <c r="N605" s="9"/>
      <c r="O605" s="18">
        <f t="shared" si="175"/>
        <v>0</v>
      </c>
      <c r="P605" s="9"/>
      <c r="Q605" s="9"/>
      <c r="R605" s="85"/>
      <c r="S605" s="10">
        <f t="shared" si="173"/>
        <v>0</v>
      </c>
    </row>
    <row r="606" spans="2:19" outlineLevel="1">
      <c r="B606" s="13" t="s">
        <v>56</v>
      </c>
      <c r="C606" s="7" t="str">
        <f t="shared" si="171"/>
        <v>CAMINHÃO ESPARGIDOR PLACA KKP 3155</v>
      </c>
      <c r="D606" s="8">
        <f t="shared" si="170"/>
        <v>46098</v>
      </c>
      <c r="E606" s="15"/>
      <c r="F606" s="15"/>
      <c r="G606" s="15">
        <f t="shared" si="172"/>
        <v>0</v>
      </c>
      <c r="H606" s="16" t="s">
        <v>6</v>
      </c>
      <c r="I606" s="10">
        <f t="shared" si="174"/>
        <v>0</v>
      </c>
      <c r="J606" s="16" t="s">
        <v>201</v>
      </c>
      <c r="K606" s="15"/>
      <c r="L606" s="15"/>
      <c r="M606" s="17"/>
      <c r="N606" s="9"/>
      <c r="O606" s="18">
        <f t="shared" si="175"/>
        <v>0</v>
      </c>
      <c r="P606" s="9"/>
      <c r="Q606" s="9"/>
      <c r="R606" s="85"/>
      <c r="S606" s="10">
        <f t="shared" si="173"/>
        <v>0</v>
      </c>
    </row>
    <row r="607" spans="2:19" outlineLevel="1">
      <c r="B607" s="13" t="s">
        <v>56</v>
      </c>
      <c r="C607" s="7" t="str">
        <f t="shared" si="171"/>
        <v>CAMINHÃO ESPARGIDOR PLACA KKP 3155</v>
      </c>
      <c r="D607" s="8">
        <f t="shared" si="170"/>
        <v>46099</v>
      </c>
      <c r="E607" s="15"/>
      <c r="F607" s="15"/>
      <c r="G607" s="15">
        <f t="shared" si="172"/>
        <v>0</v>
      </c>
      <c r="H607" s="16" t="s">
        <v>6</v>
      </c>
      <c r="I607" s="10">
        <f t="shared" si="174"/>
        <v>0</v>
      </c>
      <c r="J607" s="16" t="s">
        <v>201</v>
      </c>
      <c r="K607" s="15"/>
      <c r="L607" s="15"/>
      <c r="M607" s="17"/>
      <c r="N607" s="9"/>
      <c r="O607" s="18">
        <f t="shared" si="175"/>
        <v>0</v>
      </c>
      <c r="P607" s="9"/>
      <c r="Q607" s="9"/>
      <c r="R607" s="85"/>
      <c r="S607" s="10">
        <f t="shared" si="173"/>
        <v>0</v>
      </c>
    </row>
    <row r="608" spans="2:19" outlineLevel="1">
      <c r="B608" s="13" t="s">
        <v>56</v>
      </c>
      <c r="C608" s="7" t="str">
        <f t="shared" si="171"/>
        <v>CAMINHÃO ESPARGIDOR PLACA KKP 3155</v>
      </c>
      <c r="D608" s="8">
        <f t="shared" si="170"/>
        <v>46100</v>
      </c>
      <c r="E608" s="15"/>
      <c r="F608" s="15"/>
      <c r="G608" s="15">
        <f t="shared" si="172"/>
        <v>0</v>
      </c>
      <c r="H608" s="16" t="s">
        <v>6</v>
      </c>
      <c r="I608" s="10">
        <f t="shared" si="174"/>
        <v>0</v>
      </c>
      <c r="J608" s="16" t="s">
        <v>201</v>
      </c>
      <c r="K608" s="15"/>
      <c r="L608" s="15"/>
      <c r="M608" s="17"/>
      <c r="N608" s="9"/>
      <c r="O608" s="18">
        <f t="shared" si="175"/>
        <v>0</v>
      </c>
      <c r="P608" s="9"/>
      <c r="Q608" s="9"/>
      <c r="R608" s="85"/>
      <c r="S608" s="10">
        <f t="shared" si="173"/>
        <v>0</v>
      </c>
    </row>
    <row r="609" spans="2:19" outlineLevel="1">
      <c r="B609" s="13" t="s">
        <v>56</v>
      </c>
      <c r="C609" s="7" t="str">
        <f t="shared" si="171"/>
        <v>CAMINHÃO ESPARGIDOR PLACA KKP 3155</v>
      </c>
      <c r="D609" s="8">
        <f t="shared" si="170"/>
        <v>46101</v>
      </c>
      <c r="E609" s="15"/>
      <c r="F609" s="15"/>
      <c r="G609" s="15">
        <f t="shared" si="172"/>
        <v>0</v>
      </c>
      <c r="H609" s="16" t="s">
        <v>6</v>
      </c>
      <c r="I609" s="10">
        <f t="shared" si="174"/>
        <v>0</v>
      </c>
      <c r="J609" s="16" t="s">
        <v>201</v>
      </c>
      <c r="K609" s="15"/>
      <c r="L609" s="15"/>
      <c r="M609" s="17"/>
      <c r="N609" s="9"/>
      <c r="O609" s="18">
        <f t="shared" si="175"/>
        <v>0</v>
      </c>
      <c r="P609" s="9"/>
      <c r="Q609" s="9"/>
      <c r="R609" s="85"/>
      <c r="S609" s="10">
        <f t="shared" si="173"/>
        <v>0</v>
      </c>
    </row>
    <row r="610" spans="2:19" outlineLevel="1">
      <c r="B610" s="13" t="s">
        <v>56</v>
      </c>
      <c r="C610" s="7" t="str">
        <f t="shared" si="171"/>
        <v>CAMINHÃO ESPARGIDOR PLACA KKP 3155</v>
      </c>
      <c r="D610" s="8">
        <f t="shared" si="170"/>
        <v>46102</v>
      </c>
      <c r="E610" s="15"/>
      <c r="F610" s="15"/>
      <c r="G610" s="15">
        <f t="shared" si="172"/>
        <v>0</v>
      </c>
      <c r="H610" s="16" t="s">
        <v>6</v>
      </c>
      <c r="I610" s="10">
        <f t="shared" si="174"/>
        <v>0</v>
      </c>
      <c r="J610" s="16" t="s">
        <v>201</v>
      </c>
      <c r="K610" s="15"/>
      <c r="L610" s="15"/>
      <c r="M610" s="17"/>
      <c r="N610" s="9"/>
      <c r="O610" s="18">
        <f t="shared" si="175"/>
        <v>0</v>
      </c>
      <c r="P610" s="9"/>
      <c r="Q610" s="9"/>
      <c r="R610" s="85"/>
      <c r="S610" s="10">
        <f t="shared" si="173"/>
        <v>0</v>
      </c>
    </row>
    <row r="611" spans="2:19" outlineLevel="1">
      <c r="B611" s="13" t="s">
        <v>56</v>
      </c>
      <c r="C611" s="7" t="str">
        <f t="shared" si="171"/>
        <v>CAMINHÃO ESPARGIDOR PLACA KKP 3155</v>
      </c>
      <c r="D611" s="8">
        <f t="shared" si="170"/>
        <v>46103</v>
      </c>
      <c r="E611" s="15"/>
      <c r="F611" s="15"/>
      <c r="G611" s="15">
        <f t="shared" si="172"/>
        <v>0</v>
      </c>
      <c r="H611" s="16" t="s">
        <v>6</v>
      </c>
      <c r="I611" s="10">
        <f t="shared" si="174"/>
        <v>0</v>
      </c>
      <c r="J611" s="16" t="s">
        <v>201</v>
      </c>
      <c r="K611" s="15"/>
      <c r="L611" s="15"/>
      <c r="M611" s="17"/>
      <c r="N611" s="9"/>
      <c r="O611" s="18">
        <f t="shared" si="175"/>
        <v>0</v>
      </c>
      <c r="P611" s="9"/>
      <c r="Q611" s="9"/>
      <c r="R611" s="85"/>
      <c r="S611" s="10">
        <f t="shared" si="173"/>
        <v>0</v>
      </c>
    </row>
    <row r="612" spans="2:19" outlineLevel="1">
      <c r="B612" s="13" t="s">
        <v>56</v>
      </c>
      <c r="C612" s="7" t="str">
        <f t="shared" si="171"/>
        <v>CAMINHÃO ESPARGIDOR PLACA KKP 3155</v>
      </c>
      <c r="D612" s="8">
        <f t="shared" si="170"/>
        <v>46104</v>
      </c>
      <c r="E612" s="15"/>
      <c r="F612" s="15"/>
      <c r="G612" s="15">
        <f t="shared" si="172"/>
        <v>0</v>
      </c>
      <c r="H612" s="16" t="s">
        <v>6</v>
      </c>
      <c r="I612" s="10">
        <f t="shared" si="174"/>
        <v>0</v>
      </c>
      <c r="J612" s="16" t="s">
        <v>201</v>
      </c>
      <c r="K612" s="15"/>
      <c r="L612" s="15"/>
      <c r="M612" s="17"/>
      <c r="N612" s="9"/>
      <c r="O612" s="18">
        <f t="shared" si="175"/>
        <v>0</v>
      </c>
      <c r="P612" s="9"/>
      <c r="Q612" s="9"/>
      <c r="R612" s="85"/>
      <c r="S612" s="10">
        <f t="shared" si="173"/>
        <v>0</v>
      </c>
    </row>
    <row r="613" spans="2:19" outlineLevel="1">
      <c r="B613" s="13" t="s">
        <v>56</v>
      </c>
      <c r="C613" s="7" t="str">
        <f t="shared" si="171"/>
        <v>CAMINHÃO ESPARGIDOR PLACA KKP 3155</v>
      </c>
      <c r="D613" s="8">
        <f t="shared" si="170"/>
        <v>46105</v>
      </c>
      <c r="E613" s="15"/>
      <c r="F613" s="15"/>
      <c r="G613" s="15">
        <f t="shared" si="172"/>
        <v>0</v>
      </c>
      <c r="H613" s="16" t="s">
        <v>6</v>
      </c>
      <c r="I613" s="10">
        <f t="shared" si="174"/>
        <v>0</v>
      </c>
      <c r="J613" s="16" t="s">
        <v>201</v>
      </c>
      <c r="K613" s="15"/>
      <c r="L613" s="15"/>
      <c r="M613" s="17"/>
      <c r="N613" s="9"/>
      <c r="O613" s="18">
        <f t="shared" si="175"/>
        <v>0</v>
      </c>
      <c r="P613" s="9"/>
      <c r="Q613" s="9"/>
      <c r="R613" s="85"/>
      <c r="S613" s="10">
        <f t="shared" si="173"/>
        <v>0</v>
      </c>
    </row>
    <row r="614" spans="2:19" outlineLevel="1">
      <c r="B614" s="13" t="s">
        <v>56</v>
      </c>
      <c r="C614" s="7" t="str">
        <f t="shared" si="171"/>
        <v>CAMINHÃO ESPARGIDOR PLACA KKP 3155</v>
      </c>
      <c r="D614" s="8">
        <f t="shared" si="170"/>
        <v>46106</v>
      </c>
      <c r="E614" s="15"/>
      <c r="F614" s="15"/>
      <c r="G614" s="15">
        <f t="shared" si="172"/>
        <v>0</v>
      </c>
      <c r="H614" s="16" t="s">
        <v>6</v>
      </c>
      <c r="I614" s="10">
        <f t="shared" si="174"/>
        <v>0</v>
      </c>
      <c r="J614" s="16" t="s">
        <v>201</v>
      </c>
      <c r="K614" s="15"/>
      <c r="L614" s="15"/>
      <c r="M614" s="17"/>
      <c r="N614" s="9"/>
      <c r="O614" s="18">
        <f t="shared" si="175"/>
        <v>0</v>
      </c>
      <c r="P614" s="9"/>
      <c r="Q614" s="9"/>
      <c r="R614" s="85"/>
      <c r="S614" s="10">
        <f t="shared" si="173"/>
        <v>0</v>
      </c>
    </row>
    <row r="615" spans="2:19" outlineLevel="1">
      <c r="B615" s="13" t="s">
        <v>56</v>
      </c>
      <c r="C615" s="7" t="str">
        <f t="shared" si="171"/>
        <v>CAMINHÃO ESPARGIDOR PLACA KKP 3155</v>
      </c>
      <c r="D615" s="8">
        <f t="shared" si="170"/>
        <v>46107</v>
      </c>
      <c r="E615" s="15"/>
      <c r="F615" s="15"/>
      <c r="G615" s="15">
        <f t="shared" si="172"/>
        <v>0</v>
      </c>
      <c r="H615" s="16" t="s">
        <v>6</v>
      </c>
      <c r="I615" s="10">
        <f t="shared" si="174"/>
        <v>0</v>
      </c>
      <c r="J615" s="16" t="s">
        <v>201</v>
      </c>
      <c r="K615" s="15"/>
      <c r="L615" s="15"/>
      <c r="M615" s="17"/>
      <c r="N615" s="9"/>
      <c r="O615" s="18">
        <f t="shared" si="175"/>
        <v>0</v>
      </c>
      <c r="P615" s="9"/>
      <c r="Q615" s="9"/>
      <c r="R615" s="85"/>
      <c r="S615" s="10">
        <f t="shared" si="173"/>
        <v>0</v>
      </c>
    </row>
    <row r="616" spans="2:19" outlineLevel="1">
      <c r="B616" s="13" t="s">
        <v>56</v>
      </c>
      <c r="C616" s="7" t="str">
        <f t="shared" si="171"/>
        <v>CAMINHÃO ESPARGIDOR PLACA KKP 3155</v>
      </c>
      <c r="D616" s="8">
        <f t="shared" si="170"/>
        <v>46108</v>
      </c>
      <c r="E616" s="15"/>
      <c r="F616" s="15"/>
      <c r="G616" s="15">
        <f t="shared" si="172"/>
        <v>0</v>
      </c>
      <c r="H616" s="16" t="s">
        <v>6</v>
      </c>
      <c r="I616" s="10">
        <f t="shared" si="174"/>
        <v>0</v>
      </c>
      <c r="J616" s="16" t="s">
        <v>201</v>
      </c>
      <c r="K616" s="15"/>
      <c r="L616" s="15"/>
      <c r="M616" s="17"/>
      <c r="N616" s="9"/>
      <c r="O616" s="18">
        <f t="shared" si="175"/>
        <v>0</v>
      </c>
      <c r="P616" s="9"/>
      <c r="Q616" s="9"/>
      <c r="R616" s="85"/>
      <c r="S616" s="10">
        <f t="shared" si="173"/>
        <v>0</v>
      </c>
    </row>
    <row r="617" spans="2:19" outlineLevel="1">
      <c r="B617" s="13" t="s">
        <v>56</v>
      </c>
      <c r="C617" s="7" t="str">
        <f t="shared" si="171"/>
        <v>CAMINHÃO ESPARGIDOR PLACA KKP 3155</v>
      </c>
      <c r="D617" s="8">
        <f t="shared" ref="D617" si="176">D549</f>
        <v>46109</v>
      </c>
      <c r="E617" s="15"/>
      <c r="F617" s="15"/>
      <c r="G617" s="15">
        <f t="shared" ref="G617:G619" si="177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8">SUM(R617+Q617+I617)</f>
        <v>0</v>
      </c>
    </row>
    <row r="618" spans="2:19" outlineLevel="1">
      <c r="B618" s="13" t="s">
        <v>56</v>
      </c>
      <c r="C618" s="7" t="str">
        <f t="shared" si="171"/>
        <v>CAMINHÃO ESPARGIDOR PLACA KKP 3155</v>
      </c>
      <c r="D618" s="8">
        <f t="shared" ref="D618:D620" si="179">D550</f>
        <v>46110</v>
      </c>
      <c r="E618" s="15"/>
      <c r="F618" s="15"/>
      <c r="G618" s="15">
        <f t="shared" si="177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8"/>
        <v>0</v>
      </c>
    </row>
    <row r="619" spans="2:19" outlineLevel="1">
      <c r="B619" s="13" t="s">
        <v>56</v>
      </c>
      <c r="C619" s="7" t="str">
        <f t="shared" si="171"/>
        <v>CAMINHÃO ESPARGIDOR PLACA KKP 3155</v>
      </c>
      <c r="D619" s="8">
        <f t="shared" si="179"/>
        <v>46111</v>
      </c>
      <c r="E619" s="15"/>
      <c r="F619" s="15"/>
      <c r="G619" s="15">
        <f t="shared" si="177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8"/>
        <v>0</v>
      </c>
    </row>
    <row r="620" spans="2:19" outlineLevel="1">
      <c r="B620" s="13" t="s">
        <v>56</v>
      </c>
      <c r="C620" s="7" t="str">
        <f t="shared" si="171"/>
        <v>CAMINHÃO ESPARGIDOR PLACA KKP 3155</v>
      </c>
      <c r="D620" s="8">
        <f t="shared" si="179"/>
        <v>46112</v>
      </c>
      <c r="E620" s="15"/>
      <c r="F620" s="15"/>
      <c r="G620" s="15">
        <f t="shared" si="172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3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5" t="str">
        <f>M$1</f>
        <v>BM JANEIRO 2026</v>
      </c>
      <c r="N622" s="135"/>
      <c r="O622" s="135"/>
      <c r="P622" s="19" t="s">
        <v>10</v>
      </c>
      <c r="Q622" s="136"/>
      <c r="R622" s="136"/>
      <c r="S622" s="136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80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1166.6666666666667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O624/30</f>
        <v>1166.6666666666667</v>
      </c>
      <c r="Q624" s="9"/>
      <c r="R624" s="85">
        <v>0</v>
      </c>
      <c r="S624" s="10">
        <f>SUM(R624+Q624+I624)</f>
        <v>1166.6666666666667</v>
      </c>
    </row>
    <row r="625" spans="2:19" outlineLevel="1">
      <c r="B625" s="13" t="s">
        <v>58</v>
      </c>
      <c r="C625" s="7" t="str">
        <f t="shared" ref="C625:C654" si="181">C$622</f>
        <v>VIBRO ACABADORA 01 VOVOZINHA</v>
      </c>
      <c r="D625" s="8">
        <f t="shared" si="180"/>
        <v>46083</v>
      </c>
      <c r="E625" s="15"/>
      <c r="F625" s="15"/>
      <c r="G625" s="15">
        <f t="shared" ref="G625:G654" si="182">F625-E625</f>
        <v>0</v>
      </c>
      <c r="H625" s="16" t="s">
        <v>6</v>
      </c>
      <c r="I625" s="10">
        <f>I624</f>
        <v>1166.6666666666667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3">SUM(R625+Q625+I625)</f>
        <v>1166.6666666666667</v>
      </c>
    </row>
    <row r="626" spans="2:19" outlineLevel="1">
      <c r="B626" s="13" t="s">
        <v>58</v>
      </c>
      <c r="C626" s="7" t="str">
        <f t="shared" si="181"/>
        <v>VIBRO ACABADORA 01 VOVOZINHA</v>
      </c>
      <c r="D626" s="8">
        <f t="shared" si="180"/>
        <v>46084</v>
      </c>
      <c r="E626" s="15"/>
      <c r="F626" s="15"/>
      <c r="G626" s="15">
        <f t="shared" si="182"/>
        <v>0</v>
      </c>
      <c r="H626" s="16" t="s">
        <v>6</v>
      </c>
      <c r="I626" s="10">
        <f t="shared" ref="I626:I650" si="184">I625</f>
        <v>1166.6666666666667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5">O625</f>
        <v>35000</v>
      </c>
      <c r="P626" s="9"/>
      <c r="Q626" s="9"/>
      <c r="R626" s="85">
        <v>0</v>
      </c>
      <c r="S626" s="10">
        <f t="shared" si="183"/>
        <v>1166.6666666666667</v>
      </c>
    </row>
    <row r="627" spans="2:19" outlineLevel="1">
      <c r="B627" s="13" t="s">
        <v>58</v>
      </c>
      <c r="C627" s="7" t="str">
        <f t="shared" si="181"/>
        <v>VIBRO ACABADORA 01 VOVOZINHA</v>
      </c>
      <c r="D627" s="8">
        <f t="shared" si="180"/>
        <v>46085</v>
      </c>
      <c r="E627" s="15"/>
      <c r="F627" s="15"/>
      <c r="G627" s="15">
        <f t="shared" si="182"/>
        <v>0</v>
      </c>
      <c r="H627" s="16" t="s">
        <v>6</v>
      </c>
      <c r="I627" s="10">
        <f t="shared" si="184"/>
        <v>1166.6666666666667</v>
      </c>
      <c r="J627" s="16" t="s">
        <v>201</v>
      </c>
      <c r="K627" s="15">
        <v>0</v>
      </c>
      <c r="L627" s="15"/>
      <c r="M627" s="16"/>
      <c r="N627" s="8"/>
      <c r="O627" s="18">
        <f t="shared" si="185"/>
        <v>35000</v>
      </c>
      <c r="P627" s="9"/>
      <c r="Q627" s="9"/>
      <c r="R627" s="85">
        <v>0</v>
      </c>
      <c r="S627" s="10">
        <f t="shared" si="183"/>
        <v>1166.6666666666667</v>
      </c>
    </row>
    <row r="628" spans="2:19" outlineLevel="1">
      <c r="B628" s="13" t="s">
        <v>58</v>
      </c>
      <c r="C628" s="7" t="str">
        <f t="shared" si="181"/>
        <v>VIBRO ACABADORA 01 VOVOZINHA</v>
      </c>
      <c r="D628" s="8">
        <f t="shared" si="180"/>
        <v>46086</v>
      </c>
      <c r="E628" s="15"/>
      <c r="F628" s="15"/>
      <c r="G628" s="15">
        <f t="shared" si="182"/>
        <v>0</v>
      </c>
      <c r="H628" s="16" t="s">
        <v>6</v>
      </c>
      <c r="I628" s="10">
        <f t="shared" si="184"/>
        <v>1166.6666666666667</v>
      </c>
      <c r="J628" s="16" t="s">
        <v>201</v>
      </c>
      <c r="K628" s="15">
        <v>0</v>
      </c>
      <c r="L628" s="15"/>
      <c r="M628" s="16"/>
      <c r="N628" s="8"/>
      <c r="O628" s="18">
        <f t="shared" si="185"/>
        <v>35000</v>
      </c>
      <c r="P628" s="9"/>
      <c r="Q628" s="9"/>
      <c r="R628" s="85">
        <v>0</v>
      </c>
      <c r="S628" s="10">
        <f t="shared" si="183"/>
        <v>1166.6666666666667</v>
      </c>
    </row>
    <row r="629" spans="2:19" outlineLevel="1">
      <c r="B629" s="13" t="s">
        <v>58</v>
      </c>
      <c r="C629" s="7" t="str">
        <f t="shared" si="181"/>
        <v>VIBRO ACABADORA 01 VOVOZINHA</v>
      </c>
      <c r="D629" s="8">
        <f t="shared" si="180"/>
        <v>46087</v>
      </c>
      <c r="E629" s="15"/>
      <c r="F629" s="15"/>
      <c r="G629" s="15">
        <f t="shared" si="182"/>
        <v>0</v>
      </c>
      <c r="H629" s="16" t="s">
        <v>6</v>
      </c>
      <c r="I629" s="10">
        <f t="shared" si="184"/>
        <v>1166.6666666666667</v>
      </c>
      <c r="J629" s="16" t="s">
        <v>201</v>
      </c>
      <c r="K629" s="15">
        <v>0</v>
      </c>
      <c r="L629" s="15"/>
      <c r="M629" s="16"/>
      <c r="N629" s="8"/>
      <c r="O629" s="18">
        <f t="shared" si="185"/>
        <v>35000</v>
      </c>
      <c r="P629" s="9"/>
      <c r="Q629" s="9"/>
      <c r="R629" s="85">
        <v>0</v>
      </c>
      <c r="S629" s="10">
        <f t="shared" si="183"/>
        <v>1166.6666666666667</v>
      </c>
    </row>
    <row r="630" spans="2:19" outlineLevel="1">
      <c r="B630" s="13" t="s">
        <v>58</v>
      </c>
      <c r="C630" s="7" t="str">
        <f t="shared" si="181"/>
        <v>VIBRO ACABADORA 01 VOVOZINHA</v>
      </c>
      <c r="D630" s="8">
        <f t="shared" si="180"/>
        <v>46088</v>
      </c>
      <c r="E630" s="15"/>
      <c r="F630" s="15"/>
      <c r="G630" s="15">
        <f t="shared" si="182"/>
        <v>0</v>
      </c>
      <c r="H630" s="16" t="s">
        <v>6</v>
      </c>
      <c r="I630" s="10">
        <f t="shared" si="184"/>
        <v>1166.6666666666667</v>
      </c>
      <c r="J630" s="16" t="s">
        <v>201</v>
      </c>
      <c r="K630" s="15">
        <v>0</v>
      </c>
      <c r="L630" s="15"/>
      <c r="M630" s="16"/>
      <c r="N630" s="8"/>
      <c r="O630" s="18">
        <f t="shared" si="185"/>
        <v>35000</v>
      </c>
      <c r="P630" s="9"/>
      <c r="Q630" s="9"/>
      <c r="R630" s="85">
        <v>0</v>
      </c>
      <c r="S630" s="10">
        <f t="shared" si="183"/>
        <v>1166.6666666666667</v>
      </c>
    </row>
    <row r="631" spans="2:19" outlineLevel="1">
      <c r="B631" s="13" t="s">
        <v>58</v>
      </c>
      <c r="C631" s="7" t="str">
        <f t="shared" si="181"/>
        <v>VIBRO ACABADORA 01 VOVOZINHA</v>
      </c>
      <c r="D631" s="8">
        <f t="shared" si="180"/>
        <v>46089</v>
      </c>
      <c r="E631" s="15"/>
      <c r="F631" s="15"/>
      <c r="G631" s="15">
        <f t="shared" si="182"/>
        <v>0</v>
      </c>
      <c r="H631" s="16" t="s">
        <v>6</v>
      </c>
      <c r="I631" s="10">
        <f t="shared" si="184"/>
        <v>1166.6666666666667</v>
      </c>
      <c r="J631" s="16" t="s">
        <v>201</v>
      </c>
      <c r="K631" s="15">
        <v>0</v>
      </c>
      <c r="L631" s="15"/>
      <c r="M631" s="16"/>
      <c r="N631" s="8"/>
      <c r="O631" s="18">
        <f t="shared" si="185"/>
        <v>35000</v>
      </c>
      <c r="P631" s="9"/>
      <c r="Q631" s="9"/>
      <c r="R631" s="85">
        <v>0</v>
      </c>
      <c r="S631" s="10">
        <f t="shared" si="183"/>
        <v>1166.6666666666667</v>
      </c>
    </row>
    <row r="632" spans="2:19" outlineLevel="1">
      <c r="B632" s="13" t="s">
        <v>58</v>
      </c>
      <c r="C632" s="7" t="str">
        <f t="shared" si="181"/>
        <v>VIBRO ACABADORA 01 VOVOZINHA</v>
      </c>
      <c r="D632" s="8">
        <f t="shared" si="180"/>
        <v>46090</v>
      </c>
      <c r="E632" s="15"/>
      <c r="F632" s="15"/>
      <c r="G632" s="15">
        <f t="shared" si="182"/>
        <v>0</v>
      </c>
      <c r="H632" s="16" t="s">
        <v>6</v>
      </c>
      <c r="I632" s="10">
        <f t="shared" si="184"/>
        <v>1166.6666666666667</v>
      </c>
      <c r="J632" s="16" t="s">
        <v>201</v>
      </c>
      <c r="K632" s="15">
        <v>0</v>
      </c>
      <c r="L632" s="15"/>
      <c r="M632" s="16"/>
      <c r="N632" s="8"/>
      <c r="O632" s="18">
        <f t="shared" si="185"/>
        <v>35000</v>
      </c>
      <c r="P632" s="9"/>
      <c r="Q632" s="9"/>
      <c r="R632" s="85">
        <v>0</v>
      </c>
      <c r="S632" s="10">
        <f t="shared" si="183"/>
        <v>1166.6666666666667</v>
      </c>
    </row>
    <row r="633" spans="2:19" outlineLevel="1">
      <c r="B633" s="13" t="s">
        <v>58</v>
      </c>
      <c r="C633" s="7" t="str">
        <f t="shared" si="181"/>
        <v>VIBRO ACABADORA 01 VOVOZINHA</v>
      </c>
      <c r="D633" s="8">
        <f t="shared" si="180"/>
        <v>46091</v>
      </c>
      <c r="E633" s="15"/>
      <c r="F633" s="15"/>
      <c r="G633" s="15">
        <f t="shared" si="182"/>
        <v>0</v>
      </c>
      <c r="H633" s="16" t="s">
        <v>6</v>
      </c>
      <c r="I633" s="10">
        <f t="shared" si="184"/>
        <v>1166.6666666666667</v>
      </c>
      <c r="J633" s="16" t="s">
        <v>201</v>
      </c>
      <c r="K633" s="15">
        <v>0</v>
      </c>
      <c r="L633" s="15"/>
      <c r="M633" s="16"/>
      <c r="N633" s="8"/>
      <c r="O633" s="18">
        <f t="shared" si="185"/>
        <v>35000</v>
      </c>
      <c r="P633" s="9"/>
      <c r="Q633" s="9"/>
      <c r="R633" s="85">
        <v>0</v>
      </c>
      <c r="S633" s="10">
        <f t="shared" si="183"/>
        <v>1166.6666666666667</v>
      </c>
    </row>
    <row r="634" spans="2:19" outlineLevel="1">
      <c r="B634" s="13" t="s">
        <v>58</v>
      </c>
      <c r="C634" s="7" t="str">
        <f t="shared" si="181"/>
        <v>VIBRO ACABADORA 01 VOVOZINHA</v>
      </c>
      <c r="D634" s="8">
        <f t="shared" si="180"/>
        <v>46092</v>
      </c>
      <c r="E634" s="15"/>
      <c r="F634" s="15"/>
      <c r="G634" s="15">
        <f t="shared" si="182"/>
        <v>0</v>
      </c>
      <c r="H634" s="16" t="s">
        <v>6</v>
      </c>
      <c r="I634" s="10">
        <f t="shared" si="184"/>
        <v>1166.6666666666667</v>
      </c>
      <c r="J634" s="16" t="s">
        <v>201</v>
      </c>
      <c r="K634" s="15">
        <v>0</v>
      </c>
      <c r="L634" s="15"/>
      <c r="M634" s="16"/>
      <c r="N634" s="8"/>
      <c r="O634" s="18">
        <f t="shared" si="185"/>
        <v>35000</v>
      </c>
      <c r="P634" s="9"/>
      <c r="Q634" s="9"/>
      <c r="R634" s="85">
        <v>0</v>
      </c>
      <c r="S634" s="10">
        <f t="shared" si="183"/>
        <v>1166.6666666666667</v>
      </c>
    </row>
    <row r="635" spans="2:19" outlineLevel="1">
      <c r="B635" s="13" t="s">
        <v>58</v>
      </c>
      <c r="C635" s="7" t="str">
        <f t="shared" si="181"/>
        <v>VIBRO ACABADORA 01 VOVOZINHA</v>
      </c>
      <c r="D635" s="8">
        <f t="shared" si="180"/>
        <v>46093</v>
      </c>
      <c r="E635" s="15"/>
      <c r="F635" s="15"/>
      <c r="G635" s="15">
        <f t="shared" si="182"/>
        <v>0</v>
      </c>
      <c r="H635" s="16" t="s">
        <v>6</v>
      </c>
      <c r="I635" s="10">
        <f t="shared" si="184"/>
        <v>1166.6666666666667</v>
      </c>
      <c r="J635" s="16" t="s">
        <v>201</v>
      </c>
      <c r="K635" s="15">
        <v>0</v>
      </c>
      <c r="L635" s="15"/>
      <c r="M635" s="16"/>
      <c r="N635" s="8"/>
      <c r="O635" s="18">
        <f t="shared" si="185"/>
        <v>35000</v>
      </c>
      <c r="P635" s="9"/>
      <c r="Q635" s="9"/>
      <c r="R635" s="85">
        <v>0</v>
      </c>
      <c r="S635" s="10">
        <f t="shared" si="183"/>
        <v>1166.6666666666667</v>
      </c>
    </row>
    <row r="636" spans="2:19" outlineLevel="1">
      <c r="B636" s="13" t="s">
        <v>58</v>
      </c>
      <c r="C636" s="7" t="str">
        <f t="shared" si="181"/>
        <v>VIBRO ACABADORA 01 VOVOZINHA</v>
      </c>
      <c r="D636" s="8">
        <f t="shared" si="180"/>
        <v>46094</v>
      </c>
      <c r="E636" s="15"/>
      <c r="F636" s="15"/>
      <c r="G636" s="15">
        <f t="shared" si="182"/>
        <v>0</v>
      </c>
      <c r="H636" s="16" t="s">
        <v>6</v>
      </c>
      <c r="I636" s="10">
        <f t="shared" si="184"/>
        <v>1166.6666666666667</v>
      </c>
      <c r="J636" s="16" t="s">
        <v>201</v>
      </c>
      <c r="K636" s="15">
        <v>0</v>
      </c>
      <c r="L636" s="15"/>
      <c r="M636" s="16"/>
      <c r="N636" s="8"/>
      <c r="O636" s="18">
        <f t="shared" si="185"/>
        <v>35000</v>
      </c>
      <c r="P636" s="9"/>
      <c r="Q636" s="9"/>
      <c r="R636" s="85">
        <v>0</v>
      </c>
      <c r="S636" s="10">
        <f t="shared" si="183"/>
        <v>1166.6666666666667</v>
      </c>
    </row>
    <row r="637" spans="2:19" outlineLevel="1">
      <c r="B637" s="13" t="s">
        <v>58</v>
      </c>
      <c r="C637" s="7" t="str">
        <f t="shared" si="181"/>
        <v>VIBRO ACABADORA 01 VOVOZINHA</v>
      </c>
      <c r="D637" s="8">
        <f t="shared" si="180"/>
        <v>46095</v>
      </c>
      <c r="E637" s="15"/>
      <c r="F637" s="15"/>
      <c r="G637" s="15">
        <f t="shared" si="182"/>
        <v>0</v>
      </c>
      <c r="H637" s="16" t="s">
        <v>6</v>
      </c>
      <c r="I637" s="10">
        <f t="shared" si="184"/>
        <v>1166.6666666666667</v>
      </c>
      <c r="J637" s="16" t="s">
        <v>201</v>
      </c>
      <c r="K637" s="15">
        <v>0</v>
      </c>
      <c r="L637" s="15"/>
      <c r="M637" s="16"/>
      <c r="N637" s="8"/>
      <c r="O637" s="18">
        <f t="shared" si="185"/>
        <v>35000</v>
      </c>
      <c r="P637" s="9"/>
      <c r="Q637" s="9"/>
      <c r="R637" s="85">
        <v>0</v>
      </c>
      <c r="S637" s="10">
        <f t="shared" si="183"/>
        <v>1166.6666666666667</v>
      </c>
    </row>
    <row r="638" spans="2:19" outlineLevel="1">
      <c r="B638" s="13" t="s">
        <v>58</v>
      </c>
      <c r="C638" s="7" t="str">
        <f t="shared" si="181"/>
        <v>VIBRO ACABADORA 01 VOVOZINHA</v>
      </c>
      <c r="D638" s="8">
        <f t="shared" si="180"/>
        <v>46096</v>
      </c>
      <c r="E638" s="15"/>
      <c r="F638" s="15"/>
      <c r="G638" s="15">
        <f t="shared" si="182"/>
        <v>0</v>
      </c>
      <c r="H638" s="16" t="s">
        <v>6</v>
      </c>
      <c r="I638" s="10">
        <f t="shared" si="184"/>
        <v>1166.6666666666667</v>
      </c>
      <c r="J638" s="16" t="s">
        <v>201</v>
      </c>
      <c r="K638" s="15">
        <v>0</v>
      </c>
      <c r="L638" s="15"/>
      <c r="M638" s="16"/>
      <c r="N638" s="8"/>
      <c r="O638" s="18">
        <f t="shared" si="185"/>
        <v>35000</v>
      </c>
      <c r="P638" s="9"/>
      <c r="Q638" s="9"/>
      <c r="R638" s="85">
        <v>0</v>
      </c>
      <c r="S638" s="10">
        <f t="shared" si="183"/>
        <v>1166.6666666666667</v>
      </c>
    </row>
    <row r="639" spans="2:19" outlineLevel="1">
      <c r="B639" s="13" t="s">
        <v>58</v>
      </c>
      <c r="C639" s="7" t="str">
        <f t="shared" si="181"/>
        <v>VIBRO ACABADORA 01 VOVOZINHA</v>
      </c>
      <c r="D639" s="8">
        <f t="shared" si="180"/>
        <v>46097</v>
      </c>
      <c r="E639" s="15"/>
      <c r="F639" s="15"/>
      <c r="G639" s="15">
        <f t="shared" si="182"/>
        <v>0</v>
      </c>
      <c r="H639" s="16" t="s">
        <v>6</v>
      </c>
      <c r="I639" s="10">
        <f t="shared" si="184"/>
        <v>1166.6666666666667</v>
      </c>
      <c r="J639" s="16" t="s">
        <v>201</v>
      </c>
      <c r="K639" s="15">
        <v>0</v>
      </c>
      <c r="L639" s="15"/>
      <c r="M639" s="16"/>
      <c r="N639" s="8"/>
      <c r="O639" s="18">
        <f t="shared" si="185"/>
        <v>35000</v>
      </c>
      <c r="P639" s="9"/>
      <c r="Q639" s="9"/>
      <c r="R639" s="85">
        <v>0</v>
      </c>
      <c r="S639" s="10">
        <f t="shared" si="183"/>
        <v>1166.6666666666667</v>
      </c>
    </row>
    <row r="640" spans="2:19" outlineLevel="1">
      <c r="B640" s="13" t="s">
        <v>58</v>
      </c>
      <c r="C640" s="7" t="str">
        <f t="shared" si="181"/>
        <v>VIBRO ACABADORA 01 VOVOZINHA</v>
      </c>
      <c r="D640" s="8">
        <f t="shared" si="180"/>
        <v>46098</v>
      </c>
      <c r="E640" s="15"/>
      <c r="F640" s="15"/>
      <c r="G640" s="15">
        <f t="shared" si="182"/>
        <v>0</v>
      </c>
      <c r="H640" s="16" t="s">
        <v>6</v>
      </c>
      <c r="I640" s="10">
        <f t="shared" si="184"/>
        <v>1166.6666666666667</v>
      </c>
      <c r="J640" s="16" t="s">
        <v>201</v>
      </c>
      <c r="K640" s="15">
        <v>0</v>
      </c>
      <c r="L640" s="15"/>
      <c r="M640" s="16"/>
      <c r="N640" s="8"/>
      <c r="O640" s="18">
        <f t="shared" si="185"/>
        <v>35000</v>
      </c>
      <c r="P640" s="9"/>
      <c r="Q640" s="9"/>
      <c r="R640" s="85">
        <v>0</v>
      </c>
      <c r="S640" s="10">
        <f t="shared" si="183"/>
        <v>1166.6666666666667</v>
      </c>
    </row>
    <row r="641" spans="2:19" outlineLevel="1">
      <c r="B641" s="13" t="s">
        <v>58</v>
      </c>
      <c r="C641" s="7" t="str">
        <f t="shared" si="181"/>
        <v>VIBRO ACABADORA 01 VOVOZINHA</v>
      </c>
      <c r="D641" s="8">
        <f t="shared" si="180"/>
        <v>46099</v>
      </c>
      <c r="E641" s="15"/>
      <c r="F641" s="15"/>
      <c r="G641" s="15">
        <f t="shared" si="182"/>
        <v>0</v>
      </c>
      <c r="H641" s="16" t="s">
        <v>6</v>
      </c>
      <c r="I641" s="10">
        <f t="shared" si="184"/>
        <v>1166.6666666666667</v>
      </c>
      <c r="J641" s="16" t="s">
        <v>201</v>
      </c>
      <c r="K641" s="15">
        <v>0</v>
      </c>
      <c r="L641" s="15"/>
      <c r="M641" s="16"/>
      <c r="N641" s="8"/>
      <c r="O641" s="18">
        <f t="shared" si="185"/>
        <v>35000</v>
      </c>
      <c r="P641" s="9"/>
      <c r="Q641" s="9"/>
      <c r="R641" s="85">
        <v>0</v>
      </c>
      <c r="S641" s="10">
        <f t="shared" si="183"/>
        <v>1166.6666666666667</v>
      </c>
    </row>
    <row r="642" spans="2:19" outlineLevel="1">
      <c r="B642" s="13" t="s">
        <v>58</v>
      </c>
      <c r="C642" s="7" t="str">
        <f t="shared" si="181"/>
        <v>VIBRO ACABADORA 01 VOVOZINHA</v>
      </c>
      <c r="D642" s="8">
        <f t="shared" si="180"/>
        <v>46100</v>
      </c>
      <c r="E642" s="15"/>
      <c r="F642" s="15"/>
      <c r="G642" s="15">
        <f t="shared" si="182"/>
        <v>0</v>
      </c>
      <c r="H642" s="16" t="s">
        <v>6</v>
      </c>
      <c r="I642" s="10">
        <f t="shared" si="184"/>
        <v>1166.6666666666667</v>
      </c>
      <c r="J642" s="16" t="s">
        <v>201</v>
      </c>
      <c r="K642" s="15">
        <v>0</v>
      </c>
      <c r="L642" s="15"/>
      <c r="M642" s="16"/>
      <c r="N642" s="8"/>
      <c r="O642" s="18">
        <f t="shared" si="185"/>
        <v>35000</v>
      </c>
      <c r="P642" s="9"/>
      <c r="Q642" s="9"/>
      <c r="R642" s="85">
        <v>0</v>
      </c>
      <c r="S642" s="10">
        <f t="shared" si="183"/>
        <v>1166.6666666666667</v>
      </c>
    </row>
    <row r="643" spans="2:19" outlineLevel="1">
      <c r="B643" s="13" t="s">
        <v>58</v>
      </c>
      <c r="C643" s="7" t="str">
        <f t="shared" si="181"/>
        <v>VIBRO ACABADORA 01 VOVOZINHA</v>
      </c>
      <c r="D643" s="8">
        <f t="shared" si="180"/>
        <v>46101</v>
      </c>
      <c r="E643" s="15"/>
      <c r="F643" s="15"/>
      <c r="G643" s="15">
        <f t="shared" si="182"/>
        <v>0</v>
      </c>
      <c r="H643" s="16" t="s">
        <v>6</v>
      </c>
      <c r="I643" s="10">
        <f t="shared" si="184"/>
        <v>1166.6666666666667</v>
      </c>
      <c r="J643" s="16" t="s">
        <v>201</v>
      </c>
      <c r="K643" s="15">
        <v>0</v>
      </c>
      <c r="L643" s="15"/>
      <c r="M643" s="16"/>
      <c r="N643" s="8"/>
      <c r="O643" s="18">
        <f t="shared" si="185"/>
        <v>35000</v>
      </c>
      <c r="P643" s="9"/>
      <c r="Q643" s="9"/>
      <c r="R643" s="85">
        <v>0</v>
      </c>
      <c r="S643" s="10">
        <f t="shared" si="183"/>
        <v>1166.6666666666667</v>
      </c>
    </row>
    <row r="644" spans="2:19" outlineLevel="1">
      <c r="B644" s="13" t="s">
        <v>58</v>
      </c>
      <c r="C644" s="7" t="str">
        <f t="shared" si="181"/>
        <v>VIBRO ACABADORA 01 VOVOZINHA</v>
      </c>
      <c r="D644" s="8">
        <f t="shared" si="180"/>
        <v>46102</v>
      </c>
      <c r="E644" s="15"/>
      <c r="F644" s="15"/>
      <c r="G644" s="15">
        <f t="shared" si="182"/>
        <v>0</v>
      </c>
      <c r="H644" s="16" t="s">
        <v>6</v>
      </c>
      <c r="I644" s="10">
        <f t="shared" si="184"/>
        <v>1166.6666666666667</v>
      </c>
      <c r="J644" s="16" t="s">
        <v>201</v>
      </c>
      <c r="K644" s="15">
        <v>0</v>
      </c>
      <c r="L644" s="15"/>
      <c r="M644" s="16"/>
      <c r="N644" s="8"/>
      <c r="O644" s="18">
        <f t="shared" si="185"/>
        <v>35000</v>
      </c>
      <c r="P644" s="9"/>
      <c r="Q644" s="9"/>
      <c r="R644" s="85">
        <v>0</v>
      </c>
      <c r="S644" s="10">
        <f t="shared" si="183"/>
        <v>1166.6666666666667</v>
      </c>
    </row>
    <row r="645" spans="2:19" outlineLevel="1">
      <c r="B645" s="13" t="s">
        <v>58</v>
      </c>
      <c r="C645" s="7" t="str">
        <f t="shared" si="181"/>
        <v>VIBRO ACABADORA 01 VOVOZINHA</v>
      </c>
      <c r="D645" s="8">
        <f t="shared" si="180"/>
        <v>46103</v>
      </c>
      <c r="E645" s="15"/>
      <c r="F645" s="15"/>
      <c r="G645" s="15">
        <f t="shared" si="182"/>
        <v>0</v>
      </c>
      <c r="H645" s="16" t="s">
        <v>6</v>
      </c>
      <c r="I645" s="10">
        <f t="shared" si="184"/>
        <v>1166.6666666666667</v>
      </c>
      <c r="J645" s="16" t="s">
        <v>201</v>
      </c>
      <c r="K645" s="15">
        <v>0</v>
      </c>
      <c r="L645" s="15"/>
      <c r="M645" s="16"/>
      <c r="N645" s="8"/>
      <c r="O645" s="18">
        <f t="shared" si="185"/>
        <v>35000</v>
      </c>
      <c r="P645" s="9"/>
      <c r="Q645" s="9"/>
      <c r="R645" s="85">
        <v>0</v>
      </c>
      <c r="S645" s="10">
        <f t="shared" si="183"/>
        <v>1166.6666666666667</v>
      </c>
    </row>
    <row r="646" spans="2:19" outlineLevel="1">
      <c r="B646" s="13" t="s">
        <v>58</v>
      </c>
      <c r="C646" s="7" t="str">
        <f t="shared" si="181"/>
        <v>VIBRO ACABADORA 01 VOVOZINHA</v>
      </c>
      <c r="D646" s="8">
        <f t="shared" si="180"/>
        <v>46104</v>
      </c>
      <c r="E646" s="15"/>
      <c r="F646" s="15"/>
      <c r="G646" s="15">
        <f t="shared" si="182"/>
        <v>0</v>
      </c>
      <c r="H646" s="16" t="s">
        <v>6</v>
      </c>
      <c r="I646" s="10">
        <f t="shared" si="184"/>
        <v>1166.6666666666667</v>
      </c>
      <c r="J646" s="16" t="s">
        <v>201</v>
      </c>
      <c r="K646" s="15">
        <v>0</v>
      </c>
      <c r="L646" s="15"/>
      <c r="M646" s="16"/>
      <c r="N646" s="8"/>
      <c r="O646" s="18">
        <f t="shared" si="185"/>
        <v>35000</v>
      </c>
      <c r="P646" s="9"/>
      <c r="Q646" s="9"/>
      <c r="R646" s="85">
        <v>0</v>
      </c>
      <c r="S646" s="10">
        <f t="shared" si="183"/>
        <v>1166.6666666666667</v>
      </c>
    </row>
    <row r="647" spans="2:19" outlineLevel="1">
      <c r="B647" s="13" t="s">
        <v>58</v>
      </c>
      <c r="C647" s="7" t="str">
        <f t="shared" si="181"/>
        <v>VIBRO ACABADORA 01 VOVOZINHA</v>
      </c>
      <c r="D647" s="8">
        <f t="shared" si="180"/>
        <v>46105</v>
      </c>
      <c r="E647" s="15"/>
      <c r="F647" s="15"/>
      <c r="G647" s="15">
        <f t="shared" si="182"/>
        <v>0</v>
      </c>
      <c r="H647" s="16" t="s">
        <v>6</v>
      </c>
      <c r="I647" s="10">
        <f t="shared" si="184"/>
        <v>1166.6666666666667</v>
      </c>
      <c r="J647" s="16" t="s">
        <v>201</v>
      </c>
      <c r="K647" s="15">
        <v>0</v>
      </c>
      <c r="L647" s="15"/>
      <c r="M647" s="16"/>
      <c r="N647" s="8"/>
      <c r="O647" s="18">
        <f t="shared" si="185"/>
        <v>35000</v>
      </c>
      <c r="P647" s="9"/>
      <c r="Q647" s="9"/>
      <c r="R647" s="85">
        <v>0</v>
      </c>
      <c r="S647" s="10">
        <f t="shared" si="183"/>
        <v>1166.6666666666667</v>
      </c>
    </row>
    <row r="648" spans="2:19" outlineLevel="1">
      <c r="B648" s="13" t="s">
        <v>58</v>
      </c>
      <c r="C648" s="7" t="str">
        <f t="shared" si="181"/>
        <v>VIBRO ACABADORA 01 VOVOZINHA</v>
      </c>
      <c r="D648" s="8">
        <f t="shared" si="180"/>
        <v>46106</v>
      </c>
      <c r="E648" s="15"/>
      <c r="F648" s="15"/>
      <c r="G648" s="15">
        <f t="shared" si="182"/>
        <v>0</v>
      </c>
      <c r="H648" s="16" t="s">
        <v>6</v>
      </c>
      <c r="I648" s="10">
        <f t="shared" si="184"/>
        <v>1166.6666666666667</v>
      </c>
      <c r="J648" s="16" t="s">
        <v>201</v>
      </c>
      <c r="K648" s="15">
        <v>0</v>
      </c>
      <c r="L648" s="15"/>
      <c r="M648" s="16"/>
      <c r="N648" s="8"/>
      <c r="O648" s="18">
        <f t="shared" si="185"/>
        <v>35000</v>
      </c>
      <c r="P648" s="9"/>
      <c r="Q648" s="9"/>
      <c r="R648" s="85">
        <v>0</v>
      </c>
      <c r="S648" s="10">
        <f t="shared" si="183"/>
        <v>1166.6666666666667</v>
      </c>
    </row>
    <row r="649" spans="2:19" outlineLevel="1">
      <c r="B649" s="13" t="s">
        <v>58</v>
      </c>
      <c r="C649" s="7" t="str">
        <f t="shared" si="181"/>
        <v>VIBRO ACABADORA 01 VOVOZINHA</v>
      </c>
      <c r="D649" s="8">
        <f t="shared" si="180"/>
        <v>46107</v>
      </c>
      <c r="E649" s="15"/>
      <c r="F649" s="15"/>
      <c r="G649" s="15">
        <f t="shared" si="182"/>
        <v>0</v>
      </c>
      <c r="H649" s="16" t="s">
        <v>6</v>
      </c>
      <c r="I649" s="10">
        <f t="shared" si="184"/>
        <v>1166.6666666666667</v>
      </c>
      <c r="J649" s="16" t="s">
        <v>201</v>
      </c>
      <c r="K649" s="15">
        <v>0</v>
      </c>
      <c r="L649" s="15"/>
      <c r="M649" s="16"/>
      <c r="N649" s="8"/>
      <c r="O649" s="18">
        <f t="shared" si="185"/>
        <v>35000</v>
      </c>
      <c r="P649" s="9"/>
      <c r="Q649" s="9"/>
      <c r="R649" s="85">
        <v>0</v>
      </c>
      <c r="S649" s="10">
        <f t="shared" si="183"/>
        <v>1166.6666666666667</v>
      </c>
    </row>
    <row r="650" spans="2:19" outlineLevel="1">
      <c r="B650" s="13" t="s">
        <v>58</v>
      </c>
      <c r="C650" s="7" t="str">
        <f t="shared" si="181"/>
        <v>VIBRO ACABADORA 01 VOVOZINHA</v>
      </c>
      <c r="D650" s="8">
        <f t="shared" si="180"/>
        <v>46108</v>
      </c>
      <c r="E650" s="15"/>
      <c r="F650" s="15"/>
      <c r="G650" s="15">
        <f t="shared" si="182"/>
        <v>0</v>
      </c>
      <c r="H650" s="16" t="s">
        <v>6</v>
      </c>
      <c r="I650" s="10">
        <f t="shared" si="184"/>
        <v>1166.6666666666667</v>
      </c>
      <c r="J650" s="16" t="s">
        <v>201</v>
      </c>
      <c r="K650" s="15">
        <v>0</v>
      </c>
      <c r="L650" s="15"/>
      <c r="M650" s="16"/>
      <c r="N650" s="8"/>
      <c r="O650" s="18">
        <f t="shared" si="185"/>
        <v>35000</v>
      </c>
      <c r="P650" s="9"/>
      <c r="Q650" s="9"/>
      <c r="R650" s="85">
        <v>0</v>
      </c>
      <c r="S650" s="10">
        <f t="shared" si="183"/>
        <v>1166.6666666666667</v>
      </c>
    </row>
    <row r="651" spans="2:19" outlineLevel="1">
      <c r="B651" s="13" t="s">
        <v>58</v>
      </c>
      <c r="C651" s="7" t="str">
        <f t="shared" si="181"/>
        <v>VIBRO ACABADORA 01 VOVOZINHA</v>
      </c>
      <c r="D651" s="8">
        <f t="shared" ref="D651" si="186">D583</f>
        <v>46109</v>
      </c>
      <c r="E651" s="15"/>
      <c r="F651" s="15"/>
      <c r="G651" s="15">
        <f t="shared" ref="G651:G653" si="187">F651-E651</f>
        <v>0</v>
      </c>
      <c r="H651" s="16" t="s">
        <v>6</v>
      </c>
      <c r="I651" s="10">
        <f>I647</f>
        <v>1166.6666666666667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8">SUM(R651+Q651+I651)</f>
        <v>1166.6666666666667</v>
      </c>
    </row>
    <row r="652" spans="2:19" outlineLevel="1">
      <c r="B652" s="13" t="s">
        <v>58</v>
      </c>
      <c r="C652" s="7" t="str">
        <f t="shared" si="181"/>
        <v>VIBRO ACABADORA 01 VOVOZINHA</v>
      </c>
      <c r="D652" s="8">
        <f t="shared" ref="D652:D654" si="189">D584</f>
        <v>46110</v>
      </c>
      <c r="E652" s="15"/>
      <c r="F652" s="15"/>
      <c r="G652" s="15">
        <f t="shared" si="187"/>
        <v>0</v>
      </c>
      <c r="H652" s="16" t="s">
        <v>6</v>
      </c>
      <c r="I652" s="10">
        <f>I648</f>
        <v>1166.6666666666667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8"/>
        <v>1166.6666666666667</v>
      </c>
    </row>
    <row r="653" spans="2:19" outlineLevel="1">
      <c r="B653" s="13" t="s">
        <v>58</v>
      </c>
      <c r="C653" s="7" t="str">
        <f t="shared" si="181"/>
        <v>VIBRO ACABADORA 01 VOVOZINHA</v>
      </c>
      <c r="D653" s="8">
        <f t="shared" si="189"/>
        <v>46111</v>
      </c>
      <c r="E653" s="15"/>
      <c r="F653" s="15"/>
      <c r="G653" s="15">
        <f t="shared" si="187"/>
        <v>0</v>
      </c>
      <c r="H653" s="16" t="s">
        <v>6</v>
      </c>
      <c r="I653" s="10">
        <f>I649</f>
        <v>1166.6666666666667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8"/>
        <v>1166.6666666666667</v>
      </c>
    </row>
    <row r="654" spans="2:19" outlineLevel="1">
      <c r="B654" s="13" t="s">
        <v>58</v>
      </c>
      <c r="C654" s="7" t="str">
        <f t="shared" si="181"/>
        <v>VIBRO ACABADORA 01 VOVOZINHA</v>
      </c>
      <c r="D654" s="8">
        <f t="shared" si="189"/>
        <v>46112</v>
      </c>
      <c r="E654" s="15"/>
      <c r="F654" s="15"/>
      <c r="G654" s="15">
        <f t="shared" si="182"/>
        <v>0</v>
      </c>
      <c r="H654" s="16" t="s">
        <v>6</v>
      </c>
      <c r="I654" s="10">
        <f>I650</f>
        <v>1166.6666666666667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3"/>
        <v>1166.6666666666667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5" t="str">
        <f>M$1</f>
        <v>BM JANEIRO 2026</v>
      </c>
      <c r="N656" s="135"/>
      <c r="O656" s="135"/>
      <c r="P656" s="19" t="s">
        <v>10</v>
      </c>
      <c r="Q656" s="136"/>
      <c r="R656" s="136"/>
      <c r="S656" s="136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90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1357.1428571428571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O658/28</f>
        <v>1357.1428571428571</v>
      </c>
      <c r="Q658" s="9"/>
      <c r="R658" s="72"/>
      <c r="S658" s="10">
        <f t="shared" ref="S658:S688" si="191">SUM(R658+Q658+I658)</f>
        <v>1357.1428571428571</v>
      </c>
    </row>
    <row r="659" spans="2:19" outlineLevel="1">
      <c r="B659" s="13" t="s">
        <v>60</v>
      </c>
      <c r="C659" s="7" t="str">
        <f t="shared" ref="C659:C688" si="192">C$656</f>
        <v>VIBRO ACABADORA TEREX VDA 421</v>
      </c>
      <c r="D659" s="8">
        <f t="shared" si="190"/>
        <v>46083</v>
      </c>
      <c r="E659" s="15"/>
      <c r="F659" s="15"/>
      <c r="G659" s="15">
        <f t="shared" ref="G659:G688" si="193">F659-E659</f>
        <v>0</v>
      </c>
      <c r="H659" s="16" t="s">
        <v>6</v>
      </c>
      <c r="I659" s="10">
        <f>I658</f>
        <v>1357.1428571428571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91"/>
        <v>1357.1428571428571</v>
      </c>
    </row>
    <row r="660" spans="2:19" outlineLevel="1">
      <c r="B660" s="13" t="s">
        <v>60</v>
      </c>
      <c r="C660" s="7" t="str">
        <f t="shared" si="192"/>
        <v>VIBRO ACABADORA TEREX VDA 421</v>
      </c>
      <c r="D660" s="8">
        <f t="shared" si="190"/>
        <v>46084</v>
      </c>
      <c r="E660" s="15"/>
      <c r="F660" s="15"/>
      <c r="G660" s="15">
        <f t="shared" si="193"/>
        <v>0</v>
      </c>
      <c r="H660" s="16" t="s">
        <v>6</v>
      </c>
      <c r="I660" s="10">
        <f t="shared" ref="I660:I684" si="194">I659</f>
        <v>1357.1428571428571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91"/>
        <v>1357.1428571428571</v>
      </c>
    </row>
    <row r="661" spans="2:19" outlineLevel="1">
      <c r="B661" s="13" t="s">
        <v>60</v>
      </c>
      <c r="C661" s="7" t="str">
        <f t="shared" si="192"/>
        <v>VIBRO ACABADORA TEREX VDA 421</v>
      </c>
      <c r="D661" s="8">
        <f t="shared" si="190"/>
        <v>46085</v>
      </c>
      <c r="E661" s="15"/>
      <c r="F661" s="15"/>
      <c r="G661" s="15">
        <f t="shared" si="193"/>
        <v>0</v>
      </c>
      <c r="H661" s="16" t="s">
        <v>6</v>
      </c>
      <c r="I661" s="10">
        <f t="shared" si="194"/>
        <v>1357.1428571428571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91"/>
        <v>1357.1428571428571</v>
      </c>
    </row>
    <row r="662" spans="2:19" outlineLevel="1">
      <c r="B662" s="13" t="s">
        <v>60</v>
      </c>
      <c r="C662" s="7" t="str">
        <f t="shared" si="192"/>
        <v>VIBRO ACABADORA TEREX VDA 421</v>
      </c>
      <c r="D662" s="8">
        <f t="shared" si="190"/>
        <v>46086</v>
      </c>
      <c r="E662" s="15"/>
      <c r="F662" s="15"/>
      <c r="G662" s="15">
        <f t="shared" si="193"/>
        <v>0</v>
      </c>
      <c r="H662" s="16" t="s">
        <v>6</v>
      </c>
      <c r="I662" s="10">
        <f t="shared" si="194"/>
        <v>1357.1428571428571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91"/>
        <v>1357.1428571428571</v>
      </c>
    </row>
    <row r="663" spans="2:19" outlineLevel="1">
      <c r="B663" s="13" t="s">
        <v>60</v>
      </c>
      <c r="C663" s="7" t="str">
        <f t="shared" si="192"/>
        <v>VIBRO ACABADORA TEREX VDA 421</v>
      </c>
      <c r="D663" s="8">
        <f t="shared" si="190"/>
        <v>46087</v>
      </c>
      <c r="E663" s="15"/>
      <c r="F663" s="15"/>
      <c r="G663" s="15">
        <f t="shared" si="193"/>
        <v>0</v>
      </c>
      <c r="H663" s="16" t="s">
        <v>6</v>
      </c>
      <c r="I663" s="10">
        <f t="shared" si="194"/>
        <v>1357.1428571428571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91"/>
        <v>1357.1428571428571</v>
      </c>
    </row>
    <row r="664" spans="2:19" outlineLevel="1">
      <c r="B664" s="13" t="s">
        <v>60</v>
      </c>
      <c r="C664" s="7" t="str">
        <f t="shared" si="192"/>
        <v>VIBRO ACABADORA TEREX VDA 421</v>
      </c>
      <c r="D664" s="8">
        <f t="shared" si="190"/>
        <v>46088</v>
      </c>
      <c r="E664" s="15"/>
      <c r="F664" s="15"/>
      <c r="G664" s="15">
        <f t="shared" si="193"/>
        <v>0</v>
      </c>
      <c r="H664" s="16" t="s">
        <v>6</v>
      </c>
      <c r="I664" s="10">
        <f t="shared" si="194"/>
        <v>1357.1428571428571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91"/>
        <v>1357.1428571428571</v>
      </c>
    </row>
    <row r="665" spans="2:19" outlineLevel="1">
      <c r="B665" s="13" t="s">
        <v>60</v>
      </c>
      <c r="C665" s="7" t="str">
        <f t="shared" si="192"/>
        <v>VIBRO ACABADORA TEREX VDA 421</v>
      </c>
      <c r="D665" s="8">
        <f t="shared" si="190"/>
        <v>46089</v>
      </c>
      <c r="E665" s="15"/>
      <c r="F665" s="15"/>
      <c r="G665" s="15">
        <f t="shared" si="193"/>
        <v>0</v>
      </c>
      <c r="H665" s="16" t="s">
        <v>6</v>
      </c>
      <c r="I665" s="10">
        <f t="shared" si="194"/>
        <v>1357.1428571428571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91"/>
        <v>1357.1428571428571</v>
      </c>
    </row>
    <row r="666" spans="2:19" outlineLevel="1">
      <c r="B666" s="13" t="s">
        <v>60</v>
      </c>
      <c r="C666" s="7" t="str">
        <f t="shared" si="192"/>
        <v>VIBRO ACABADORA TEREX VDA 421</v>
      </c>
      <c r="D666" s="8">
        <f t="shared" si="190"/>
        <v>46090</v>
      </c>
      <c r="E666" s="15"/>
      <c r="F666" s="15"/>
      <c r="G666" s="15">
        <f t="shared" si="193"/>
        <v>0</v>
      </c>
      <c r="H666" s="16" t="s">
        <v>6</v>
      </c>
      <c r="I666" s="10">
        <f t="shared" si="194"/>
        <v>1357.1428571428571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91"/>
        <v>1357.1428571428571</v>
      </c>
    </row>
    <row r="667" spans="2:19" outlineLevel="1">
      <c r="B667" s="13" t="s">
        <v>60</v>
      </c>
      <c r="C667" s="7" t="str">
        <f t="shared" si="192"/>
        <v>VIBRO ACABADORA TEREX VDA 421</v>
      </c>
      <c r="D667" s="8">
        <f t="shared" si="190"/>
        <v>46091</v>
      </c>
      <c r="E667" s="15"/>
      <c r="F667" s="15"/>
      <c r="G667" s="15">
        <f t="shared" si="193"/>
        <v>0</v>
      </c>
      <c r="H667" s="16" t="s">
        <v>6</v>
      </c>
      <c r="I667" s="10">
        <f t="shared" si="194"/>
        <v>1357.1428571428571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91"/>
        <v>1357.1428571428571</v>
      </c>
    </row>
    <row r="668" spans="2:19" outlineLevel="1">
      <c r="B668" s="13" t="s">
        <v>60</v>
      </c>
      <c r="C668" s="7" t="str">
        <f t="shared" si="192"/>
        <v>VIBRO ACABADORA TEREX VDA 421</v>
      </c>
      <c r="D668" s="8">
        <f t="shared" si="190"/>
        <v>46092</v>
      </c>
      <c r="E668" s="15"/>
      <c r="F668" s="15"/>
      <c r="G668" s="15">
        <f t="shared" si="193"/>
        <v>0</v>
      </c>
      <c r="H668" s="16" t="s">
        <v>6</v>
      </c>
      <c r="I668" s="10">
        <f t="shared" si="194"/>
        <v>1357.1428571428571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91"/>
        <v>1357.1428571428571</v>
      </c>
    </row>
    <row r="669" spans="2:19" outlineLevel="1">
      <c r="B669" s="13" t="s">
        <v>60</v>
      </c>
      <c r="C669" s="7" t="str">
        <f t="shared" si="192"/>
        <v>VIBRO ACABADORA TEREX VDA 421</v>
      </c>
      <c r="D669" s="8">
        <f t="shared" si="190"/>
        <v>46093</v>
      </c>
      <c r="E669" s="15"/>
      <c r="F669" s="15"/>
      <c r="G669" s="15">
        <f t="shared" si="193"/>
        <v>0</v>
      </c>
      <c r="H669" s="16" t="s">
        <v>6</v>
      </c>
      <c r="I669" s="10">
        <f t="shared" si="194"/>
        <v>1357.1428571428571</v>
      </c>
      <c r="J669" s="16" t="s">
        <v>201</v>
      </c>
      <c r="K669" s="15"/>
      <c r="L669" s="15"/>
      <c r="M669" s="17"/>
      <c r="N669" s="80"/>
      <c r="O669" s="18">
        <f t="shared" ref="O669:O684" si="195">O668</f>
        <v>0</v>
      </c>
      <c r="P669" s="9"/>
      <c r="Q669" s="9"/>
      <c r="R669" s="72"/>
      <c r="S669" s="10">
        <f t="shared" si="191"/>
        <v>1357.1428571428571</v>
      </c>
    </row>
    <row r="670" spans="2:19" outlineLevel="1">
      <c r="B670" s="13" t="s">
        <v>60</v>
      </c>
      <c r="C670" s="7" t="str">
        <f t="shared" si="192"/>
        <v>VIBRO ACABADORA TEREX VDA 421</v>
      </c>
      <c r="D670" s="8">
        <f t="shared" si="190"/>
        <v>46094</v>
      </c>
      <c r="E670" s="15"/>
      <c r="F670" s="15"/>
      <c r="G670" s="15">
        <f t="shared" si="193"/>
        <v>0</v>
      </c>
      <c r="H670" s="16" t="s">
        <v>6</v>
      </c>
      <c r="I670" s="10">
        <f t="shared" si="194"/>
        <v>1357.1428571428571</v>
      </c>
      <c r="J670" s="16" t="s">
        <v>201</v>
      </c>
      <c r="K670" s="15"/>
      <c r="L670" s="15"/>
      <c r="M670" s="17"/>
      <c r="N670" s="80"/>
      <c r="O670" s="18">
        <f t="shared" si="195"/>
        <v>0</v>
      </c>
      <c r="P670" s="9"/>
      <c r="Q670" s="9"/>
      <c r="R670" s="72"/>
      <c r="S670" s="10">
        <f t="shared" si="191"/>
        <v>1357.1428571428571</v>
      </c>
    </row>
    <row r="671" spans="2:19" outlineLevel="1">
      <c r="B671" s="13" t="s">
        <v>60</v>
      </c>
      <c r="C671" s="7" t="str">
        <f t="shared" si="192"/>
        <v>VIBRO ACABADORA TEREX VDA 421</v>
      </c>
      <c r="D671" s="8">
        <f t="shared" si="190"/>
        <v>46095</v>
      </c>
      <c r="E671" s="15"/>
      <c r="F671" s="15"/>
      <c r="G671" s="15">
        <f t="shared" si="193"/>
        <v>0</v>
      </c>
      <c r="H671" s="16" t="s">
        <v>6</v>
      </c>
      <c r="I671" s="10">
        <f t="shared" si="194"/>
        <v>1357.1428571428571</v>
      </c>
      <c r="J671" s="16" t="s">
        <v>201</v>
      </c>
      <c r="K671" s="15"/>
      <c r="L671" s="15"/>
      <c r="M671" s="17"/>
      <c r="N671" s="80"/>
      <c r="O671" s="18">
        <f t="shared" si="195"/>
        <v>0</v>
      </c>
      <c r="P671" s="9"/>
      <c r="Q671" s="9"/>
      <c r="R671" s="72"/>
      <c r="S671" s="10">
        <f t="shared" si="191"/>
        <v>1357.1428571428571</v>
      </c>
    </row>
    <row r="672" spans="2:19" outlineLevel="1">
      <c r="B672" s="13" t="s">
        <v>60</v>
      </c>
      <c r="C672" s="7" t="str">
        <f t="shared" si="192"/>
        <v>VIBRO ACABADORA TEREX VDA 421</v>
      </c>
      <c r="D672" s="8">
        <f t="shared" si="190"/>
        <v>46096</v>
      </c>
      <c r="E672" s="15"/>
      <c r="F672" s="15"/>
      <c r="G672" s="15">
        <f t="shared" si="193"/>
        <v>0</v>
      </c>
      <c r="H672" s="16" t="s">
        <v>6</v>
      </c>
      <c r="I672" s="10">
        <f t="shared" si="194"/>
        <v>1357.1428571428571</v>
      </c>
      <c r="J672" s="16" t="s">
        <v>201</v>
      </c>
      <c r="K672" s="15"/>
      <c r="L672" s="15"/>
      <c r="M672" s="17"/>
      <c r="N672" s="80"/>
      <c r="O672" s="18">
        <f t="shared" si="195"/>
        <v>0</v>
      </c>
      <c r="P672" s="9"/>
      <c r="Q672" s="9"/>
      <c r="R672" s="72"/>
      <c r="S672" s="10">
        <f t="shared" si="191"/>
        <v>1357.1428571428571</v>
      </c>
    </row>
    <row r="673" spans="2:19" outlineLevel="1">
      <c r="B673" s="13" t="s">
        <v>60</v>
      </c>
      <c r="C673" s="7" t="str">
        <f t="shared" si="192"/>
        <v>VIBRO ACABADORA TEREX VDA 421</v>
      </c>
      <c r="D673" s="8">
        <f t="shared" si="190"/>
        <v>46097</v>
      </c>
      <c r="E673" s="15"/>
      <c r="F673" s="15"/>
      <c r="G673" s="15">
        <f t="shared" si="193"/>
        <v>0</v>
      </c>
      <c r="H673" s="16" t="s">
        <v>6</v>
      </c>
      <c r="I673" s="10">
        <f t="shared" si="194"/>
        <v>1357.1428571428571</v>
      </c>
      <c r="J673" s="16" t="s">
        <v>201</v>
      </c>
      <c r="K673" s="15"/>
      <c r="L673" s="15"/>
      <c r="M673" s="17"/>
      <c r="N673" s="80"/>
      <c r="O673" s="18">
        <f t="shared" si="195"/>
        <v>0</v>
      </c>
      <c r="P673" s="9"/>
      <c r="Q673" s="9"/>
      <c r="R673" s="72"/>
      <c r="S673" s="10">
        <f t="shared" si="191"/>
        <v>1357.1428571428571</v>
      </c>
    </row>
    <row r="674" spans="2:19" outlineLevel="1">
      <c r="B674" s="13" t="s">
        <v>60</v>
      </c>
      <c r="C674" s="7" t="str">
        <f t="shared" si="192"/>
        <v>VIBRO ACABADORA TEREX VDA 421</v>
      </c>
      <c r="D674" s="8">
        <f t="shared" si="190"/>
        <v>46098</v>
      </c>
      <c r="E674" s="15"/>
      <c r="F674" s="15"/>
      <c r="G674" s="15">
        <f t="shared" si="193"/>
        <v>0</v>
      </c>
      <c r="H674" s="16" t="s">
        <v>6</v>
      </c>
      <c r="I674" s="10">
        <f t="shared" si="194"/>
        <v>1357.1428571428571</v>
      </c>
      <c r="J674" s="16" t="s">
        <v>201</v>
      </c>
      <c r="K674" s="15"/>
      <c r="L674" s="15"/>
      <c r="M674" s="17"/>
      <c r="N674" s="80"/>
      <c r="O674" s="18">
        <f t="shared" si="195"/>
        <v>0</v>
      </c>
      <c r="P674" s="9"/>
      <c r="Q674" s="9"/>
      <c r="R674" s="72"/>
      <c r="S674" s="10">
        <f t="shared" si="191"/>
        <v>1357.1428571428571</v>
      </c>
    </row>
    <row r="675" spans="2:19" outlineLevel="1">
      <c r="B675" s="13" t="s">
        <v>60</v>
      </c>
      <c r="C675" s="7" t="str">
        <f t="shared" si="192"/>
        <v>VIBRO ACABADORA TEREX VDA 421</v>
      </c>
      <c r="D675" s="8">
        <f t="shared" si="190"/>
        <v>46099</v>
      </c>
      <c r="E675" s="15"/>
      <c r="F675" s="15"/>
      <c r="G675" s="15">
        <f t="shared" si="193"/>
        <v>0</v>
      </c>
      <c r="H675" s="16" t="s">
        <v>6</v>
      </c>
      <c r="I675" s="10">
        <f t="shared" si="194"/>
        <v>1357.1428571428571</v>
      </c>
      <c r="J675" s="16" t="s">
        <v>201</v>
      </c>
      <c r="K675" s="15"/>
      <c r="L675" s="15"/>
      <c r="M675" s="17"/>
      <c r="N675" s="80"/>
      <c r="O675" s="18">
        <f t="shared" si="195"/>
        <v>0</v>
      </c>
      <c r="P675" s="9"/>
      <c r="Q675" s="9"/>
      <c r="R675" s="72"/>
      <c r="S675" s="10">
        <f t="shared" si="191"/>
        <v>1357.1428571428571</v>
      </c>
    </row>
    <row r="676" spans="2:19" outlineLevel="1">
      <c r="B676" s="13" t="s">
        <v>60</v>
      </c>
      <c r="C676" s="7" t="str">
        <f t="shared" si="192"/>
        <v>VIBRO ACABADORA TEREX VDA 421</v>
      </c>
      <c r="D676" s="8">
        <f t="shared" si="190"/>
        <v>46100</v>
      </c>
      <c r="E676" s="15"/>
      <c r="F676" s="15"/>
      <c r="G676" s="15">
        <f t="shared" si="193"/>
        <v>0</v>
      </c>
      <c r="H676" s="16" t="s">
        <v>6</v>
      </c>
      <c r="I676" s="10">
        <f t="shared" si="194"/>
        <v>1357.1428571428571</v>
      </c>
      <c r="J676" s="16" t="s">
        <v>201</v>
      </c>
      <c r="K676" s="15"/>
      <c r="L676" s="15"/>
      <c r="M676" s="17"/>
      <c r="N676" s="80"/>
      <c r="O676" s="18">
        <f t="shared" si="195"/>
        <v>0</v>
      </c>
      <c r="P676" s="9"/>
      <c r="Q676" s="9"/>
      <c r="R676" s="72"/>
      <c r="S676" s="10">
        <f t="shared" si="191"/>
        <v>1357.1428571428571</v>
      </c>
    </row>
    <row r="677" spans="2:19" outlineLevel="1">
      <c r="B677" s="13" t="s">
        <v>60</v>
      </c>
      <c r="C677" s="7" t="str">
        <f t="shared" si="192"/>
        <v>VIBRO ACABADORA TEREX VDA 421</v>
      </c>
      <c r="D677" s="8">
        <f t="shared" si="190"/>
        <v>46101</v>
      </c>
      <c r="E677" s="15"/>
      <c r="F677" s="15"/>
      <c r="G677" s="15">
        <f t="shared" si="193"/>
        <v>0</v>
      </c>
      <c r="H677" s="16" t="s">
        <v>6</v>
      </c>
      <c r="I677" s="10">
        <f t="shared" si="194"/>
        <v>1357.1428571428571</v>
      </c>
      <c r="J677" s="16" t="s">
        <v>201</v>
      </c>
      <c r="K677" s="15"/>
      <c r="L677" s="15"/>
      <c r="M677" s="17"/>
      <c r="N677" s="80"/>
      <c r="O677" s="18">
        <f t="shared" si="195"/>
        <v>0</v>
      </c>
      <c r="P677" s="9"/>
      <c r="Q677" s="9"/>
      <c r="R677" s="72"/>
      <c r="S677" s="10">
        <f t="shared" si="191"/>
        <v>1357.1428571428571</v>
      </c>
    </row>
    <row r="678" spans="2:19" outlineLevel="1">
      <c r="B678" s="13" t="s">
        <v>60</v>
      </c>
      <c r="C678" s="7" t="str">
        <f t="shared" si="192"/>
        <v>VIBRO ACABADORA TEREX VDA 421</v>
      </c>
      <c r="D678" s="8">
        <f t="shared" si="190"/>
        <v>46102</v>
      </c>
      <c r="E678" s="15"/>
      <c r="F678" s="15"/>
      <c r="G678" s="15">
        <f t="shared" si="193"/>
        <v>0</v>
      </c>
      <c r="H678" s="16" t="s">
        <v>6</v>
      </c>
      <c r="I678" s="10">
        <f t="shared" si="194"/>
        <v>1357.1428571428571</v>
      </c>
      <c r="J678" s="16" t="s">
        <v>201</v>
      </c>
      <c r="K678" s="15"/>
      <c r="L678" s="15"/>
      <c r="M678" s="17"/>
      <c r="N678" s="80"/>
      <c r="O678" s="18">
        <f t="shared" si="195"/>
        <v>0</v>
      </c>
      <c r="P678" s="9"/>
      <c r="Q678" s="9"/>
      <c r="R678" s="72"/>
      <c r="S678" s="10">
        <f t="shared" si="191"/>
        <v>1357.1428571428571</v>
      </c>
    </row>
    <row r="679" spans="2:19" outlineLevel="1">
      <c r="B679" s="13" t="s">
        <v>60</v>
      </c>
      <c r="C679" s="7" t="str">
        <f t="shared" si="192"/>
        <v>VIBRO ACABADORA TEREX VDA 421</v>
      </c>
      <c r="D679" s="8">
        <f t="shared" si="190"/>
        <v>46103</v>
      </c>
      <c r="E679" s="15"/>
      <c r="F679" s="15"/>
      <c r="G679" s="15">
        <f t="shared" si="193"/>
        <v>0</v>
      </c>
      <c r="H679" s="16" t="s">
        <v>6</v>
      </c>
      <c r="I679" s="10">
        <f t="shared" si="194"/>
        <v>1357.1428571428571</v>
      </c>
      <c r="J679" s="16" t="s">
        <v>201</v>
      </c>
      <c r="K679" s="15"/>
      <c r="L679" s="15"/>
      <c r="M679" s="17"/>
      <c r="N679" s="80"/>
      <c r="O679" s="18">
        <f t="shared" si="195"/>
        <v>0</v>
      </c>
      <c r="P679" s="9"/>
      <c r="Q679" s="9"/>
      <c r="R679" s="72"/>
      <c r="S679" s="10">
        <f t="shared" si="191"/>
        <v>1357.1428571428571</v>
      </c>
    </row>
    <row r="680" spans="2:19" outlineLevel="1">
      <c r="B680" s="13" t="s">
        <v>60</v>
      </c>
      <c r="C680" s="7" t="str">
        <f t="shared" si="192"/>
        <v>VIBRO ACABADORA TEREX VDA 421</v>
      </c>
      <c r="D680" s="8">
        <f t="shared" si="190"/>
        <v>46104</v>
      </c>
      <c r="E680" s="15"/>
      <c r="F680" s="15"/>
      <c r="G680" s="15">
        <f t="shared" si="193"/>
        <v>0</v>
      </c>
      <c r="H680" s="16" t="s">
        <v>6</v>
      </c>
      <c r="I680" s="10">
        <f t="shared" si="194"/>
        <v>1357.1428571428571</v>
      </c>
      <c r="J680" s="16" t="s">
        <v>201</v>
      </c>
      <c r="K680" s="15"/>
      <c r="L680" s="15"/>
      <c r="M680" s="17"/>
      <c r="N680" s="80"/>
      <c r="O680" s="18">
        <f t="shared" si="195"/>
        <v>0</v>
      </c>
      <c r="P680" s="9"/>
      <c r="Q680" s="9"/>
      <c r="R680" s="72"/>
      <c r="S680" s="10">
        <f t="shared" si="191"/>
        <v>1357.1428571428571</v>
      </c>
    </row>
    <row r="681" spans="2:19" outlineLevel="1">
      <c r="B681" s="13" t="s">
        <v>60</v>
      </c>
      <c r="C681" s="7" t="str">
        <f t="shared" si="192"/>
        <v>VIBRO ACABADORA TEREX VDA 421</v>
      </c>
      <c r="D681" s="8">
        <f t="shared" si="190"/>
        <v>46105</v>
      </c>
      <c r="E681" s="15"/>
      <c r="F681" s="15"/>
      <c r="G681" s="15">
        <f t="shared" si="193"/>
        <v>0</v>
      </c>
      <c r="H681" s="16" t="s">
        <v>6</v>
      </c>
      <c r="I681" s="10">
        <f t="shared" si="194"/>
        <v>1357.1428571428571</v>
      </c>
      <c r="J681" s="16" t="s">
        <v>201</v>
      </c>
      <c r="K681" s="15"/>
      <c r="L681" s="15"/>
      <c r="M681" s="17"/>
      <c r="N681" s="80"/>
      <c r="O681" s="18">
        <f t="shared" si="195"/>
        <v>0</v>
      </c>
      <c r="P681" s="9"/>
      <c r="Q681" s="9"/>
      <c r="R681" s="72"/>
      <c r="S681" s="10">
        <f t="shared" si="191"/>
        <v>1357.1428571428571</v>
      </c>
    </row>
    <row r="682" spans="2:19" outlineLevel="1">
      <c r="B682" s="13" t="s">
        <v>60</v>
      </c>
      <c r="C682" s="7" t="str">
        <f t="shared" si="192"/>
        <v>VIBRO ACABADORA TEREX VDA 421</v>
      </c>
      <c r="D682" s="8">
        <f t="shared" si="190"/>
        <v>46106</v>
      </c>
      <c r="E682" s="15"/>
      <c r="F682" s="15"/>
      <c r="G682" s="15">
        <f t="shared" si="193"/>
        <v>0</v>
      </c>
      <c r="H682" s="16" t="s">
        <v>6</v>
      </c>
      <c r="I682" s="10">
        <f t="shared" si="194"/>
        <v>1357.1428571428571</v>
      </c>
      <c r="J682" s="16" t="s">
        <v>201</v>
      </c>
      <c r="K682" s="15"/>
      <c r="L682" s="15"/>
      <c r="M682" s="17"/>
      <c r="N682" s="80"/>
      <c r="O682" s="18">
        <f t="shared" si="195"/>
        <v>0</v>
      </c>
      <c r="P682" s="9"/>
      <c r="Q682" s="9"/>
      <c r="R682" s="72"/>
      <c r="S682" s="10">
        <f t="shared" si="191"/>
        <v>1357.1428571428571</v>
      </c>
    </row>
    <row r="683" spans="2:19" outlineLevel="1">
      <c r="B683" s="13" t="s">
        <v>60</v>
      </c>
      <c r="C683" s="7" t="str">
        <f t="shared" si="192"/>
        <v>VIBRO ACABADORA TEREX VDA 421</v>
      </c>
      <c r="D683" s="8">
        <f t="shared" si="190"/>
        <v>46107</v>
      </c>
      <c r="E683" s="15"/>
      <c r="F683" s="15"/>
      <c r="G683" s="15">
        <f t="shared" si="193"/>
        <v>0</v>
      </c>
      <c r="H683" s="16" t="s">
        <v>6</v>
      </c>
      <c r="I683" s="10">
        <f t="shared" si="194"/>
        <v>1357.1428571428571</v>
      </c>
      <c r="J683" s="16" t="s">
        <v>201</v>
      </c>
      <c r="K683" s="15"/>
      <c r="L683" s="15"/>
      <c r="M683" s="17"/>
      <c r="N683" s="80"/>
      <c r="O683" s="18">
        <f t="shared" si="195"/>
        <v>0</v>
      </c>
      <c r="P683" s="9"/>
      <c r="Q683" s="9"/>
      <c r="R683" s="72"/>
      <c r="S683" s="10">
        <f t="shared" si="191"/>
        <v>1357.1428571428571</v>
      </c>
    </row>
    <row r="684" spans="2:19" outlineLevel="1">
      <c r="B684" s="13" t="s">
        <v>60</v>
      </c>
      <c r="C684" s="7" t="str">
        <f t="shared" si="192"/>
        <v>VIBRO ACABADORA TEREX VDA 421</v>
      </c>
      <c r="D684" s="8">
        <f t="shared" si="190"/>
        <v>46108</v>
      </c>
      <c r="E684" s="15"/>
      <c r="F684" s="15"/>
      <c r="G684" s="15">
        <f t="shared" si="193"/>
        <v>0</v>
      </c>
      <c r="H684" s="16" t="s">
        <v>6</v>
      </c>
      <c r="I684" s="10">
        <f t="shared" si="194"/>
        <v>1357.1428571428571</v>
      </c>
      <c r="J684" s="16" t="s">
        <v>201</v>
      </c>
      <c r="K684" s="15"/>
      <c r="L684" s="15"/>
      <c r="M684" s="17"/>
      <c r="N684" s="80"/>
      <c r="O684" s="18">
        <f t="shared" si="195"/>
        <v>0</v>
      </c>
      <c r="P684" s="9"/>
      <c r="Q684" s="9"/>
      <c r="R684" s="72"/>
      <c r="S684" s="10">
        <f t="shared" si="191"/>
        <v>1357.1428571428571</v>
      </c>
    </row>
    <row r="685" spans="2:19" outlineLevel="1">
      <c r="B685" s="13" t="s">
        <v>60</v>
      </c>
      <c r="C685" s="7" t="str">
        <f t="shared" si="192"/>
        <v>VIBRO ACABADORA TEREX VDA 421</v>
      </c>
      <c r="D685" s="8">
        <f t="shared" ref="D685" si="196">D617</f>
        <v>46109</v>
      </c>
      <c r="E685" s="15"/>
      <c r="F685" s="15"/>
      <c r="G685" s="15">
        <f t="shared" ref="G685:G687" si="197">F685-E685</f>
        <v>0</v>
      </c>
      <c r="H685" s="16" t="s">
        <v>6</v>
      </c>
      <c r="I685" s="10">
        <f>I681</f>
        <v>1357.1428571428571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8">SUM(R685+Q685+I685)</f>
        <v>1357.1428571428571</v>
      </c>
    </row>
    <row r="686" spans="2:19" outlineLevel="1">
      <c r="B686" s="13" t="s">
        <v>60</v>
      </c>
      <c r="C686" s="7" t="str">
        <f t="shared" si="192"/>
        <v>VIBRO ACABADORA TEREX VDA 421</v>
      </c>
      <c r="D686" s="8">
        <f t="shared" ref="D686:D688" si="199">D618</f>
        <v>46110</v>
      </c>
      <c r="E686" s="15"/>
      <c r="F686" s="15"/>
      <c r="G686" s="15">
        <f t="shared" si="197"/>
        <v>0</v>
      </c>
      <c r="H686" s="16" t="s">
        <v>6</v>
      </c>
      <c r="I686" s="10">
        <f>I682</f>
        <v>1357.1428571428571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8"/>
        <v>1357.1428571428571</v>
      </c>
    </row>
    <row r="687" spans="2:19" outlineLevel="1">
      <c r="B687" s="13" t="s">
        <v>60</v>
      </c>
      <c r="C687" s="7" t="str">
        <f t="shared" si="192"/>
        <v>VIBRO ACABADORA TEREX VDA 421</v>
      </c>
      <c r="D687" s="8">
        <f t="shared" si="199"/>
        <v>46111</v>
      </c>
      <c r="E687" s="15"/>
      <c r="F687" s="15"/>
      <c r="G687" s="15">
        <f t="shared" si="197"/>
        <v>0</v>
      </c>
      <c r="H687" s="16" t="s">
        <v>6</v>
      </c>
      <c r="I687" s="10">
        <f>I683</f>
        <v>1357.1428571428571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8"/>
        <v>1357.1428571428571</v>
      </c>
    </row>
    <row r="688" spans="2:19" outlineLevel="1">
      <c r="B688" s="13" t="s">
        <v>60</v>
      </c>
      <c r="C688" s="7" t="str">
        <f t="shared" si="192"/>
        <v>VIBRO ACABADORA TEREX VDA 421</v>
      </c>
      <c r="D688" s="8">
        <f t="shared" si="199"/>
        <v>46112</v>
      </c>
      <c r="E688" s="15"/>
      <c r="F688" s="15"/>
      <c r="G688" s="15">
        <f t="shared" si="193"/>
        <v>0</v>
      </c>
      <c r="H688" s="16" t="s">
        <v>6</v>
      </c>
      <c r="I688" s="10">
        <f>I684</f>
        <v>1357.1428571428571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91"/>
        <v>1357.1428571428571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5" t="str">
        <f>M$1</f>
        <v>BM JANEIRO 2026</v>
      </c>
      <c r="N690" s="135"/>
      <c r="O690" s="135"/>
      <c r="P690" s="19" t="s">
        <v>10</v>
      </c>
      <c r="Q690" s="136" t="s">
        <v>267</v>
      </c>
      <c r="R690" s="136"/>
      <c r="S690" s="136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200">D624</f>
        <v>46082</v>
      </c>
      <c r="E692" s="15"/>
      <c r="F692" s="15"/>
      <c r="G692" s="15">
        <f t="shared" ref="G692:G695" si="201">F692-E692</f>
        <v>0</v>
      </c>
      <c r="H692" s="16" t="s">
        <v>273</v>
      </c>
      <c r="I692" s="10">
        <f>P692</f>
        <v>1607.1428571428571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O692/28</f>
        <v>1607.1428571428571</v>
      </c>
      <c r="Q692" s="9"/>
      <c r="R692" s="9"/>
      <c r="S692" s="10">
        <f>SUM(R692+Q692+I692)</f>
        <v>1607.1428571428571</v>
      </c>
    </row>
    <row r="693" spans="2:20" outlineLevel="1">
      <c r="B693" s="13" t="s">
        <v>62</v>
      </c>
      <c r="C693" s="7" t="str">
        <f t="shared" ref="C693:C722" si="202">C$690</f>
        <v>VIBRO ACABADORA CIBER 4500 NOVA</v>
      </c>
      <c r="D693" s="8">
        <f t="shared" si="200"/>
        <v>46083</v>
      </c>
      <c r="E693" s="15"/>
      <c r="F693" s="15"/>
      <c r="G693" s="15">
        <f t="shared" si="201"/>
        <v>0</v>
      </c>
      <c r="H693" s="16" t="s">
        <v>273</v>
      </c>
      <c r="I693" s="10">
        <f>I692</f>
        <v>1607.1428571428571</v>
      </c>
      <c r="J693" s="16" t="s">
        <v>16</v>
      </c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203">SUM(R693+Q693+I693)</f>
        <v>1607.1428571428571</v>
      </c>
    </row>
    <row r="694" spans="2:20" outlineLevel="1">
      <c r="B694" s="13" t="s">
        <v>62</v>
      </c>
      <c r="C694" s="7" t="str">
        <f t="shared" si="202"/>
        <v>VIBRO ACABADORA CIBER 4500 NOVA</v>
      </c>
      <c r="D694" s="8">
        <f t="shared" si="200"/>
        <v>46084</v>
      </c>
      <c r="E694" s="15">
        <v>2275</v>
      </c>
      <c r="F694" s="15">
        <v>2283</v>
      </c>
      <c r="G694" s="15">
        <f t="shared" si="201"/>
        <v>8</v>
      </c>
      <c r="H694" s="16" t="s">
        <v>273</v>
      </c>
      <c r="I694" s="10">
        <f t="shared" ref="I694:I718" si="204">I693</f>
        <v>1607.1428571428571</v>
      </c>
      <c r="J694" s="16"/>
      <c r="K694" s="15">
        <v>1</v>
      </c>
      <c r="L694" s="15">
        <v>48.95</v>
      </c>
      <c r="M694" s="17">
        <v>46056</v>
      </c>
      <c r="N694" s="80"/>
      <c r="O694" s="9"/>
      <c r="P694" s="9"/>
      <c r="Q694" s="9"/>
      <c r="R694" s="9"/>
      <c r="S694" s="10">
        <f t="shared" si="203"/>
        <v>1607.1428571428571</v>
      </c>
    </row>
    <row r="695" spans="2:20" outlineLevel="1">
      <c r="B695" s="13" t="s">
        <v>62</v>
      </c>
      <c r="C695" s="7" t="str">
        <f t="shared" si="202"/>
        <v>VIBRO ACABADORA CIBER 4500 NOVA</v>
      </c>
      <c r="D695" s="8">
        <f t="shared" si="200"/>
        <v>46085</v>
      </c>
      <c r="E695" s="15">
        <v>2283</v>
      </c>
      <c r="F695" s="15">
        <v>2283.9</v>
      </c>
      <c r="G695" s="15">
        <f t="shared" si="201"/>
        <v>0.90000000000009095</v>
      </c>
      <c r="H695" s="16" t="s">
        <v>277</v>
      </c>
      <c r="I695" s="10">
        <f t="shared" si="204"/>
        <v>1607.1428571428571</v>
      </c>
      <c r="J695" s="16"/>
      <c r="K695" s="15">
        <v>1</v>
      </c>
      <c r="L695" s="15">
        <v>47.725000000000001</v>
      </c>
      <c r="M695" s="17">
        <v>46057</v>
      </c>
      <c r="N695" s="80"/>
      <c r="O695" s="9"/>
      <c r="P695" s="9"/>
      <c r="Q695" s="9"/>
      <c r="R695" s="9"/>
      <c r="S695" s="10">
        <f t="shared" si="203"/>
        <v>1607.1428571428571</v>
      </c>
    </row>
    <row r="696" spans="2:20" outlineLevel="1">
      <c r="B696" s="13" t="s">
        <v>62</v>
      </c>
      <c r="C696" s="7" t="str">
        <f t="shared" si="202"/>
        <v>VIBRO ACABADORA CIBER 4500 NOVA</v>
      </c>
      <c r="D696" s="8">
        <f t="shared" si="200"/>
        <v>46086</v>
      </c>
      <c r="E696" s="15"/>
      <c r="F696" s="15"/>
      <c r="G696" s="15">
        <f t="shared" ref="G696:G722" si="205">F696-E696</f>
        <v>0</v>
      </c>
      <c r="H696" s="16" t="s">
        <v>277</v>
      </c>
      <c r="I696" s="10">
        <f t="shared" si="204"/>
        <v>1607.1428571428571</v>
      </c>
      <c r="J696" s="16" t="s">
        <v>16</v>
      </c>
      <c r="K696" s="15"/>
      <c r="L696" s="15"/>
      <c r="M696" s="17"/>
      <c r="N696" s="80"/>
      <c r="O696" s="9"/>
      <c r="P696" s="9"/>
      <c r="Q696" s="9"/>
      <c r="R696" s="9"/>
      <c r="S696" s="10">
        <f t="shared" si="203"/>
        <v>1607.1428571428571</v>
      </c>
    </row>
    <row r="697" spans="2:20" outlineLevel="1">
      <c r="B697" s="13" t="s">
        <v>62</v>
      </c>
      <c r="C697" s="7" t="str">
        <f t="shared" si="202"/>
        <v>VIBRO ACABADORA CIBER 4500 NOVA</v>
      </c>
      <c r="D697" s="8">
        <f t="shared" si="200"/>
        <v>46087</v>
      </c>
      <c r="E697" s="15">
        <v>2283.9</v>
      </c>
      <c r="F697" s="15">
        <v>2299.1</v>
      </c>
      <c r="G697" s="15">
        <f t="shared" si="205"/>
        <v>15.199999999999818</v>
      </c>
      <c r="H697" s="16" t="s">
        <v>277</v>
      </c>
      <c r="I697" s="10">
        <f t="shared" si="204"/>
        <v>1607.1428571428571</v>
      </c>
      <c r="J697" s="16"/>
      <c r="K697" s="15">
        <v>1</v>
      </c>
      <c r="L697" s="15">
        <v>40</v>
      </c>
      <c r="M697" s="17">
        <v>46059</v>
      </c>
      <c r="N697" s="80"/>
      <c r="O697" s="9"/>
      <c r="P697" s="9"/>
      <c r="Q697" s="9"/>
      <c r="R697" s="9"/>
      <c r="S697" s="10">
        <f t="shared" si="203"/>
        <v>1607.1428571428571</v>
      </c>
    </row>
    <row r="698" spans="2:20" outlineLevel="1">
      <c r="B698" s="13" t="s">
        <v>62</v>
      </c>
      <c r="C698" s="7" t="str">
        <f t="shared" si="202"/>
        <v>VIBRO ACABADORA CIBER 4500 NOVA</v>
      </c>
      <c r="D698" s="8">
        <f t="shared" si="200"/>
        <v>46088</v>
      </c>
      <c r="E698" s="15"/>
      <c r="F698" s="15"/>
      <c r="G698" s="15">
        <f t="shared" si="205"/>
        <v>0</v>
      </c>
      <c r="H698" s="16" t="s">
        <v>277</v>
      </c>
      <c r="I698" s="10">
        <f t="shared" si="204"/>
        <v>1607.1428571428571</v>
      </c>
      <c r="J698" s="16" t="s">
        <v>16</v>
      </c>
      <c r="K698" s="15"/>
      <c r="L698" s="15">
        <v>40.079000000000001</v>
      </c>
      <c r="M698" s="17">
        <v>46060</v>
      </c>
      <c r="N698" s="80"/>
      <c r="O698" s="18"/>
      <c r="P698" s="9"/>
      <c r="Q698" s="9"/>
      <c r="R698" s="9"/>
      <c r="S698" s="10">
        <f t="shared" si="203"/>
        <v>1607.1428571428571</v>
      </c>
    </row>
    <row r="699" spans="2:20" outlineLevel="1">
      <c r="B699" s="13" t="s">
        <v>62</v>
      </c>
      <c r="C699" s="7" t="str">
        <f t="shared" si="202"/>
        <v>VIBRO ACABADORA CIBER 4500 NOVA</v>
      </c>
      <c r="D699" s="8">
        <f t="shared" si="200"/>
        <v>46089</v>
      </c>
      <c r="E699" s="15"/>
      <c r="F699" s="15"/>
      <c r="G699" s="15">
        <f t="shared" si="205"/>
        <v>0</v>
      </c>
      <c r="H699" s="16" t="s">
        <v>277</v>
      </c>
      <c r="I699" s="10">
        <f t="shared" si="204"/>
        <v>1607.1428571428571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3"/>
        <v>1607.1428571428571</v>
      </c>
    </row>
    <row r="700" spans="2:20" outlineLevel="1">
      <c r="B700" s="13" t="s">
        <v>62</v>
      </c>
      <c r="C700" s="7" t="str">
        <f t="shared" si="202"/>
        <v>VIBRO ACABADORA CIBER 4500 NOVA</v>
      </c>
      <c r="D700" s="8">
        <f t="shared" si="200"/>
        <v>46090</v>
      </c>
      <c r="E700" s="15"/>
      <c r="F700" s="15"/>
      <c r="G700" s="15">
        <f t="shared" si="205"/>
        <v>0</v>
      </c>
      <c r="H700" s="16" t="s">
        <v>277</v>
      </c>
      <c r="I700" s="10">
        <f t="shared" si="204"/>
        <v>1607.1428571428571</v>
      </c>
      <c r="J700" s="16"/>
      <c r="K700" s="15">
        <v>1</v>
      </c>
      <c r="L700" s="15" t="s">
        <v>280</v>
      </c>
      <c r="M700" s="17"/>
      <c r="N700" s="80"/>
      <c r="O700" s="18"/>
      <c r="P700" s="9"/>
      <c r="Q700" s="9"/>
      <c r="R700" s="9"/>
      <c r="S700" s="10">
        <f t="shared" si="203"/>
        <v>1607.1428571428571</v>
      </c>
    </row>
    <row r="701" spans="2:20" outlineLevel="1">
      <c r="B701" s="13" t="s">
        <v>62</v>
      </c>
      <c r="C701" s="7" t="str">
        <f t="shared" si="202"/>
        <v>VIBRO ACABADORA CIBER 4500 NOVA</v>
      </c>
      <c r="D701" s="8">
        <f t="shared" si="200"/>
        <v>46091</v>
      </c>
      <c r="E701" s="15"/>
      <c r="F701" s="15"/>
      <c r="G701" s="15">
        <f t="shared" si="205"/>
        <v>0</v>
      </c>
      <c r="H701" s="16" t="s">
        <v>277</v>
      </c>
      <c r="I701" s="10">
        <f t="shared" si="204"/>
        <v>1607.1428571428571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3"/>
        <v>1607.1428571428571</v>
      </c>
    </row>
    <row r="702" spans="2:20" outlineLevel="1">
      <c r="B702" s="13" t="s">
        <v>62</v>
      </c>
      <c r="C702" s="7" t="str">
        <f t="shared" si="202"/>
        <v>VIBRO ACABADORA CIBER 4500 NOVA</v>
      </c>
      <c r="D702" s="8">
        <f t="shared" si="200"/>
        <v>46092</v>
      </c>
      <c r="E702" s="15"/>
      <c r="F702" s="15"/>
      <c r="G702" s="15">
        <f t="shared" si="205"/>
        <v>0</v>
      </c>
      <c r="H702" s="16" t="s">
        <v>277</v>
      </c>
      <c r="I702" s="10">
        <f t="shared" si="204"/>
        <v>1607.1428571428571</v>
      </c>
      <c r="J702" s="16" t="s">
        <v>16</v>
      </c>
      <c r="K702" s="15"/>
      <c r="L702" s="15"/>
      <c r="M702" s="17"/>
      <c r="N702" s="80"/>
      <c r="O702" s="18">
        <f t="shared" ref="O702:O718" si="206">O701</f>
        <v>0</v>
      </c>
      <c r="P702" s="9"/>
      <c r="Q702" s="9"/>
      <c r="R702" s="9"/>
      <c r="S702" s="10">
        <f t="shared" si="203"/>
        <v>1607.1428571428571</v>
      </c>
    </row>
    <row r="703" spans="2:20" outlineLevel="1">
      <c r="B703" s="13" t="s">
        <v>62</v>
      </c>
      <c r="C703" s="7" t="str">
        <f t="shared" si="202"/>
        <v>VIBRO ACABADORA CIBER 4500 NOVA</v>
      </c>
      <c r="D703" s="8">
        <f t="shared" si="200"/>
        <v>46093</v>
      </c>
      <c r="E703" s="15"/>
      <c r="F703" s="15"/>
      <c r="G703" s="15">
        <f t="shared" si="205"/>
        <v>0</v>
      </c>
      <c r="H703" s="16" t="s">
        <v>277</v>
      </c>
      <c r="I703" s="10">
        <f t="shared" si="204"/>
        <v>1607.1428571428571</v>
      </c>
      <c r="J703" s="16" t="s">
        <v>16</v>
      </c>
      <c r="K703" s="15"/>
      <c r="L703" s="15"/>
      <c r="M703" s="17"/>
      <c r="N703" s="80"/>
      <c r="O703" s="18">
        <f t="shared" si="206"/>
        <v>0</v>
      </c>
      <c r="P703" s="9"/>
      <c r="Q703" s="9"/>
      <c r="R703" s="9"/>
      <c r="S703" s="10">
        <f t="shared" si="203"/>
        <v>1607.1428571428571</v>
      </c>
      <c r="T703" s="76"/>
    </row>
    <row r="704" spans="2:20" outlineLevel="1">
      <c r="B704" s="13" t="s">
        <v>62</v>
      </c>
      <c r="C704" s="7" t="str">
        <f t="shared" si="202"/>
        <v>VIBRO ACABADORA CIBER 4500 NOVA</v>
      </c>
      <c r="D704" s="8">
        <f t="shared" si="200"/>
        <v>46094</v>
      </c>
      <c r="E704" s="15"/>
      <c r="F704" s="15"/>
      <c r="G704" s="15">
        <f t="shared" si="205"/>
        <v>0</v>
      </c>
      <c r="H704" s="16" t="s">
        <v>277</v>
      </c>
      <c r="I704" s="10">
        <f t="shared" si="204"/>
        <v>1607.1428571428571</v>
      </c>
      <c r="J704" s="16" t="s">
        <v>16</v>
      </c>
      <c r="K704" s="15"/>
      <c r="L704" s="15"/>
      <c r="M704" s="17"/>
      <c r="N704" s="80"/>
      <c r="O704" s="18">
        <f t="shared" si="206"/>
        <v>0</v>
      </c>
      <c r="P704" s="9"/>
      <c r="Q704" s="9"/>
      <c r="R704" s="9"/>
      <c r="S704" s="10">
        <f t="shared" si="203"/>
        <v>1607.1428571428571</v>
      </c>
    </row>
    <row r="705" spans="2:19" outlineLevel="1">
      <c r="B705" s="13" t="s">
        <v>62</v>
      </c>
      <c r="C705" s="7" t="str">
        <f t="shared" si="202"/>
        <v>VIBRO ACABADORA CIBER 4500 NOVA</v>
      </c>
      <c r="D705" s="8">
        <f t="shared" si="200"/>
        <v>46095</v>
      </c>
      <c r="E705" s="15"/>
      <c r="F705" s="15"/>
      <c r="G705" s="15">
        <f t="shared" si="205"/>
        <v>0</v>
      </c>
      <c r="H705" s="16" t="s">
        <v>277</v>
      </c>
      <c r="I705" s="10">
        <f t="shared" si="204"/>
        <v>1607.1428571428571</v>
      </c>
      <c r="J705" s="16" t="s">
        <v>16</v>
      </c>
      <c r="K705" s="15"/>
      <c r="L705" s="15"/>
      <c r="M705" s="17"/>
      <c r="N705" s="80"/>
      <c r="O705" s="18">
        <f t="shared" si="206"/>
        <v>0</v>
      </c>
      <c r="P705" s="9"/>
      <c r="Q705" s="9"/>
      <c r="R705" s="9"/>
      <c r="S705" s="10">
        <f t="shared" si="203"/>
        <v>1607.1428571428571</v>
      </c>
    </row>
    <row r="706" spans="2:19" outlineLevel="1">
      <c r="B706" s="13" t="s">
        <v>62</v>
      </c>
      <c r="C706" s="7" t="str">
        <f t="shared" si="202"/>
        <v>VIBRO ACABADORA CIBER 4500 NOVA</v>
      </c>
      <c r="D706" s="8">
        <f t="shared" si="200"/>
        <v>46096</v>
      </c>
      <c r="E706" s="15"/>
      <c r="F706" s="15"/>
      <c r="G706" s="15">
        <f t="shared" si="205"/>
        <v>0</v>
      </c>
      <c r="H706" s="16" t="s">
        <v>277</v>
      </c>
      <c r="I706" s="10">
        <f t="shared" si="204"/>
        <v>1607.1428571428571</v>
      </c>
      <c r="J706" s="16" t="s">
        <v>16</v>
      </c>
      <c r="K706" s="15"/>
      <c r="L706" s="15"/>
      <c r="M706" s="17"/>
      <c r="N706" s="80"/>
      <c r="O706" s="18">
        <f t="shared" si="206"/>
        <v>0</v>
      </c>
      <c r="P706" s="9"/>
      <c r="Q706" s="9"/>
      <c r="R706" s="9"/>
      <c r="S706" s="10">
        <f t="shared" si="203"/>
        <v>1607.1428571428571</v>
      </c>
    </row>
    <row r="707" spans="2:19" outlineLevel="1">
      <c r="B707" s="13" t="s">
        <v>62</v>
      </c>
      <c r="C707" s="7" t="str">
        <f t="shared" si="202"/>
        <v>VIBRO ACABADORA CIBER 4500 NOVA</v>
      </c>
      <c r="D707" s="8">
        <f t="shared" si="200"/>
        <v>46097</v>
      </c>
      <c r="E707" s="15"/>
      <c r="F707" s="15"/>
      <c r="G707" s="15">
        <f t="shared" si="205"/>
        <v>0</v>
      </c>
      <c r="H707" s="16" t="s">
        <v>277</v>
      </c>
      <c r="I707" s="10">
        <f t="shared" si="204"/>
        <v>1607.1428571428571</v>
      </c>
      <c r="J707" s="16" t="s">
        <v>16</v>
      </c>
      <c r="K707" s="15"/>
      <c r="L707" s="15"/>
      <c r="M707" s="17"/>
      <c r="N707" s="80"/>
      <c r="O707" s="18">
        <f t="shared" si="206"/>
        <v>0</v>
      </c>
      <c r="P707" s="9"/>
      <c r="Q707" s="9"/>
      <c r="R707" s="9"/>
      <c r="S707" s="10">
        <f t="shared" si="203"/>
        <v>1607.1428571428571</v>
      </c>
    </row>
    <row r="708" spans="2:19" outlineLevel="1">
      <c r="B708" s="13" t="s">
        <v>62</v>
      </c>
      <c r="C708" s="7" t="str">
        <f t="shared" si="202"/>
        <v>VIBRO ACABADORA CIBER 4500 NOVA</v>
      </c>
      <c r="D708" s="8">
        <f t="shared" si="200"/>
        <v>46098</v>
      </c>
      <c r="E708" s="15"/>
      <c r="F708" s="15"/>
      <c r="G708" s="15">
        <f t="shared" si="205"/>
        <v>0</v>
      </c>
      <c r="H708" s="16" t="s">
        <v>277</v>
      </c>
      <c r="I708" s="10">
        <f t="shared" si="204"/>
        <v>1607.1428571428571</v>
      </c>
      <c r="J708" s="16" t="s">
        <v>16</v>
      </c>
      <c r="K708" s="15"/>
      <c r="L708" s="15"/>
      <c r="M708" s="17"/>
      <c r="N708" s="80"/>
      <c r="O708" s="18">
        <f t="shared" si="206"/>
        <v>0</v>
      </c>
      <c r="P708" s="9"/>
      <c r="Q708" s="9"/>
      <c r="R708" s="9"/>
      <c r="S708" s="10">
        <f t="shared" si="203"/>
        <v>1607.1428571428571</v>
      </c>
    </row>
    <row r="709" spans="2:19" outlineLevel="1">
      <c r="B709" s="13" t="s">
        <v>62</v>
      </c>
      <c r="C709" s="7" t="str">
        <f t="shared" si="202"/>
        <v>VIBRO ACABADORA CIBER 4500 NOVA</v>
      </c>
      <c r="D709" s="8">
        <f t="shared" si="200"/>
        <v>46099</v>
      </c>
      <c r="E709" s="15"/>
      <c r="F709" s="15"/>
      <c r="G709" s="15">
        <f t="shared" si="205"/>
        <v>0</v>
      </c>
      <c r="H709" s="16" t="s">
        <v>277</v>
      </c>
      <c r="I709" s="10">
        <f t="shared" si="204"/>
        <v>1607.1428571428571</v>
      </c>
      <c r="J709" s="16" t="s">
        <v>16</v>
      </c>
      <c r="K709" s="15"/>
      <c r="L709" s="15"/>
      <c r="M709" s="17"/>
      <c r="N709" s="80"/>
      <c r="O709" s="18">
        <f t="shared" si="206"/>
        <v>0</v>
      </c>
      <c r="P709" s="9"/>
      <c r="Q709" s="9"/>
      <c r="R709" s="9"/>
      <c r="S709" s="10">
        <f t="shared" si="203"/>
        <v>1607.1428571428571</v>
      </c>
    </row>
    <row r="710" spans="2:19" outlineLevel="1">
      <c r="B710" s="13" t="s">
        <v>62</v>
      </c>
      <c r="C710" s="7" t="str">
        <f t="shared" si="202"/>
        <v>VIBRO ACABADORA CIBER 4500 NOVA</v>
      </c>
      <c r="D710" s="8">
        <f t="shared" si="200"/>
        <v>46100</v>
      </c>
      <c r="E710" s="15">
        <v>2299.1</v>
      </c>
      <c r="F710" s="15">
        <v>2319</v>
      </c>
      <c r="G710" s="15">
        <f t="shared" si="205"/>
        <v>19.900000000000091</v>
      </c>
      <c r="H710" s="16" t="s">
        <v>287</v>
      </c>
      <c r="I710" s="10">
        <f t="shared" si="204"/>
        <v>1607.1428571428571</v>
      </c>
      <c r="J710" s="16"/>
      <c r="K710" s="15">
        <v>1</v>
      </c>
      <c r="L710" s="15">
        <v>40</v>
      </c>
      <c r="M710" s="17">
        <v>46072</v>
      </c>
      <c r="N710" s="80"/>
      <c r="O710" s="18">
        <f t="shared" si="206"/>
        <v>0</v>
      </c>
      <c r="P710" s="9"/>
      <c r="Q710" s="9"/>
      <c r="R710" s="9"/>
      <c r="S710" s="10">
        <f t="shared" si="203"/>
        <v>1607.1428571428571</v>
      </c>
    </row>
    <row r="711" spans="2:19" outlineLevel="1">
      <c r="B711" s="13" t="s">
        <v>62</v>
      </c>
      <c r="C711" s="7" t="str">
        <f t="shared" si="202"/>
        <v>VIBRO ACABADORA CIBER 4500 NOVA</v>
      </c>
      <c r="D711" s="8">
        <f t="shared" si="200"/>
        <v>46101</v>
      </c>
      <c r="E711" s="15"/>
      <c r="F711" s="15"/>
      <c r="G711" s="15">
        <f t="shared" si="205"/>
        <v>0</v>
      </c>
      <c r="H711" s="16" t="s">
        <v>287</v>
      </c>
      <c r="I711" s="10">
        <f t="shared" si="204"/>
        <v>1607.1428571428571</v>
      </c>
      <c r="J711" s="16" t="s">
        <v>16</v>
      </c>
      <c r="K711" s="15"/>
      <c r="L711" s="15"/>
      <c r="M711" s="17"/>
      <c r="N711" s="80"/>
      <c r="O711" s="18">
        <f t="shared" si="206"/>
        <v>0</v>
      </c>
      <c r="P711" s="9"/>
      <c r="Q711" s="9"/>
      <c r="R711" s="9"/>
      <c r="S711" s="10">
        <f t="shared" si="203"/>
        <v>1607.1428571428571</v>
      </c>
    </row>
    <row r="712" spans="2:19" outlineLevel="1">
      <c r="B712" s="13" t="s">
        <v>62</v>
      </c>
      <c r="C712" s="7" t="str">
        <f t="shared" si="202"/>
        <v>VIBRO ACABADORA CIBER 4500 NOVA</v>
      </c>
      <c r="D712" s="8">
        <f t="shared" si="200"/>
        <v>46102</v>
      </c>
      <c r="E712" s="15"/>
      <c r="F712" s="15"/>
      <c r="G712" s="15">
        <f t="shared" si="205"/>
        <v>0</v>
      </c>
      <c r="H712" s="16" t="s">
        <v>287</v>
      </c>
      <c r="I712" s="10">
        <f t="shared" si="204"/>
        <v>1607.1428571428571</v>
      </c>
      <c r="J712" s="16" t="s">
        <v>16</v>
      </c>
      <c r="K712" s="15"/>
      <c r="L712" s="15"/>
      <c r="M712" s="17"/>
      <c r="N712" s="80"/>
      <c r="O712" s="18">
        <f t="shared" si="206"/>
        <v>0</v>
      </c>
      <c r="P712" s="9"/>
      <c r="Q712" s="9"/>
      <c r="R712" s="9"/>
      <c r="S712" s="10">
        <f t="shared" si="203"/>
        <v>1607.1428571428571</v>
      </c>
    </row>
    <row r="713" spans="2:19" outlineLevel="1">
      <c r="B713" s="13" t="s">
        <v>62</v>
      </c>
      <c r="C713" s="7" t="str">
        <f t="shared" si="202"/>
        <v>VIBRO ACABADORA CIBER 4500 NOVA</v>
      </c>
      <c r="D713" s="8">
        <f t="shared" si="200"/>
        <v>46103</v>
      </c>
      <c r="E713" s="15"/>
      <c r="F713" s="15"/>
      <c r="G713" s="15">
        <f t="shared" si="205"/>
        <v>0</v>
      </c>
      <c r="H713" s="16" t="s">
        <v>287</v>
      </c>
      <c r="I713" s="10">
        <f t="shared" si="204"/>
        <v>1607.1428571428571</v>
      </c>
      <c r="J713" s="16" t="s">
        <v>16</v>
      </c>
      <c r="K713" s="15"/>
      <c r="L713" s="15"/>
      <c r="M713" s="17"/>
      <c r="N713" s="80"/>
      <c r="O713" s="18">
        <f t="shared" si="206"/>
        <v>0</v>
      </c>
      <c r="P713" s="9"/>
      <c r="Q713" s="9"/>
      <c r="R713" s="9"/>
      <c r="S713" s="10">
        <f t="shared" si="203"/>
        <v>1607.1428571428571</v>
      </c>
    </row>
    <row r="714" spans="2:19" outlineLevel="1">
      <c r="B714" s="13" t="s">
        <v>62</v>
      </c>
      <c r="C714" s="7" t="str">
        <f t="shared" si="202"/>
        <v>VIBRO ACABADORA CIBER 4500 NOVA</v>
      </c>
      <c r="D714" s="8">
        <f t="shared" si="200"/>
        <v>46104</v>
      </c>
      <c r="E714" s="15">
        <v>2319</v>
      </c>
      <c r="F714" s="15">
        <v>2326.5</v>
      </c>
      <c r="G714" s="15">
        <f t="shared" si="205"/>
        <v>7.5</v>
      </c>
      <c r="H714" s="16" t="s">
        <v>287</v>
      </c>
      <c r="I714" s="10">
        <f t="shared" si="204"/>
        <v>1607.1428571428571</v>
      </c>
      <c r="J714" s="16"/>
      <c r="K714" s="15">
        <v>1</v>
      </c>
      <c r="L714" s="15">
        <v>40</v>
      </c>
      <c r="M714" s="17">
        <v>46076</v>
      </c>
      <c r="N714" s="80"/>
      <c r="O714" s="18">
        <f t="shared" si="206"/>
        <v>0</v>
      </c>
      <c r="P714" s="9"/>
      <c r="Q714" s="9"/>
      <c r="R714" s="9"/>
      <c r="S714" s="10">
        <f t="shared" si="203"/>
        <v>1607.1428571428571</v>
      </c>
    </row>
    <row r="715" spans="2:19" outlineLevel="1">
      <c r="B715" s="13" t="s">
        <v>62</v>
      </c>
      <c r="C715" s="7" t="str">
        <f t="shared" si="202"/>
        <v>VIBRO ACABADORA CIBER 4500 NOVA</v>
      </c>
      <c r="D715" s="8">
        <f t="shared" si="200"/>
        <v>46105</v>
      </c>
      <c r="E715" s="15"/>
      <c r="F715" s="15"/>
      <c r="G715" s="15">
        <f t="shared" si="205"/>
        <v>0</v>
      </c>
      <c r="H715" s="16" t="s">
        <v>287</v>
      </c>
      <c r="I715" s="10">
        <f t="shared" si="204"/>
        <v>1607.1428571428571</v>
      </c>
      <c r="J715" s="16" t="s">
        <v>16</v>
      </c>
      <c r="K715" s="15"/>
      <c r="L715" s="15"/>
      <c r="M715" s="17"/>
      <c r="N715" s="80"/>
      <c r="O715" s="18">
        <f t="shared" si="206"/>
        <v>0</v>
      </c>
      <c r="P715" s="9"/>
      <c r="Q715" s="9"/>
      <c r="R715" s="9"/>
      <c r="S715" s="10">
        <f t="shared" si="203"/>
        <v>1607.1428571428571</v>
      </c>
    </row>
    <row r="716" spans="2:19" outlineLevel="1">
      <c r="B716" s="13" t="s">
        <v>62</v>
      </c>
      <c r="C716" s="7" t="str">
        <f t="shared" si="202"/>
        <v>VIBRO ACABADORA CIBER 4500 NOVA</v>
      </c>
      <c r="D716" s="8">
        <f t="shared" si="200"/>
        <v>46106</v>
      </c>
      <c r="E716" s="15">
        <v>2326.5</v>
      </c>
      <c r="F716" s="15">
        <v>2333.8000000000002</v>
      </c>
      <c r="G716" s="15">
        <f t="shared" si="205"/>
        <v>7.3000000000001819</v>
      </c>
      <c r="H716" s="16" t="s">
        <v>287</v>
      </c>
      <c r="I716" s="10">
        <f t="shared" si="204"/>
        <v>1607.1428571428571</v>
      </c>
      <c r="J716" s="16"/>
      <c r="K716" s="15">
        <v>1</v>
      </c>
      <c r="L716" s="15">
        <v>40</v>
      </c>
      <c r="M716" s="17">
        <v>46078</v>
      </c>
      <c r="N716" s="80"/>
      <c r="O716" s="18">
        <f t="shared" si="206"/>
        <v>0</v>
      </c>
      <c r="P716" s="9"/>
      <c r="Q716" s="9"/>
      <c r="R716" s="9"/>
      <c r="S716" s="10">
        <f t="shared" si="203"/>
        <v>1607.1428571428571</v>
      </c>
    </row>
    <row r="717" spans="2:19" outlineLevel="1">
      <c r="B717" s="13" t="s">
        <v>62</v>
      </c>
      <c r="C717" s="7" t="str">
        <f t="shared" si="202"/>
        <v>VIBRO ACABADORA CIBER 4500 NOVA</v>
      </c>
      <c r="D717" s="8">
        <f t="shared" si="200"/>
        <v>46107</v>
      </c>
      <c r="E717" s="15">
        <v>2333.8000000000002</v>
      </c>
      <c r="F717" s="15">
        <v>2335.1999999999998</v>
      </c>
      <c r="G717" s="15">
        <f t="shared" si="205"/>
        <v>1.3999999999996362</v>
      </c>
      <c r="H717" s="16" t="s">
        <v>287</v>
      </c>
      <c r="I717" s="10">
        <f t="shared" si="204"/>
        <v>1607.1428571428571</v>
      </c>
      <c r="J717" s="16"/>
      <c r="K717" s="15">
        <v>1</v>
      </c>
      <c r="L717" s="15">
        <v>40</v>
      </c>
      <c r="M717" s="17">
        <v>46079</v>
      </c>
      <c r="N717" s="80"/>
      <c r="O717" s="18">
        <f t="shared" si="206"/>
        <v>0</v>
      </c>
      <c r="P717" s="9"/>
      <c r="Q717" s="9"/>
      <c r="R717" s="9"/>
      <c r="S717" s="10">
        <f t="shared" si="203"/>
        <v>1607.1428571428571</v>
      </c>
    </row>
    <row r="718" spans="2:19" outlineLevel="1">
      <c r="B718" s="13" t="s">
        <v>62</v>
      </c>
      <c r="C718" s="7" t="str">
        <f t="shared" si="202"/>
        <v>VIBRO ACABADORA CIBER 4500 NOVA</v>
      </c>
      <c r="D718" s="8">
        <f t="shared" si="200"/>
        <v>46108</v>
      </c>
      <c r="E718" s="15"/>
      <c r="F718" s="15"/>
      <c r="G718" s="15">
        <f t="shared" si="205"/>
        <v>0</v>
      </c>
      <c r="H718" s="16" t="s">
        <v>287</v>
      </c>
      <c r="I718" s="10">
        <f t="shared" si="204"/>
        <v>1607.1428571428571</v>
      </c>
      <c r="J718" s="16" t="s">
        <v>16</v>
      </c>
      <c r="K718" s="15"/>
      <c r="L718" s="15"/>
      <c r="M718" s="17"/>
      <c r="N718" s="80"/>
      <c r="O718" s="18">
        <f t="shared" si="206"/>
        <v>0</v>
      </c>
      <c r="P718" s="9"/>
      <c r="Q718" s="9"/>
      <c r="R718" s="9"/>
      <c r="S718" s="10">
        <f t="shared" si="203"/>
        <v>1607.1428571428571</v>
      </c>
    </row>
    <row r="719" spans="2:19" outlineLevel="1">
      <c r="B719" s="13" t="s">
        <v>62</v>
      </c>
      <c r="C719" s="7" t="str">
        <f t="shared" si="202"/>
        <v>VIBRO ACABADORA CIBER 4500 NOVA</v>
      </c>
      <c r="D719" s="8">
        <f t="shared" ref="D719" si="207">D651</f>
        <v>46109</v>
      </c>
      <c r="E719" s="15"/>
      <c r="F719" s="15"/>
      <c r="G719" s="15">
        <f t="shared" ref="G719:G721" si="208">F719-E719</f>
        <v>0</v>
      </c>
      <c r="H719" s="16" t="s">
        <v>287</v>
      </c>
      <c r="I719" s="10">
        <f>I715</f>
        <v>1607.1428571428571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9">SUM(R719+Q719+I719)</f>
        <v>1607.1428571428571</v>
      </c>
    </row>
    <row r="720" spans="2:19" outlineLevel="1">
      <c r="B720" s="13" t="s">
        <v>62</v>
      </c>
      <c r="C720" s="7" t="str">
        <f t="shared" si="202"/>
        <v>VIBRO ACABADORA CIBER 4500 NOVA</v>
      </c>
      <c r="D720" s="8">
        <f t="shared" ref="D720:D722" si="210">D652</f>
        <v>46110</v>
      </c>
      <c r="E720" s="15"/>
      <c r="F720" s="15"/>
      <c r="G720" s="15">
        <f t="shared" si="208"/>
        <v>0</v>
      </c>
      <c r="H720" s="16" t="s">
        <v>287</v>
      </c>
      <c r="I720" s="10">
        <f>I716</f>
        <v>1607.1428571428571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9"/>
        <v>1607.1428571428571</v>
      </c>
    </row>
    <row r="721" spans="2:19" outlineLevel="1">
      <c r="B721" s="13" t="s">
        <v>62</v>
      </c>
      <c r="C721" s="7" t="str">
        <f t="shared" si="202"/>
        <v>VIBRO ACABADORA CIBER 4500 NOVA</v>
      </c>
      <c r="D721" s="8">
        <f t="shared" si="210"/>
        <v>46111</v>
      </c>
      <c r="E721" s="15"/>
      <c r="F721" s="15"/>
      <c r="G721" s="15">
        <f t="shared" si="208"/>
        <v>0</v>
      </c>
      <c r="H721" s="16" t="s">
        <v>287</v>
      </c>
      <c r="I721" s="10">
        <f>I717</f>
        <v>1607.1428571428571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9"/>
        <v>1607.1428571428571</v>
      </c>
    </row>
    <row r="722" spans="2:19" outlineLevel="1">
      <c r="B722" s="13" t="s">
        <v>62</v>
      </c>
      <c r="C722" s="7" t="str">
        <f t="shared" si="202"/>
        <v>VIBRO ACABADORA CIBER 4500 NOVA</v>
      </c>
      <c r="D722" s="8">
        <f t="shared" si="210"/>
        <v>46112</v>
      </c>
      <c r="E722" s="15"/>
      <c r="F722" s="15"/>
      <c r="G722" s="15">
        <f t="shared" si="205"/>
        <v>0</v>
      </c>
      <c r="H722" s="16" t="s">
        <v>287</v>
      </c>
      <c r="I722" s="10">
        <f>I718</f>
        <v>1607.1428571428571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3"/>
        <v>1607.1428571428571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5" t="str">
        <f>M$1</f>
        <v>BM JANEIRO 2026</v>
      </c>
      <c r="N724" s="135"/>
      <c r="O724" s="135"/>
      <c r="P724" s="19" t="s">
        <v>10</v>
      </c>
      <c r="Q724" s="136" t="s">
        <v>198</v>
      </c>
      <c r="R724" s="136"/>
      <c r="S724" s="136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11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428.57142857142856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O726/28</f>
        <v>428.57142857142856</v>
      </c>
      <c r="Q726" s="9"/>
      <c r="R726" s="9"/>
      <c r="S726" s="10">
        <f>SUM(R726+Q726+I726)</f>
        <v>428.57142857142856</v>
      </c>
    </row>
    <row r="727" spans="2:19" outlineLevel="1">
      <c r="B727" s="13" t="s">
        <v>64</v>
      </c>
      <c r="C727" s="7" t="str">
        <f t="shared" ref="C727:C756" si="212">C$724</f>
        <v>CAMINHÃO CAÇAMBA PL GXA 2991</v>
      </c>
      <c r="D727" s="8">
        <f t="shared" si="211"/>
        <v>46083</v>
      </c>
      <c r="E727" s="15"/>
      <c r="F727" s="15"/>
      <c r="G727" s="15">
        <f t="shared" ref="G727:G756" si="213">F727-E727</f>
        <v>0</v>
      </c>
      <c r="H727" s="16" t="s">
        <v>6</v>
      </c>
      <c r="I727" s="10">
        <f>I726</f>
        <v>428.57142857142856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4">SUM(R727+Q727+I727)</f>
        <v>428.57142857142856</v>
      </c>
    </row>
    <row r="728" spans="2:19" outlineLevel="1">
      <c r="B728" s="13" t="s">
        <v>64</v>
      </c>
      <c r="C728" s="7" t="str">
        <f t="shared" si="212"/>
        <v>CAMINHÃO CAÇAMBA PL GXA 2991</v>
      </c>
      <c r="D728" s="8">
        <f t="shared" si="211"/>
        <v>46084</v>
      </c>
      <c r="E728" s="15"/>
      <c r="F728" s="15"/>
      <c r="G728" s="15">
        <f t="shared" si="213"/>
        <v>0</v>
      </c>
      <c r="H728" s="16" t="s">
        <v>6</v>
      </c>
      <c r="I728" s="10">
        <f t="shared" ref="I728:I752" si="215">I727</f>
        <v>428.57142857142856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4"/>
        <v>428.57142857142856</v>
      </c>
    </row>
    <row r="729" spans="2:19" outlineLevel="1">
      <c r="B729" s="13" t="s">
        <v>64</v>
      </c>
      <c r="C729" s="7" t="str">
        <f t="shared" si="212"/>
        <v>CAMINHÃO CAÇAMBA PL GXA 2991</v>
      </c>
      <c r="D729" s="8">
        <f t="shared" si="211"/>
        <v>46085</v>
      </c>
      <c r="E729" s="15"/>
      <c r="F729" s="15"/>
      <c r="G729" s="15">
        <f t="shared" si="213"/>
        <v>0</v>
      </c>
      <c r="H729" s="16" t="s">
        <v>6</v>
      </c>
      <c r="I729" s="10">
        <f t="shared" si="215"/>
        <v>428.57142857142856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4"/>
        <v>428.57142857142856</v>
      </c>
    </row>
    <row r="730" spans="2:19" outlineLevel="1">
      <c r="B730" s="13" t="s">
        <v>64</v>
      </c>
      <c r="C730" s="7" t="str">
        <f t="shared" si="212"/>
        <v>CAMINHÃO CAÇAMBA PL GXA 2991</v>
      </c>
      <c r="D730" s="8">
        <f t="shared" si="211"/>
        <v>46086</v>
      </c>
      <c r="E730" s="15"/>
      <c r="F730" s="15"/>
      <c r="G730" s="15">
        <f t="shared" si="213"/>
        <v>0</v>
      </c>
      <c r="H730" s="16" t="s">
        <v>6</v>
      </c>
      <c r="I730" s="10">
        <f t="shared" si="215"/>
        <v>428.57142857142856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4"/>
        <v>428.57142857142856</v>
      </c>
    </row>
    <row r="731" spans="2:19" outlineLevel="1">
      <c r="B731" s="13" t="s">
        <v>64</v>
      </c>
      <c r="C731" s="7" t="str">
        <f t="shared" si="212"/>
        <v>CAMINHÃO CAÇAMBA PL GXA 2991</v>
      </c>
      <c r="D731" s="8">
        <f t="shared" si="211"/>
        <v>46087</v>
      </c>
      <c r="E731" s="15"/>
      <c r="F731" s="15"/>
      <c r="G731" s="15">
        <f t="shared" si="213"/>
        <v>0</v>
      </c>
      <c r="H731" s="16" t="s">
        <v>6</v>
      </c>
      <c r="I731" s="10">
        <f t="shared" si="215"/>
        <v>428.57142857142856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4"/>
        <v>428.57142857142856</v>
      </c>
    </row>
    <row r="732" spans="2:19" outlineLevel="1">
      <c r="B732" s="13" t="s">
        <v>64</v>
      </c>
      <c r="C732" s="7" t="str">
        <f t="shared" si="212"/>
        <v>CAMINHÃO CAÇAMBA PL GXA 2991</v>
      </c>
      <c r="D732" s="8">
        <f t="shared" si="211"/>
        <v>46088</v>
      </c>
      <c r="E732" s="15"/>
      <c r="F732" s="15"/>
      <c r="G732" s="15">
        <f t="shared" si="213"/>
        <v>0</v>
      </c>
      <c r="H732" s="16" t="s">
        <v>6</v>
      </c>
      <c r="I732" s="10">
        <f t="shared" si="215"/>
        <v>428.57142857142856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4"/>
        <v>428.57142857142856</v>
      </c>
    </row>
    <row r="733" spans="2:19" outlineLevel="1">
      <c r="B733" s="13" t="s">
        <v>64</v>
      </c>
      <c r="C733" s="7" t="str">
        <f t="shared" si="212"/>
        <v>CAMINHÃO CAÇAMBA PL GXA 2991</v>
      </c>
      <c r="D733" s="8">
        <f t="shared" si="211"/>
        <v>46089</v>
      </c>
      <c r="E733" s="15"/>
      <c r="F733" s="15"/>
      <c r="G733" s="15">
        <f t="shared" si="213"/>
        <v>0</v>
      </c>
      <c r="H733" s="16" t="s">
        <v>6</v>
      </c>
      <c r="I733" s="10">
        <f t="shared" si="215"/>
        <v>428.57142857142856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4"/>
        <v>428.57142857142856</v>
      </c>
    </row>
    <row r="734" spans="2:19" outlineLevel="1">
      <c r="B734" s="13" t="s">
        <v>64</v>
      </c>
      <c r="C734" s="7" t="str">
        <f t="shared" si="212"/>
        <v>CAMINHÃO CAÇAMBA PL GXA 2991</v>
      </c>
      <c r="D734" s="8">
        <f t="shared" si="211"/>
        <v>46090</v>
      </c>
      <c r="E734" s="15"/>
      <c r="F734" s="15"/>
      <c r="G734" s="15">
        <f t="shared" si="213"/>
        <v>0</v>
      </c>
      <c r="H734" s="16" t="s">
        <v>6</v>
      </c>
      <c r="I734" s="10">
        <f t="shared" si="215"/>
        <v>428.57142857142856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4"/>
        <v>428.57142857142856</v>
      </c>
    </row>
    <row r="735" spans="2:19" outlineLevel="1">
      <c r="B735" s="13" t="s">
        <v>64</v>
      </c>
      <c r="C735" s="7" t="str">
        <f t="shared" si="212"/>
        <v>CAMINHÃO CAÇAMBA PL GXA 2991</v>
      </c>
      <c r="D735" s="8">
        <f t="shared" si="211"/>
        <v>46091</v>
      </c>
      <c r="E735" s="15"/>
      <c r="F735" s="15"/>
      <c r="G735" s="15">
        <f t="shared" si="213"/>
        <v>0</v>
      </c>
      <c r="H735" s="16" t="s">
        <v>6</v>
      </c>
      <c r="I735" s="10">
        <f t="shared" si="215"/>
        <v>428.57142857142856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4"/>
        <v>428.57142857142856</v>
      </c>
    </row>
    <row r="736" spans="2:19" outlineLevel="1">
      <c r="B736" s="13" t="s">
        <v>64</v>
      </c>
      <c r="C736" s="7" t="str">
        <f t="shared" si="212"/>
        <v>CAMINHÃO CAÇAMBA PL GXA 2991</v>
      </c>
      <c r="D736" s="8">
        <f t="shared" si="211"/>
        <v>46092</v>
      </c>
      <c r="E736" s="15"/>
      <c r="F736" s="15"/>
      <c r="G736" s="15">
        <f t="shared" si="213"/>
        <v>0</v>
      </c>
      <c r="H736" s="16" t="s">
        <v>6</v>
      </c>
      <c r="I736" s="10">
        <f t="shared" si="215"/>
        <v>428.57142857142856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4"/>
        <v>428.57142857142856</v>
      </c>
    </row>
    <row r="737" spans="2:19" outlineLevel="1">
      <c r="B737" s="13" t="s">
        <v>64</v>
      </c>
      <c r="C737" s="7" t="str">
        <f t="shared" si="212"/>
        <v>CAMINHÃO CAÇAMBA PL GXA 2991</v>
      </c>
      <c r="D737" s="8">
        <f t="shared" si="211"/>
        <v>46093</v>
      </c>
      <c r="E737" s="15"/>
      <c r="F737" s="15"/>
      <c r="G737" s="15">
        <f t="shared" si="213"/>
        <v>0</v>
      </c>
      <c r="H737" s="16" t="s">
        <v>6</v>
      </c>
      <c r="I737" s="10">
        <f t="shared" si="215"/>
        <v>428.57142857142856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4"/>
        <v>428.57142857142856</v>
      </c>
    </row>
    <row r="738" spans="2:19" outlineLevel="1">
      <c r="B738" s="13" t="s">
        <v>64</v>
      </c>
      <c r="C738" s="7" t="str">
        <f t="shared" si="212"/>
        <v>CAMINHÃO CAÇAMBA PL GXA 2991</v>
      </c>
      <c r="D738" s="8">
        <f t="shared" si="211"/>
        <v>46094</v>
      </c>
      <c r="E738" s="15"/>
      <c r="F738" s="15"/>
      <c r="G738" s="15">
        <f t="shared" si="213"/>
        <v>0</v>
      </c>
      <c r="H738" s="16" t="s">
        <v>6</v>
      </c>
      <c r="I738" s="10">
        <f t="shared" si="215"/>
        <v>428.57142857142856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4"/>
        <v>428.57142857142856</v>
      </c>
    </row>
    <row r="739" spans="2:19" outlineLevel="1">
      <c r="B739" s="13" t="s">
        <v>64</v>
      </c>
      <c r="C739" s="7" t="str">
        <f t="shared" si="212"/>
        <v>CAMINHÃO CAÇAMBA PL GXA 2991</v>
      </c>
      <c r="D739" s="8">
        <f t="shared" si="211"/>
        <v>46095</v>
      </c>
      <c r="E739" s="15"/>
      <c r="F739" s="15"/>
      <c r="G739" s="15">
        <f t="shared" si="213"/>
        <v>0</v>
      </c>
      <c r="H739" s="16" t="s">
        <v>6</v>
      </c>
      <c r="I739" s="10">
        <f t="shared" si="215"/>
        <v>428.57142857142856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4"/>
        <v>428.57142857142856</v>
      </c>
    </row>
    <row r="740" spans="2:19" outlineLevel="1">
      <c r="B740" s="13" t="s">
        <v>64</v>
      </c>
      <c r="C740" s="7" t="str">
        <f t="shared" si="212"/>
        <v>CAMINHÃO CAÇAMBA PL GXA 2991</v>
      </c>
      <c r="D740" s="8">
        <f t="shared" si="211"/>
        <v>46096</v>
      </c>
      <c r="E740" s="15"/>
      <c r="F740" s="15"/>
      <c r="G740" s="15">
        <f t="shared" si="213"/>
        <v>0</v>
      </c>
      <c r="H740" s="16" t="s">
        <v>6</v>
      </c>
      <c r="I740" s="10">
        <f t="shared" si="215"/>
        <v>428.57142857142856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4"/>
        <v>428.57142857142856</v>
      </c>
    </row>
    <row r="741" spans="2:19" outlineLevel="1">
      <c r="B741" s="13" t="s">
        <v>64</v>
      </c>
      <c r="C741" s="7" t="str">
        <f t="shared" si="212"/>
        <v>CAMINHÃO CAÇAMBA PL GXA 2991</v>
      </c>
      <c r="D741" s="8">
        <f t="shared" si="211"/>
        <v>46097</v>
      </c>
      <c r="E741" s="15"/>
      <c r="F741" s="15"/>
      <c r="G741" s="15">
        <f t="shared" si="213"/>
        <v>0</v>
      </c>
      <c r="H741" s="16" t="s">
        <v>6</v>
      </c>
      <c r="I741" s="10">
        <f t="shared" si="215"/>
        <v>428.57142857142856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4"/>
        <v>428.57142857142856</v>
      </c>
    </row>
    <row r="742" spans="2:19" outlineLevel="1">
      <c r="B742" s="13" t="s">
        <v>64</v>
      </c>
      <c r="C742" s="7" t="str">
        <f t="shared" si="212"/>
        <v>CAMINHÃO CAÇAMBA PL GXA 2991</v>
      </c>
      <c r="D742" s="8">
        <f t="shared" si="211"/>
        <v>46098</v>
      </c>
      <c r="E742" s="15"/>
      <c r="F742" s="15"/>
      <c r="G742" s="15">
        <f t="shared" si="213"/>
        <v>0</v>
      </c>
      <c r="H742" s="16" t="s">
        <v>6</v>
      </c>
      <c r="I742" s="10">
        <f t="shared" si="215"/>
        <v>428.57142857142856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4"/>
        <v>428.57142857142856</v>
      </c>
    </row>
    <row r="743" spans="2:19" outlineLevel="1">
      <c r="B743" s="13" t="s">
        <v>64</v>
      </c>
      <c r="C743" s="7" t="str">
        <f t="shared" si="212"/>
        <v>CAMINHÃO CAÇAMBA PL GXA 2991</v>
      </c>
      <c r="D743" s="8">
        <f t="shared" si="211"/>
        <v>46099</v>
      </c>
      <c r="E743" s="15"/>
      <c r="F743" s="15"/>
      <c r="G743" s="15">
        <f t="shared" si="213"/>
        <v>0</v>
      </c>
      <c r="H743" s="16" t="s">
        <v>6</v>
      </c>
      <c r="I743" s="10">
        <f t="shared" si="215"/>
        <v>428.57142857142856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4"/>
        <v>428.57142857142856</v>
      </c>
    </row>
    <row r="744" spans="2:19" outlineLevel="1">
      <c r="B744" s="13" t="s">
        <v>64</v>
      </c>
      <c r="C744" s="7" t="str">
        <f t="shared" si="212"/>
        <v>CAMINHÃO CAÇAMBA PL GXA 2991</v>
      </c>
      <c r="D744" s="8">
        <f t="shared" si="211"/>
        <v>46100</v>
      </c>
      <c r="E744" s="15"/>
      <c r="F744" s="15"/>
      <c r="G744" s="15">
        <f t="shared" si="213"/>
        <v>0</v>
      </c>
      <c r="H744" s="16" t="s">
        <v>6</v>
      </c>
      <c r="I744" s="10">
        <f t="shared" si="215"/>
        <v>428.57142857142856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4"/>
        <v>428.57142857142856</v>
      </c>
    </row>
    <row r="745" spans="2:19" outlineLevel="1">
      <c r="B745" s="13" t="s">
        <v>64</v>
      </c>
      <c r="C745" s="7" t="str">
        <f t="shared" si="212"/>
        <v>CAMINHÃO CAÇAMBA PL GXA 2991</v>
      </c>
      <c r="D745" s="8">
        <f t="shared" si="211"/>
        <v>46101</v>
      </c>
      <c r="E745" s="15"/>
      <c r="F745" s="15"/>
      <c r="G745" s="15">
        <f t="shared" si="213"/>
        <v>0</v>
      </c>
      <c r="H745" s="16" t="s">
        <v>6</v>
      </c>
      <c r="I745" s="10">
        <f t="shared" si="215"/>
        <v>428.57142857142856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4"/>
        <v>428.57142857142856</v>
      </c>
    </row>
    <row r="746" spans="2:19" outlineLevel="1">
      <c r="B746" s="13" t="s">
        <v>64</v>
      </c>
      <c r="C746" s="7" t="str">
        <f t="shared" si="212"/>
        <v>CAMINHÃO CAÇAMBA PL GXA 2991</v>
      </c>
      <c r="D746" s="8">
        <f t="shared" si="211"/>
        <v>46102</v>
      </c>
      <c r="E746" s="15"/>
      <c r="F746" s="15"/>
      <c r="G746" s="15">
        <f t="shared" si="213"/>
        <v>0</v>
      </c>
      <c r="H746" s="16" t="s">
        <v>6</v>
      </c>
      <c r="I746" s="10">
        <f t="shared" si="215"/>
        <v>428.57142857142856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4"/>
        <v>428.57142857142856</v>
      </c>
    </row>
    <row r="747" spans="2:19" outlineLevel="1">
      <c r="B747" s="13" t="s">
        <v>64</v>
      </c>
      <c r="C747" s="7" t="str">
        <f t="shared" si="212"/>
        <v>CAMINHÃO CAÇAMBA PL GXA 2991</v>
      </c>
      <c r="D747" s="8">
        <f t="shared" si="211"/>
        <v>46103</v>
      </c>
      <c r="E747" s="15"/>
      <c r="F747" s="15"/>
      <c r="G747" s="15">
        <f t="shared" si="213"/>
        <v>0</v>
      </c>
      <c r="H747" s="16" t="s">
        <v>6</v>
      </c>
      <c r="I747" s="10">
        <f t="shared" si="215"/>
        <v>428.57142857142856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4"/>
        <v>428.57142857142856</v>
      </c>
    </row>
    <row r="748" spans="2:19" outlineLevel="1">
      <c r="B748" s="13" t="s">
        <v>64</v>
      </c>
      <c r="C748" s="7" t="str">
        <f t="shared" si="212"/>
        <v>CAMINHÃO CAÇAMBA PL GXA 2991</v>
      </c>
      <c r="D748" s="8">
        <f t="shared" si="211"/>
        <v>46104</v>
      </c>
      <c r="E748" s="15"/>
      <c r="F748" s="15"/>
      <c r="G748" s="15">
        <f t="shared" si="213"/>
        <v>0</v>
      </c>
      <c r="H748" s="16" t="s">
        <v>6</v>
      </c>
      <c r="I748" s="10">
        <f t="shared" si="215"/>
        <v>428.57142857142856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4"/>
        <v>428.57142857142856</v>
      </c>
    </row>
    <row r="749" spans="2:19" outlineLevel="1">
      <c r="B749" s="13" t="s">
        <v>64</v>
      </c>
      <c r="C749" s="7" t="str">
        <f t="shared" si="212"/>
        <v>CAMINHÃO CAÇAMBA PL GXA 2991</v>
      </c>
      <c r="D749" s="8">
        <f t="shared" si="211"/>
        <v>46105</v>
      </c>
      <c r="E749" s="15"/>
      <c r="F749" s="15"/>
      <c r="G749" s="15">
        <f t="shared" si="213"/>
        <v>0</v>
      </c>
      <c r="H749" s="16" t="s">
        <v>6</v>
      </c>
      <c r="I749" s="10">
        <f t="shared" si="215"/>
        <v>428.57142857142856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4"/>
        <v>428.57142857142856</v>
      </c>
    </row>
    <row r="750" spans="2:19" outlineLevel="1">
      <c r="B750" s="13" t="s">
        <v>64</v>
      </c>
      <c r="C750" s="7" t="str">
        <f t="shared" si="212"/>
        <v>CAMINHÃO CAÇAMBA PL GXA 2991</v>
      </c>
      <c r="D750" s="8">
        <f t="shared" si="211"/>
        <v>46106</v>
      </c>
      <c r="E750" s="15"/>
      <c r="F750" s="15"/>
      <c r="G750" s="15">
        <f t="shared" si="213"/>
        <v>0</v>
      </c>
      <c r="H750" s="16" t="s">
        <v>6</v>
      </c>
      <c r="I750" s="10">
        <f t="shared" si="215"/>
        <v>428.57142857142856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4"/>
        <v>428.57142857142856</v>
      </c>
    </row>
    <row r="751" spans="2:19" outlineLevel="1">
      <c r="B751" s="13" t="s">
        <v>64</v>
      </c>
      <c r="C751" s="7" t="str">
        <f t="shared" si="212"/>
        <v>CAMINHÃO CAÇAMBA PL GXA 2991</v>
      </c>
      <c r="D751" s="8">
        <f t="shared" si="211"/>
        <v>46107</v>
      </c>
      <c r="E751" s="15"/>
      <c r="F751" s="15"/>
      <c r="G751" s="15">
        <f t="shared" si="213"/>
        <v>0</v>
      </c>
      <c r="H751" s="16" t="s">
        <v>6</v>
      </c>
      <c r="I751" s="10">
        <f t="shared" si="215"/>
        <v>428.57142857142856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4"/>
        <v>428.57142857142856</v>
      </c>
    </row>
    <row r="752" spans="2:19" outlineLevel="1">
      <c r="B752" s="13" t="s">
        <v>64</v>
      </c>
      <c r="C752" s="7" t="str">
        <f t="shared" si="212"/>
        <v>CAMINHÃO CAÇAMBA PL GXA 2991</v>
      </c>
      <c r="D752" s="8">
        <f t="shared" si="211"/>
        <v>46108</v>
      </c>
      <c r="E752" s="15"/>
      <c r="F752" s="15"/>
      <c r="G752" s="15">
        <f t="shared" si="213"/>
        <v>0</v>
      </c>
      <c r="H752" s="16" t="s">
        <v>6</v>
      </c>
      <c r="I752" s="10">
        <f t="shared" si="215"/>
        <v>428.57142857142856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4"/>
        <v>428.57142857142856</v>
      </c>
    </row>
    <row r="753" spans="2:19" outlineLevel="1">
      <c r="B753" s="13" t="s">
        <v>64</v>
      </c>
      <c r="C753" s="7" t="str">
        <f t="shared" si="212"/>
        <v>CAMINHÃO CAÇAMBA PL GXA 2991</v>
      </c>
      <c r="D753" s="8">
        <f t="shared" ref="D753" si="216">D685</f>
        <v>46109</v>
      </c>
      <c r="E753" s="15"/>
      <c r="F753" s="15"/>
      <c r="G753" s="15">
        <f t="shared" ref="G753:G755" si="217">F753-E753</f>
        <v>0</v>
      </c>
      <c r="H753" s="16" t="s">
        <v>6</v>
      </c>
      <c r="I753" s="10">
        <f>I749</f>
        <v>428.57142857142856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8">SUM(R753+Q753+I753)</f>
        <v>428.57142857142856</v>
      </c>
    </row>
    <row r="754" spans="2:19" outlineLevel="1">
      <c r="B754" s="13" t="s">
        <v>64</v>
      </c>
      <c r="C754" s="7" t="str">
        <f t="shared" si="212"/>
        <v>CAMINHÃO CAÇAMBA PL GXA 2991</v>
      </c>
      <c r="D754" s="8">
        <f t="shared" ref="D754:D756" si="219">D686</f>
        <v>46110</v>
      </c>
      <c r="E754" s="15"/>
      <c r="F754" s="15"/>
      <c r="G754" s="15">
        <f t="shared" si="217"/>
        <v>0</v>
      </c>
      <c r="H754" s="16" t="s">
        <v>6</v>
      </c>
      <c r="I754" s="10">
        <f>I750</f>
        <v>428.57142857142856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8"/>
        <v>428.57142857142856</v>
      </c>
    </row>
    <row r="755" spans="2:19" outlineLevel="1">
      <c r="B755" s="13" t="s">
        <v>64</v>
      </c>
      <c r="C755" s="7" t="str">
        <f t="shared" si="212"/>
        <v>CAMINHÃO CAÇAMBA PL GXA 2991</v>
      </c>
      <c r="D755" s="8">
        <f t="shared" si="219"/>
        <v>46111</v>
      </c>
      <c r="E755" s="15"/>
      <c r="F755" s="15"/>
      <c r="G755" s="15">
        <f t="shared" si="217"/>
        <v>0</v>
      </c>
      <c r="H755" s="16" t="s">
        <v>6</v>
      </c>
      <c r="I755" s="10">
        <f>I751</f>
        <v>428.57142857142856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8"/>
        <v>428.57142857142856</v>
      </c>
    </row>
    <row r="756" spans="2:19" outlineLevel="1">
      <c r="B756" s="13" t="s">
        <v>64</v>
      </c>
      <c r="C756" s="7" t="str">
        <f t="shared" si="212"/>
        <v>CAMINHÃO CAÇAMBA PL GXA 2991</v>
      </c>
      <c r="D756" s="8">
        <f t="shared" si="219"/>
        <v>46112</v>
      </c>
      <c r="E756" s="15"/>
      <c r="F756" s="15"/>
      <c r="G756" s="15">
        <f t="shared" si="213"/>
        <v>0</v>
      </c>
      <c r="H756" s="16" t="s">
        <v>6</v>
      </c>
      <c r="I756" s="10">
        <f>I752</f>
        <v>428.57142857142856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4"/>
        <v>428.57142857142856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5" t="str">
        <f>M$1</f>
        <v>BM JANEIRO 2026</v>
      </c>
      <c r="N758" s="135"/>
      <c r="O758" s="135"/>
      <c r="P758" s="19" t="s">
        <v>10</v>
      </c>
      <c r="Q758" s="136" t="s">
        <v>207</v>
      </c>
      <c r="R758" s="136"/>
      <c r="S758" s="136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20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400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O760/30</f>
        <v>400</v>
      </c>
      <c r="Q760" s="9"/>
      <c r="R760" s="9"/>
      <c r="S760" s="10">
        <f>SUM(R760+Q760+I760)</f>
        <v>400</v>
      </c>
    </row>
    <row r="761" spans="2:19" outlineLevel="1">
      <c r="B761" s="13" t="s">
        <v>66</v>
      </c>
      <c r="C761" s="7" t="str">
        <f t="shared" ref="C761:C790" si="221">C$758</f>
        <v>CAMINHÃO CAÇAMBA PL JUU 6324</v>
      </c>
      <c r="D761" s="8">
        <f t="shared" si="220"/>
        <v>46083</v>
      </c>
      <c r="E761" s="15"/>
      <c r="F761" s="15"/>
      <c r="G761" s="15">
        <f t="shared" ref="G761:G790" si="222">F761-E761</f>
        <v>0</v>
      </c>
      <c r="H761" s="16" t="s">
        <v>6</v>
      </c>
      <c r="I761" s="10">
        <f>I760</f>
        <v>400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23">SUM(R761+Q761+I761)</f>
        <v>400</v>
      </c>
    </row>
    <row r="762" spans="2:19" outlineLevel="1">
      <c r="B762" s="13" t="s">
        <v>66</v>
      </c>
      <c r="C762" s="7" t="str">
        <f t="shared" si="221"/>
        <v>CAMINHÃO CAÇAMBA PL JUU 6324</v>
      </c>
      <c r="D762" s="8">
        <f t="shared" si="220"/>
        <v>46084</v>
      </c>
      <c r="E762" s="15"/>
      <c r="F762" s="15"/>
      <c r="G762" s="15">
        <f t="shared" si="222"/>
        <v>0</v>
      </c>
      <c r="H762" s="16" t="s">
        <v>6</v>
      </c>
      <c r="I762" s="10">
        <f t="shared" ref="I762:I786" si="224">I761</f>
        <v>400</v>
      </c>
      <c r="J762" s="16" t="s">
        <v>201</v>
      </c>
      <c r="K762" s="15"/>
      <c r="L762" s="15"/>
      <c r="M762" s="17"/>
      <c r="N762" s="9"/>
      <c r="O762" s="18">
        <f t="shared" ref="O762:O786" si="225">O761</f>
        <v>12000</v>
      </c>
      <c r="P762" s="9"/>
      <c r="Q762" s="9"/>
      <c r="R762" s="9"/>
      <c r="S762" s="10">
        <f t="shared" si="223"/>
        <v>400</v>
      </c>
    </row>
    <row r="763" spans="2:19" outlineLevel="1">
      <c r="B763" s="13" t="s">
        <v>66</v>
      </c>
      <c r="C763" s="7" t="str">
        <f t="shared" si="221"/>
        <v>CAMINHÃO CAÇAMBA PL JUU 6324</v>
      </c>
      <c r="D763" s="8">
        <f t="shared" si="220"/>
        <v>46085</v>
      </c>
      <c r="E763" s="15"/>
      <c r="F763" s="15"/>
      <c r="G763" s="15">
        <f t="shared" si="222"/>
        <v>0</v>
      </c>
      <c r="H763" s="16" t="s">
        <v>6</v>
      </c>
      <c r="I763" s="10">
        <f t="shared" si="224"/>
        <v>400</v>
      </c>
      <c r="J763" s="16" t="s">
        <v>201</v>
      </c>
      <c r="K763" s="15"/>
      <c r="L763" s="15"/>
      <c r="M763" s="17"/>
      <c r="N763" s="9"/>
      <c r="O763" s="18">
        <f t="shared" si="225"/>
        <v>12000</v>
      </c>
      <c r="P763" s="9"/>
      <c r="Q763" s="9"/>
      <c r="R763" s="9"/>
      <c r="S763" s="10">
        <f t="shared" si="223"/>
        <v>400</v>
      </c>
    </row>
    <row r="764" spans="2:19" outlineLevel="1">
      <c r="B764" s="13" t="s">
        <v>66</v>
      </c>
      <c r="C764" s="7" t="str">
        <f t="shared" si="221"/>
        <v>CAMINHÃO CAÇAMBA PL JUU 6324</v>
      </c>
      <c r="D764" s="8">
        <f t="shared" si="220"/>
        <v>46086</v>
      </c>
      <c r="E764" s="15"/>
      <c r="F764" s="15"/>
      <c r="G764" s="15">
        <f t="shared" si="222"/>
        <v>0</v>
      </c>
      <c r="H764" s="16" t="s">
        <v>6</v>
      </c>
      <c r="I764" s="10">
        <f t="shared" si="224"/>
        <v>400</v>
      </c>
      <c r="J764" s="16" t="s">
        <v>201</v>
      </c>
      <c r="K764" s="15"/>
      <c r="L764" s="15"/>
      <c r="M764" s="17"/>
      <c r="N764" s="9"/>
      <c r="O764" s="18">
        <f t="shared" si="225"/>
        <v>12000</v>
      </c>
      <c r="P764" s="9"/>
      <c r="Q764" s="9"/>
      <c r="R764" s="9"/>
      <c r="S764" s="10">
        <f t="shared" si="223"/>
        <v>400</v>
      </c>
    </row>
    <row r="765" spans="2:19" outlineLevel="1">
      <c r="B765" s="13" t="s">
        <v>66</v>
      </c>
      <c r="C765" s="7" t="str">
        <f t="shared" si="221"/>
        <v>CAMINHÃO CAÇAMBA PL JUU 6324</v>
      </c>
      <c r="D765" s="8">
        <f t="shared" si="220"/>
        <v>46087</v>
      </c>
      <c r="E765" s="15"/>
      <c r="F765" s="15"/>
      <c r="G765" s="15">
        <f t="shared" si="222"/>
        <v>0</v>
      </c>
      <c r="H765" s="16" t="s">
        <v>6</v>
      </c>
      <c r="I765" s="10">
        <f t="shared" si="224"/>
        <v>400</v>
      </c>
      <c r="J765" s="16" t="s">
        <v>201</v>
      </c>
      <c r="K765" s="15"/>
      <c r="L765" s="15"/>
      <c r="M765" s="17"/>
      <c r="N765" s="9"/>
      <c r="O765" s="18">
        <f t="shared" si="225"/>
        <v>12000</v>
      </c>
      <c r="P765" s="9"/>
      <c r="Q765" s="9"/>
      <c r="R765" s="9"/>
      <c r="S765" s="10">
        <f t="shared" si="223"/>
        <v>400</v>
      </c>
    </row>
    <row r="766" spans="2:19" outlineLevel="1">
      <c r="B766" s="13" t="s">
        <v>66</v>
      </c>
      <c r="C766" s="7" t="str">
        <f t="shared" si="221"/>
        <v>CAMINHÃO CAÇAMBA PL JUU 6324</v>
      </c>
      <c r="D766" s="8">
        <f t="shared" si="220"/>
        <v>46088</v>
      </c>
      <c r="E766" s="15"/>
      <c r="F766" s="15"/>
      <c r="G766" s="15">
        <f t="shared" si="222"/>
        <v>0</v>
      </c>
      <c r="H766" s="16" t="s">
        <v>6</v>
      </c>
      <c r="I766" s="10">
        <f t="shared" si="224"/>
        <v>400</v>
      </c>
      <c r="J766" s="16" t="s">
        <v>201</v>
      </c>
      <c r="K766" s="15"/>
      <c r="L766" s="15"/>
      <c r="M766" s="17"/>
      <c r="N766" s="9"/>
      <c r="O766" s="18">
        <f t="shared" si="225"/>
        <v>12000</v>
      </c>
      <c r="P766" s="9"/>
      <c r="Q766" s="9"/>
      <c r="R766" s="9"/>
      <c r="S766" s="10">
        <f t="shared" si="223"/>
        <v>400</v>
      </c>
    </row>
    <row r="767" spans="2:19" outlineLevel="1">
      <c r="B767" s="13" t="s">
        <v>66</v>
      </c>
      <c r="C767" s="7" t="str">
        <f t="shared" si="221"/>
        <v>CAMINHÃO CAÇAMBA PL JUU 6324</v>
      </c>
      <c r="D767" s="8">
        <f t="shared" si="220"/>
        <v>46089</v>
      </c>
      <c r="E767" s="15"/>
      <c r="F767" s="15"/>
      <c r="G767" s="15">
        <f t="shared" si="222"/>
        <v>0</v>
      </c>
      <c r="H767" s="16" t="s">
        <v>6</v>
      </c>
      <c r="I767" s="10">
        <f t="shared" si="224"/>
        <v>400</v>
      </c>
      <c r="J767" s="16" t="s">
        <v>201</v>
      </c>
      <c r="K767" s="15"/>
      <c r="L767" s="15"/>
      <c r="M767" s="17"/>
      <c r="N767" s="9"/>
      <c r="O767" s="18">
        <f t="shared" si="225"/>
        <v>12000</v>
      </c>
      <c r="P767" s="9"/>
      <c r="Q767" s="9"/>
      <c r="R767" s="9"/>
      <c r="S767" s="10">
        <f t="shared" si="223"/>
        <v>400</v>
      </c>
    </row>
    <row r="768" spans="2:19" outlineLevel="1">
      <c r="B768" s="13" t="s">
        <v>66</v>
      </c>
      <c r="C768" s="7" t="str">
        <f t="shared" si="221"/>
        <v>CAMINHÃO CAÇAMBA PL JUU 6324</v>
      </c>
      <c r="D768" s="8">
        <f t="shared" si="220"/>
        <v>46090</v>
      </c>
      <c r="E768" s="15"/>
      <c r="F768" s="15"/>
      <c r="G768" s="15">
        <f t="shared" si="222"/>
        <v>0</v>
      </c>
      <c r="H768" s="16" t="s">
        <v>6</v>
      </c>
      <c r="I768" s="10">
        <f t="shared" si="224"/>
        <v>400</v>
      </c>
      <c r="J768" s="16" t="s">
        <v>201</v>
      </c>
      <c r="K768" s="15"/>
      <c r="L768" s="15"/>
      <c r="M768" s="17"/>
      <c r="N768" s="9"/>
      <c r="O768" s="18">
        <f t="shared" si="225"/>
        <v>12000</v>
      </c>
      <c r="P768" s="9"/>
      <c r="Q768" s="9"/>
      <c r="R768" s="9"/>
      <c r="S768" s="10">
        <f t="shared" si="223"/>
        <v>400</v>
      </c>
    </row>
    <row r="769" spans="2:19" outlineLevel="1">
      <c r="B769" s="13" t="s">
        <v>66</v>
      </c>
      <c r="C769" s="7" t="str">
        <f t="shared" si="221"/>
        <v>CAMINHÃO CAÇAMBA PL JUU 6324</v>
      </c>
      <c r="D769" s="8">
        <f t="shared" si="220"/>
        <v>46091</v>
      </c>
      <c r="E769" s="15"/>
      <c r="F769" s="15"/>
      <c r="G769" s="15">
        <f t="shared" si="222"/>
        <v>0</v>
      </c>
      <c r="H769" s="16" t="s">
        <v>6</v>
      </c>
      <c r="I769" s="10">
        <f t="shared" si="224"/>
        <v>400</v>
      </c>
      <c r="J769" s="16" t="s">
        <v>201</v>
      </c>
      <c r="K769" s="15"/>
      <c r="L769" s="15"/>
      <c r="M769" s="17"/>
      <c r="N769" s="9"/>
      <c r="O769" s="18">
        <f t="shared" si="225"/>
        <v>12000</v>
      </c>
      <c r="P769" s="9"/>
      <c r="Q769" s="9"/>
      <c r="R769" s="9"/>
      <c r="S769" s="10">
        <f t="shared" si="223"/>
        <v>400</v>
      </c>
    </row>
    <row r="770" spans="2:19" outlineLevel="1">
      <c r="B770" s="13" t="s">
        <v>66</v>
      </c>
      <c r="C770" s="7" t="str">
        <f t="shared" si="221"/>
        <v>CAMINHÃO CAÇAMBA PL JUU 6324</v>
      </c>
      <c r="D770" s="8">
        <f t="shared" si="220"/>
        <v>46092</v>
      </c>
      <c r="E770" s="15"/>
      <c r="F770" s="15"/>
      <c r="G770" s="15">
        <f t="shared" si="222"/>
        <v>0</v>
      </c>
      <c r="H770" s="16" t="s">
        <v>6</v>
      </c>
      <c r="I770" s="10">
        <f t="shared" si="224"/>
        <v>400</v>
      </c>
      <c r="J770" s="16" t="s">
        <v>201</v>
      </c>
      <c r="K770" s="15"/>
      <c r="L770" s="15"/>
      <c r="M770" s="17"/>
      <c r="N770" s="9"/>
      <c r="O770" s="18">
        <f t="shared" si="225"/>
        <v>12000</v>
      </c>
      <c r="P770" s="9"/>
      <c r="Q770" s="9"/>
      <c r="R770" s="9"/>
      <c r="S770" s="10">
        <f t="shared" si="223"/>
        <v>400</v>
      </c>
    </row>
    <row r="771" spans="2:19" outlineLevel="1">
      <c r="B771" s="13" t="s">
        <v>66</v>
      </c>
      <c r="C771" s="7" t="str">
        <f t="shared" si="221"/>
        <v>CAMINHÃO CAÇAMBA PL JUU 6324</v>
      </c>
      <c r="D771" s="8">
        <f t="shared" si="220"/>
        <v>46093</v>
      </c>
      <c r="E771" s="15"/>
      <c r="F771" s="15"/>
      <c r="G771" s="15">
        <f t="shared" si="222"/>
        <v>0</v>
      </c>
      <c r="H771" s="16" t="s">
        <v>6</v>
      </c>
      <c r="I771" s="10">
        <f t="shared" si="224"/>
        <v>400</v>
      </c>
      <c r="J771" s="16" t="s">
        <v>201</v>
      </c>
      <c r="K771" s="15"/>
      <c r="L771" s="15"/>
      <c r="M771" s="17"/>
      <c r="N771" s="9"/>
      <c r="O771" s="18">
        <f t="shared" si="225"/>
        <v>12000</v>
      </c>
      <c r="P771" s="9"/>
      <c r="Q771" s="9"/>
      <c r="R771" s="9"/>
      <c r="S771" s="10">
        <f t="shared" si="223"/>
        <v>400</v>
      </c>
    </row>
    <row r="772" spans="2:19" outlineLevel="1">
      <c r="B772" s="13" t="s">
        <v>66</v>
      </c>
      <c r="C772" s="7" t="str">
        <f t="shared" si="221"/>
        <v>CAMINHÃO CAÇAMBA PL JUU 6324</v>
      </c>
      <c r="D772" s="8">
        <f t="shared" si="220"/>
        <v>46094</v>
      </c>
      <c r="E772" s="15"/>
      <c r="F772" s="15"/>
      <c r="G772" s="15">
        <f t="shared" si="222"/>
        <v>0</v>
      </c>
      <c r="H772" s="16" t="s">
        <v>6</v>
      </c>
      <c r="I772" s="10">
        <f t="shared" si="224"/>
        <v>400</v>
      </c>
      <c r="J772" s="16" t="s">
        <v>201</v>
      </c>
      <c r="K772" s="15"/>
      <c r="L772" s="15"/>
      <c r="M772" s="17"/>
      <c r="N772" s="9"/>
      <c r="O772" s="18">
        <f t="shared" si="225"/>
        <v>12000</v>
      </c>
      <c r="P772" s="9"/>
      <c r="Q772" s="9"/>
      <c r="R772" s="9"/>
      <c r="S772" s="10">
        <f t="shared" si="223"/>
        <v>400</v>
      </c>
    </row>
    <row r="773" spans="2:19" outlineLevel="1">
      <c r="B773" s="13" t="s">
        <v>66</v>
      </c>
      <c r="C773" s="7" t="str">
        <f t="shared" si="221"/>
        <v>CAMINHÃO CAÇAMBA PL JUU 6324</v>
      </c>
      <c r="D773" s="8">
        <f t="shared" si="220"/>
        <v>46095</v>
      </c>
      <c r="E773" s="15"/>
      <c r="F773" s="15"/>
      <c r="G773" s="15">
        <f t="shared" si="222"/>
        <v>0</v>
      </c>
      <c r="H773" s="16" t="s">
        <v>6</v>
      </c>
      <c r="I773" s="10">
        <f t="shared" si="224"/>
        <v>400</v>
      </c>
      <c r="J773" s="16" t="s">
        <v>201</v>
      </c>
      <c r="K773" s="15"/>
      <c r="L773" s="15"/>
      <c r="M773" s="17"/>
      <c r="N773" s="9"/>
      <c r="O773" s="18">
        <f t="shared" si="225"/>
        <v>12000</v>
      </c>
      <c r="P773" s="9"/>
      <c r="Q773" s="9"/>
      <c r="R773" s="9"/>
      <c r="S773" s="10">
        <f t="shared" si="223"/>
        <v>400</v>
      </c>
    </row>
    <row r="774" spans="2:19" outlineLevel="1">
      <c r="B774" s="13" t="s">
        <v>66</v>
      </c>
      <c r="C774" s="7" t="str">
        <f t="shared" si="221"/>
        <v>CAMINHÃO CAÇAMBA PL JUU 6324</v>
      </c>
      <c r="D774" s="8">
        <f t="shared" si="220"/>
        <v>46096</v>
      </c>
      <c r="E774" s="15"/>
      <c r="F774" s="15"/>
      <c r="G774" s="15">
        <f t="shared" si="222"/>
        <v>0</v>
      </c>
      <c r="H774" s="16" t="s">
        <v>6</v>
      </c>
      <c r="I774" s="10">
        <f t="shared" si="224"/>
        <v>400</v>
      </c>
      <c r="J774" s="16" t="s">
        <v>201</v>
      </c>
      <c r="K774" s="15"/>
      <c r="L774" s="15"/>
      <c r="M774" s="17"/>
      <c r="N774" s="9"/>
      <c r="O774" s="18">
        <f t="shared" si="225"/>
        <v>12000</v>
      </c>
      <c r="P774" s="9"/>
      <c r="Q774" s="9"/>
      <c r="R774" s="9"/>
      <c r="S774" s="10">
        <f t="shared" si="223"/>
        <v>400</v>
      </c>
    </row>
    <row r="775" spans="2:19" outlineLevel="1">
      <c r="B775" s="13" t="s">
        <v>66</v>
      </c>
      <c r="C775" s="7" t="str">
        <f t="shared" si="221"/>
        <v>CAMINHÃO CAÇAMBA PL JUU 6324</v>
      </c>
      <c r="D775" s="8">
        <f t="shared" si="220"/>
        <v>46097</v>
      </c>
      <c r="E775" s="15"/>
      <c r="F775" s="15"/>
      <c r="G775" s="15">
        <f t="shared" si="222"/>
        <v>0</v>
      </c>
      <c r="H775" s="16" t="s">
        <v>6</v>
      </c>
      <c r="I775" s="10">
        <f t="shared" si="224"/>
        <v>400</v>
      </c>
      <c r="J775" s="16" t="s">
        <v>201</v>
      </c>
      <c r="K775" s="15"/>
      <c r="L775" s="15"/>
      <c r="M775" s="17"/>
      <c r="N775" s="9"/>
      <c r="O775" s="18">
        <f t="shared" si="225"/>
        <v>12000</v>
      </c>
      <c r="P775" s="9"/>
      <c r="Q775" s="9"/>
      <c r="R775" s="9"/>
      <c r="S775" s="10">
        <f t="shared" si="223"/>
        <v>400</v>
      </c>
    </row>
    <row r="776" spans="2:19" outlineLevel="1">
      <c r="B776" s="13" t="s">
        <v>66</v>
      </c>
      <c r="C776" s="7" t="str">
        <f t="shared" si="221"/>
        <v>CAMINHÃO CAÇAMBA PL JUU 6324</v>
      </c>
      <c r="D776" s="8">
        <f t="shared" si="220"/>
        <v>46098</v>
      </c>
      <c r="E776" s="15"/>
      <c r="F776" s="15"/>
      <c r="G776" s="15">
        <f t="shared" si="222"/>
        <v>0</v>
      </c>
      <c r="H776" s="16" t="s">
        <v>6</v>
      </c>
      <c r="I776" s="10">
        <f t="shared" si="224"/>
        <v>400</v>
      </c>
      <c r="J776" s="16" t="s">
        <v>201</v>
      </c>
      <c r="K776" s="15"/>
      <c r="L776" s="15"/>
      <c r="M776" s="17"/>
      <c r="N776" s="9"/>
      <c r="O776" s="18">
        <f t="shared" si="225"/>
        <v>12000</v>
      </c>
      <c r="P776" s="9"/>
      <c r="Q776" s="9"/>
      <c r="R776" s="9"/>
      <c r="S776" s="10">
        <f t="shared" si="223"/>
        <v>400</v>
      </c>
    </row>
    <row r="777" spans="2:19" outlineLevel="1">
      <c r="B777" s="13" t="s">
        <v>66</v>
      </c>
      <c r="C777" s="7" t="str">
        <f t="shared" si="221"/>
        <v>CAMINHÃO CAÇAMBA PL JUU 6324</v>
      </c>
      <c r="D777" s="8">
        <f t="shared" si="220"/>
        <v>46099</v>
      </c>
      <c r="E777" s="15"/>
      <c r="F777" s="15"/>
      <c r="G777" s="15">
        <f t="shared" si="222"/>
        <v>0</v>
      </c>
      <c r="H777" s="16" t="s">
        <v>6</v>
      </c>
      <c r="I777" s="10">
        <f t="shared" si="224"/>
        <v>400</v>
      </c>
      <c r="J777" s="16" t="s">
        <v>201</v>
      </c>
      <c r="K777" s="15"/>
      <c r="L777" s="15"/>
      <c r="M777" s="17"/>
      <c r="N777" s="9"/>
      <c r="O777" s="18">
        <f t="shared" si="225"/>
        <v>12000</v>
      </c>
      <c r="P777" s="9"/>
      <c r="Q777" s="9"/>
      <c r="R777" s="9"/>
      <c r="S777" s="10">
        <f t="shared" si="223"/>
        <v>400</v>
      </c>
    </row>
    <row r="778" spans="2:19" outlineLevel="1">
      <c r="B778" s="13" t="s">
        <v>66</v>
      </c>
      <c r="C778" s="7" t="str">
        <f t="shared" si="221"/>
        <v>CAMINHÃO CAÇAMBA PL JUU 6324</v>
      </c>
      <c r="D778" s="8">
        <f t="shared" si="220"/>
        <v>46100</v>
      </c>
      <c r="E778" s="15"/>
      <c r="F778" s="15"/>
      <c r="G778" s="15">
        <f t="shared" si="222"/>
        <v>0</v>
      </c>
      <c r="H778" s="16" t="s">
        <v>6</v>
      </c>
      <c r="I778" s="10">
        <f t="shared" si="224"/>
        <v>400</v>
      </c>
      <c r="J778" s="16" t="s">
        <v>201</v>
      </c>
      <c r="K778" s="15"/>
      <c r="L778" s="15"/>
      <c r="M778" s="17"/>
      <c r="N778" s="9"/>
      <c r="O778" s="18">
        <f t="shared" si="225"/>
        <v>12000</v>
      </c>
      <c r="P778" s="9"/>
      <c r="Q778" s="9"/>
      <c r="R778" s="9"/>
      <c r="S778" s="10">
        <f t="shared" si="223"/>
        <v>400</v>
      </c>
    </row>
    <row r="779" spans="2:19" outlineLevel="1">
      <c r="B779" s="13" t="s">
        <v>66</v>
      </c>
      <c r="C779" s="7" t="str">
        <f t="shared" si="221"/>
        <v>CAMINHÃO CAÇAMBA PL JUU 6324</v>
      </c>
      <c r="D779" s="8">
        <f t="shared" si="220"/>
        <v>46101</v>
      </c>
      <c r="E779" s="15"/>
      <c r="F779" s="15"/>
      <c r="G779" s="15">
        <f t="shared" si="222"/>
        <v>0</v>
      </c>
      <c r="H779" s="16" t="s">
        <v>6</v>
      </c>
      <c r="I779" s="10">
        <f t="shared" si="224"/>
        <v>400</v>
      </c>
      <c r="J779" s="16" t="s">
        <v>201</v>
      </c>
      <c r="K779" s="15"/>
      <c r="L779" s="15"/>
      <c r="M779" s="17"/>
      <c r="N779" s="9"/>
      <c r="O779" s="18">
        <f t="shared" si="225"/>
        <v>12000</v>
      </c>
      <c r="P779" s="9"/>
      <c r="Q779" s="9"/>
      <c r="R779" s="9"/>
      <c r="S779" s="10">
        <f t="shared" si="223"/>
        <v>400</v>
      </c>
    </row>
    <row r="780" spans="2:19" outlineLevel="1">
      <c r="B780" s="13" t="s">
        <v>66</v>
      </c>
      <c r="C780" s="7" t="str">
        <f t="shared" si="221"/>
        <v>CAMINHÃO CAÇAMBA PL JUU 6324</v>
      </c>
      <c r="D780" s="8">
        <f t="shared" si="220"/>
        <v>46102</v>
      </c>
      <c r="E780" s="15"/>
      <c r="F780" s="15"/>
      <c r="G780" s="15">
        <f t="shared" si="222"/>
        <v>0</v>
      </c>
      <c r="H780" s="16" t="s">
        <v>6</v>
      </c>
      <c r="I780" s="10">
        <f t="shared" si="224"/>
        <v>400</v>
      </c>
      <c r="J780" s="16" t="s">
        <v>201</v>
      </c>
      <c r="K780" s="15"/>
      <c r="L780" s="15"/>
      <c r="M780" s="17"/>
      <c r="N780" s="9"/>
      <c r="O780" s="18">
        <f t="shared" si="225"/>
        <v>12000</v>
      </c>
      <c r="P780" s="9"/>
      <c r="Q780" s="9"/>
      <c r="R780" s="9"/>
      <c r="S780" s="10">
        <f t="shared" si="223"/>
        <v>400</v>
      </c>
    </row>
    <row r="781" spans="2:19" outlineLevel="1">
      <c r="B781" s="13" t="s">
        <v>66</v>
      </c>
      <c r="C781" s="7" t="str">
        <f t="shared" si="221"/>
        <v>CAMINHÃO CAÇAMBA PL JUU 6324</v>
      </c>
      <c r="D781" s="8">
        <f t="shared" si="220"/>
        <v>46103</v>
      </c>
      <c r="E781" s="15"/>
      <c r="F781" s="15"/>
      <c r="G781" s="15">
        <f t="shared" si="222"/>
        <v>0</v>
      </c>
      <c r="H781" s="16" t="s">
        <v>6</v>
      </c>
      <c r="I781" s="10">
        <f t="shared" si="224"/>
        <v>400</v>
      </c>
      <c r="J781" s="16" t="s">
        <v>201</v>
      </c>
      <c r="K781" s="15"/>
      <c r="L781" s="15"/>
      <c r="M781" s="17"/>
      <c r="N781" s="9"/>
      <c r="O781" s="18">
        <f t="shared" si="225"/>
        <v>12000</v>
      </c>
      <c r="P781" s="9"/>
      <c r="Q781" s="9"/>
      <c r="R781" s="9"/>
      <c r="S781" s="10">
        <f t="shared" si="223"/>
        <v>400</v>
      </c>
    </row>
    <row r="782" spans="2:19" outlineLevel="1">
      <c r="B782" s="13" t="s">
        <v>66</v>
      </c>
      <c r="C782" s="7" t="str">
        <f t="shared" si="221"/>
        <v>CAMINHÃO CAÇAMBA PL JUU 6324</v>
      </c>
      <c r="D782" s="8">
        <f t="shared" si="220"/>
        <v>46104</v>
      </c>
      <c r="E782" s="15"/>
      <c r="F782" s="15"/>
      <c r="G782" s="15">
        <f t="shared" si="222"/>
        <v>0</v>
      </c>
      <c r="H782" s="16" t="s">
        <v>6</v>
      </c>
      <c r="I782" s="10">
        <f t="shared" si="224"/>
        <v>400</v>
      </c>
      <c r="J782" s="16" t="s">
        <v>201</v>
      </c>
      <c r="K782" s="15"/>
      <c r="L782" s="15"/>
      <c r="M782" s="17"/>
      <c r="N782" s="9"/>
      <c r="O782" s="18">
        <f t="shared" si="225"/>
        <v>12000</v>
      </c>
      <c r="P782" s="9"/>
      <c r="Q782" s="9"/>
      <c r="R782" s="9"/>
      <c r="S782" s="10">
        <f t="shared" si="223"/>
        <v>400</v>
      </c>
    </row>
    <row r="783" spans="2:19" outlineLevel="1">
      <c r="B783" s="13" t="s">
        <v>66</v>
      </c>
      <c r="C783" s="7" t="str">
        <f t="shared" si="221"/>
        <v>CAMINHÃO CAÇAMBA PL JUU 6324</v>
      </c>
      <c r="D783" s="8">
        <f t="shared" si="220"/>
        <v>46105</v>
      </c>
      <c r="E783" s="15"/>
      <c r="F783" s="15"/>
      <c r="G783" s="15">
        <f t="shared" si="222"/>
        <v>0</v>
      </c>
      <c r="H783" s="16" t="s">
        <v>6</v>
      </c>
      <c r="I783" s="10">
        <f t="shared" si="224"/>
        <v>400</v>
      </c>
      <c r="J783" s="16" t="s">
        <v>201</v>
      </c>
      <c r="K783" s="15"/>
      <c r="L783" s="15"/>
      <c r="M783" s="17"/>
      <c r="N783" s="9"/>
      <c r="O783" s="18">
        <f t="shared" si="225"/>
        <v>12000</v>
      </c>
      <c r="P783" s="9"/>
      <c r="Q783" s="9"/>
      <c r="R783" s="9"/>
      <c r="S783" s="10">
        <f t="shared" si="223"/>
        <v>400</v>
      </c>
    </row>
    <row r="784" spans="2:19" outlineLevel="1">
      <c r="B784" s="13" t="s">
        <v>66</v>
      </c>
      <c r="C784" s="7" t="str">
        <f t="shared" si="221"/>
        <v>CAMINHÃO CAÇAMBA PL JUU 6324</v>
      </c>
      <c r="D784" s="8">
        <f t="shared" si="220"/>
        <v>46106</v>
      </c>
      <c r="E784" s="15"/>
      <c r="F784" s="15"/>
      <c r="G784" s="15">
        <f t="shared" si="222"/>
        <v>0</v>
      </c>
      <c r="H784" s="16" t="s">
        <v>6</v>
      </c>
      <c r="I784" s="10">
        <f t="shared" si="224"/>
        <v>400</v>
      </c>
      <c r="J784" s="16" t="s">
        <v>201</v>
      </c>
      <c r="K784" s="15"/>
      <c r="L784" s="15"/>
      <c r="M784" s="17"/>
      <c r="N784" s="9"/>
      <c r="O784" s="18">
        <f t="shared" si="225"/>
        <v>12000</v>
      </c>
      <c r="P784" s="9"/>
      <c r="Q784" s="9"/>
      <c r="R784" s="9"/>
      <c r="S784" s="10">
        <f t="shared" si="223"/>
        <v>400</v>
      </c>
    </row>
    <row r="785" spans="2:19" outlineLevel="1">
      <c r="B785" s="13" t="s">
        <v>66</v>
      </c>
      <c r="C785" s="7" t="str">
        <f t="shared" si="221"/>
        <v>CAMINHÃO CAÇAMBA PL JUU 6324</v>
      </c>
      <c r="D785" s="8">
        <f t="shared" si="220"/>
        <v>46107</v>
      </c>
      <c r="E785" s="15"/>
      <c r="F785" s="15"/>
      <c r="G785" s="15">
        <f t="shared" si="222"/>
        <v>0</v>
      </c>
      <c r="H785" s="16" t="s">
        <v>6</v>
      </c>
      <c r="I785" s="10">
        <f t="shared" si="224"/>
        <v>400</v>
      </c>
      <c r="J785" s="16" t="s">
        <v>201</v>
      </c>
      <c r="K785" s="15"/>
      <c r="L785" s="15"/>
      <c r="M785" s="17"/>
      <c r="N785" s="9"/>
      <c r="O785" s="18">
        <f t="shared" si="225"/>
        <v>12000</v>
      </c>
      <c r="P785" s="9"/>
      <c r="Q785" s="9"/>
      <c r="R785" s="9"/>
      <c r="S785" s="10">
        <f t="shared" si="223"/>
        <v>400</v>
      </c>
    </row>
    <row r="786" spans="2:19" outlineLevel="1">
      <c r="B786" s="13" t="s">
        <v>66</v>
      </c>
      <c r="C786" s="7" t="str">
        <f t="shared" si="221"/>
        <v>CAMINHÃO CAÇAMBA PL JUU 6324</v>
      </c>
      <c r="D786" s="8">
        <f t="shared" si="220"/>
        <v>46108</v>
      </c>
      <c r="E786" s="15"/>
      <c r="F786" s="15"/>
      <c r="G786" s="15">
        <f t="shared" si="222"/>
        <v>0</v>
      </c>
      <c r="H786" s="16" t="s">
        <v>6</v>
      </c>
      <c r="I786" s="10">
        <f t="shared" si="224"/>
        <v>400</v>
      </c>
      <c r="J786" s="16" t="s">
        <v>201</v>
      </c>
      <c r="K786" s="15"/>
      <c r="L786" s="15"/>
      <c r="M786" s="17"/>
      <c r="N786" s="9"/>
      <c r="O786" s="18">
        <f t="shared" si="225"/>
        <v>12000</v>
      </c>
      <c r="P786" s="9"/>
      <c r="Q786" s="9"/>
      <c r="R786" s="9"/>
      <c r="S786" s="10">
        <f t="shared" si="223"/>
        <v>400</v>
      </c>
    </row>
    <row r="787" spans="2:19" outlineLevel="1">
      <c r="B787" s="13" t="s">
        <v>66</v>
      </c>
      <c r="C787" s="7" t="str">
        <f t="shared" si="221"/>
        <v>CAMINHÃO CAÇAMBA PL JUU 6324</v>
      </c>
      <c r="D787" s="8">
        <f t="shared" ref="D787" si="226">D719</f>
        <v>46109</v>
      </c>
      <c r="E787" s="15"/>
      <c r="F787" s="15"/>
      <c r="G787" s="15">
        <f t="shared" ref="G787:G789" si="227">F787-E787</f>
        <v>0</v>
      </c>
      <c r="H787" s="16" t="s">
        <v>6</v>
      </c>
      <c r="I787" s="10">
        <f>I783</f>
        <v>400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8">SUM(R787+Q787+I787)</f>
        <v>400</v>
      </c>
    </row>
    <row r="788" spans="2:19" outlineLevel="1">
      <c r="B788" s="13" t="s">
        <v>66</v>
      </c>
      <c r="C788" s="7" t="str">
        <f t="shared" si="221"/>
        <v>CAMINHÃO CAÇAMBA PL JUU 6324</v>
      </c>
      <c r="D788" s="8">
        <f t="shared" ref="D788:D790" si="229">D720</f>
        <v>46110</v>
      </c>
      <c r="E788" s="15"/>
      <c r="F788" s="15"/>
      <c r="G788" s="15">
        <f t="shared" si="227"/>
        <v>0</v>
      </c>
      <c r="H788" s="16" t="s">
        <v>6</v>
      </c>
      <c r="I788" s="10">
        <f>I784</f>
        <v>400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8"/>
        <v>400</v>
      </c>
    </row>
    <row r="789" spans="2:19" outlineLevel="1">
      <c r="B789" s="13" t="s">
        <v>66</v>
      </c>
      <c r="C789" s="7" t="str">
        <f t="shared" si="221"/>
        <v>CAMINHÃO CAÇAMBA PL JUU 6324</v>
      </c>
      <c r="D789" s="8">
        <f t="shared" si="229"/>
        <v>46111</v>
      </c>
      <c r="E789" s="15"/>
      <c r="F789" s="15"/>
      <c r="G789" s="15">
        <f t="shared" si="227"/>
        <v>0</v>
      </c>
      <c r="H789" s="16" t="s">
        <v>6</v>
      </c>
      <c r="I789" s="10">
        <f>I785</f>
        <v>400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8"/>
        <v>400</v>
      </c>
    </row>
    <row r="790" spans="2:19" outlineLevel="1">
      <c r="B790" s="13" t="s">
        <v>66</v>
      </c>
      <c r="C790" s="7" t="str">
        <f t="shared" si="221"/>
        <v>CAMINHÃO CAÇAMBA PL JUU 6324</v>
      </c>
      <c r="D790" s="8">
        <f t="shared" si="229"/>
        <v>46112</v>
      </c>
      <c r="E790" s="15"/>
      <c r="F790" s="15"/>
      <c r="G790" s="15">
        <f t="shared" si="222"/>
        <v>0</v>
      </c>
      <c r="H790" s="16" t="s">
        <v>6</v>
      </c>
      <c r="I790" s="10">
        <f>I786</f>
        <v>400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23"/>
        <v>400</v>
      </c>
    </row>
    <row r="791" spans="2:19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5" t="str">
        <f>M$1</f>
        <v>BM JANEIRO 2026</v>
      </c>
      <c r="N792" s="135"/>
      <c r="O792" s="135"/>
      <c r="P792" s="19" t="s">
        <v>10</v>
      </c>
      <c r="Q792" s="136" t="s">
        <v>208</v>
      </c>
      <c r="R792" s="136"/>
      <c r="S792" s="136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68" t="s">
        <v>68</v>
      </c>
      <c r="C794" s="7" t="str">
        <f>C$792</f>
        <v>CAMINHÃO PIPA BOB 31320 BRANCO PL KJZ 1526</v>
      </c>
      <c r="D794" s="8">
        <f t="shared" ref="D794:D824" si="230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500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O794/30</f>
        <v>500</v>
      </c>
      <c r="Q794" s="9"/>
      <c r="R794" s="9"/>
      <c r="S794" s="10">
        <f>SUM(R794+Q794+I794)</f>
        <v>500</v>
      </c>
    </row>
    <row r="795" spans="2:19" outlineLevel="1">
      <c r="B795" s="12" t="s">
        <v>0</v>
      </c>
      <c r="C795" s="7" t="str">
        <f t="shared" ref="C795:C824" si="231">C$792</f>
        <v>CAMINHÃO PIPA BOB 31320 BRANCO PL KJZ 1526</v>
      </c>
      <c r="D795" s="8">
        <f t="shared" si="230"/>
        <v>46083</v>
      </c>
      <c r="E795" s="15"/>
      <c r="F795" s="15"/>
      <c r="G795" s="15">
        <f t="shared" ref="G795:G820" si="232">F795-E795</f>
        <v>0</v>
      </c>
      <c r="H795" s="16" t="s">
        <v>6</v>
      </c>
      <c r="I795" s="10">
        <f>I794</f>
        <v>500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33">SUM(R795+Q795+I795)</f>
        <v>500</v>
      </c>
    </row>
    <row r="796" spans="2:19" outlineLevel="1">
      <c r="B796" s="13" t="s">
        <v>68</v>
      </c>
      <c r="C796" s="7" t="str">
        <f t="shared" si="231"/>
        <v>CAMINHÃO PIPA BOB 31320 BRANCO PL KJZ 1526</v>
      </c>
      <c r="D796" s="8">
        <f t="shared" si="230"/>
        <v>46084</v>
      </c>
      <c r="E796" s="15"/>
      <c r="F796" s="15"/>
      <c r="G796" s="15">
        <f t="shared" si="232"/>
        <v>0</v>
      </c>
      <c r="H796" s="16" t="s">
        <v>6</v>
      </c>
      <c r="I796" s="10">
        <f t="shared" ref="I796:I824" si="234">I795</f>
        <v>500</v>
      </c>
      <c r="J796" s="16" t="s">
        <v>201</v>
      </c>
      <c r="K796" s="15"/>
      <c r="L796" s="15"/>
      <c r="M796" s="17"/>
      <c r="N796" s="8"/>
      <c r="O796" s="18">
        <f t="shared" ref="O796:O824" si="235">O795</f>
        <v>15000</v>
      </c>
      <c r="P796" s="9"/>
      <c r="Q796" s="9"/>
      <c r="R796" s="9"/>
      <c r="S796" s="10">
        <f t="shared" si="233"/>
        <v>500</v>
      </c>
    </row>
    <row r="797" spans="2:19" outlineLevel="1">
      <c r="B797" s="13" t="s">
        <v>68</v>
      </c>
      <c r="C797" s="7" t="str">
        <f t="shared" si="231"/>
        <v>CAMINHÃO PIPA BOB 31320 BRANCO PL KJZ 1526</v>
      </c>
      <c r="D797" s="8">
        <f t="shared" si="230"/>
        <v>46085</v>
      </c>
      <c r="E797" s="15"/>
      <c r="F797" s="15"/>
      <c r="G797" s="15">
        <f t="shared" si="232"/>
        <v>0</v>
      </c>
      <c r="H797" s="16" t="s">
        <v>6</v>
      </c>
      <c r="I797" s="10">
        <f t="shared" si="234"/>
        <v>500</v>
      </c>
      <c r="J797" s="16" t="s">
        <v>201</v>
      </c>
      <c r="K797" s="15"/>
      <c r="L797" s="15"/>
      <c r="M797" s="17"/>
      <c r="N797" s="8"/>
      <c r="O797" s="18">
        <f t="shared" si="235"/>
        <v>15000</v>
      </c>
      <c r="P797" s="9"/>
      <c r="Q797" s="9"/>
      <c r="R797" s="9"/>
      <c r="S797" s="10">
        <f t="shared" si="233"/>
        <v>500</v>
      </c>
    </row>
    <row r="798" spans="2:19" outlineLevel="1">
      <c r="B798" s="13" t="s">
        <v>68</v>
      </c>
      <c r="C798" s="7" t="str">
        <f t="shared" si="231"/>
        <v>CAMINHÃO PIPA BOB 31320 BRANCO PL KJZ 1526</v>
      </c>
      <c r="D798" s="8">
        <f t="shared" si="230"/>
        <v>46086</v>
      </c>
      <c r="E798" s="15"/>
      <c r="F798" s="15"/>
      <c r="G798" s="15">
        <f t="shared" si="232"/>
        <v>0</v>
      </c>
      <c r="H798" s="16" t="s">
        <v>6</v>
      </c>
      <c r="I798" s="10">
        <f t="shared" si="234"/>
        <v>500</v>
      </c>
      <c r="J798" s="16" t="s">
        <v>201</v>
      </c>
      <c r="K798" s="15"/>
      <c r="L798" s="15"/>
      <c r="M798" s="17"/>
      <c r="N798" s="8"/>
      <c r="O798" s="18">
        <f t="shared" si="235"/>
        <v>15000</v>
      </c>
      <c r="P798" s="9"/>
      <c r="Q798" s="9"/>
      <c r="R798" s="9"/>
      <c r="S798" s="10">
        <f t="shared" si="233"/>
        <v>500</v>
      </c>
    </row>
    <row r="799" spans="2:19" outlineLevel="1">
      <c r="B799" s="13" t="s">
        <v>68</v>
      </c>
      <c r="C799" s="7" t="str">
        <f t="shared" si="231"/>
        <v>CAMINHÃO PIPA BOB 31320 BRANCO PL KJZ 1526</v>
      </c>
      <c r="D799" s="8">
        <f t="shared" si="230"/>
        <v>46087</v>
      </c>
      <c r="E799" s="15"/>
      <c r="F799" s="15"/>
      <c r="G799" s="15">
        <f t="shared" si="232"/>
        <v>0</v>
      </c>
      <c r="H799" s="16" t="s">
        <v>6</v>
      </c>
      <c r="I799" s="10">
        <f t="shared" si="234"/>
        <v>500</v>
      </c>
      <c r="J799" s="16" t="s">
        <v>201</v>
      </c>
      <c r="K799" s="15"/>
      <c r="L799" s="15"/>
      <c r="M799" s="17"/>
      <c r="N799" s="8"/>
      <c r="O799" s="18">
        <f t="shared" si="235"/>
        <v>15000</v>
      </c>
      <c r="P799" s="9"/>
      <c r="Q799" s="9"/>
      <c r="R799" s="9"/>
      <c r="S799" s="10">
        <f t="shared" si="233"/>
        <v>500</v>
      </c>
    </row>
    <row r="800" spans="2:19" outlineLevel="1">
      <c r="B800" s="13" t="s">
        <v>68</v>
      </c>
      <c r="C800" s="7" t="str">
        <f t="shared" si="231"/>
        <v>CAMINHÃO PIPA BOB 31320 BRANCO PL KJZ 1526</v>
      </c>
      <c r="D800" s="8">
        <f t="shared" si="230"/>
        <v>46088</v>
      </c>
      <c r="E800" s="15"/>
      <c r="F800" s="15"/>
      <c r="G800" s="15">
        <f t="shared" si="232"/>
        <v>0</v>
      </c>
      <c r="H800" s="16" t="s">
        <v>6</v>
      </c>
      <c r="I800" s="10">
        <f t="shared" si="234"/>
        <v>500</v>
      </c>
      <c r="J800" s="16" t="s">
        <v>201</v>
      </c>
      <c r="K800" s="15"/>
      <c r="L800" s="15"/>
      <c r="M800" s="17"/>
      <c r="N800" s="8"/>
      <c r="O800" s="18">
        <f t="shared" si="235"/>
        <v>15000</v>
      </c>
      <c r="P800" s="9"/>
      <c r="Q800" s="9"/>
      <c r="R800" s="9"/>
      <c r="S800" s="10">
        <f t="shared" si="233"/>
        <v>500</v>
      </c>
    </row>
    <row r="801" spans="2:19" outlineLevel="1">
      <c r="B801" s="13" t="s">
        <v>68</v>
      </c>
      <c r="C801" s="7" t="str">
        <f t="shared" si="231"/>
        <v>CAMINHÃO PIPA BOB 31320 BRANCO PL KJZ 1526</v>
      </c>
      <c r="D801" s="8">
        <f t="shared" si="230"/>
        <v>46089</v>
      </c>
      <c r="E801" s="15"/>
      <c r="F801" s="15"/>
      <c r="G801" s="15">
        <f t="shared" si="232"/>
        <v>0</v>
      </c>
      <c r="H801" s="16" t="s">
        <v>6</v>
      </c>
      <c r="I801" s="10">
        <f t="shared" si="234"/>
        <v>500</v>
      </c>
      <c r="J801" s="16" t="s">
        <v>201</v>
      </c>
      <c r="K801" s="15"/>
      <c r="L801" s="15"/>
      <c r="M801" s="17"/>
      <c r="N801" s="8"/>
      <c r="O801" s="18">
        <f t="shared" si="235"/>
        <v>15000</v>
      </c>
      <c r="P801" s="9"/>
      <c r="Q801" s="9"/>
      <c r="R801" s="9"/>
      <c r="S801" s="10">
        <f t="shared" si="233"/>
        <v>500</v>
      </c>
    </row>
    <row r="802" spans="2:19" outlineLevel="1">
      <c r="B802" s="13" t="s">
        <v>68</v>
      </c>
      <c r="C802" s="7" t="str">
        <f t="shared" si="231"/>
        <v>CAMINHÃO PIPA BOB 31320 BRANCO PL KJZ 1526</v>
      </c>
      <c r="D802" s="8">
        <f t="shared" si="230"/>
        <v>46090</v>
      </c>
      <c r="E802" s="15"/>
      <c r="F802" s="15"/>
      <c r="G802" s="15">
        <f t="shared" si="232"/>
        <v>0</v>
      </c>
      <c r="H802" s="16" t="s">
        <v>6</v>
      </c>
      <c r="I802" s="10">
        <f t="shared" si="234"/>
        <v>500</v>
      </c>
      <c r="J802" s="16" t="s">
        <v>201</v>
      </c>
      <c r="K802" s="15"/>
      <c r="L802" s="15"/>
      <c r="M802" s="17"/>
      <c r="N802" s="8"/>
      <c r="O802" s="18">
        <f t="shared" si="235"/>
        <v>15000</v>
      </c>
      <c r="P802" s="9"/>
      <c r="Q802" s="9"/>
      <c r="R802" s="9"/>
      <c r="S802" s="10">
        <f t="shared" si="233"/>
        <v>500</v>
      </c>
    </row>
    <row r="803" spans="2:19" outlineLevel="1">
      <c r="B803" s="13" t="s">
        <v>68</v>
      </c>
      <c r="C803" s="7" t="str">
        <f t="shared" si="231"/>
        <v>CAMINHÃO PIPA BOB 31320 BRANCO PL KJZ 1526</v>
      </c>
      <c r="D803" s="8">
        <f t="shared" si="230"/>
        <v>46091</v>
      </c>
      <c r="E803" s="15"/>
      <c r="F803" s="15"/>
      <c r="G803" s="15">
        <f t="shared" si="232"/>
        <v>0</v>
      </c>
      <c r="H803" s="16" t="s">
        <v>6</v>
      </c>
      <c r="I803" s="10">
        <f t="shared" si="234"/>
        <v>500</v>
      </c>
      <c r="J803" s="16" t="s">
        <v>201</v>
      </c>
      <c r="K803" s="15"/>
      <c r="L803" s="15"/>
      <c r="M803" s="17"/>
      <c r="N803" s="8"/>
      <c r="O803" s="18">
        <f t="shared" si="235"/>
        <v>15000</v>
      </c>
      <c r="P803" s="9"/>
      <c r="Q803" s="9"/>
      <c r="R803" s="9"/>
      <c r="S803" s="10">
        <f t="shared" si="233"/>
        <v>500</v>
      </c>
    </row>
    <row r="804" spans="2:19" outlineLevel="1">
      <c r="B804" s="13" t="s">
        <v>68</v>
      </c>
      <c r="C804" s="7" t="str">
        <f t="shared" si="231"/>
        <v>CAMINHÃO PIPA BOB 31320 BRANCO PL KJZ 1526</v>
      </c>
      <c r="D804" s="8">
        <f t="shared" si="230"/>
        <v>46092</v>
      </c>
      <c r="E804" s="15"/>
      <c r="F804" s="15"/>
      <c r="G804" s="15">
        <f t="shared" si="232"/>
        <v>0</v>
      </c>
      <c r="H804" s="16" t="s">
        <v>6</v>
      </c>
      <c r="I804" s="10">
        <f t="shared" si="234"/>
        <v>500</v>
      </c>
      <c r="J804" s="16" t="s">
        <v>201</v>
      </c>
      <c r="K804" s="15"/>
      <c r="L804" s="15"/>
      <c r="M804" s="17"/>
      <c r="N804" s="8"/>
      <c r="O804" s="18">
        <f t="shared" si="235"/>
        <v>15000</v>
      </c>
      <c r="P804" s="9"/>
      <c r="Q804" s="9"/>
      <c r="R804" s="9"/>
      <c r="S804" s="10">
        <f t="shared" si="233"/>
        <v>500</v>
      </c>
    </row>
    <row r="805" spans="2:19" outlineLevel="1">
      <c r="B805" s="13" t="s">
        <v>68</v>
      </c>
      <c r="C805" s="7" t="str">
        <f t="shared" si="231"/>
        <v>CAMINHÃO PIPA BOB 31320 BRANCO PL KJZ 1526</v>
      </c>
      <c r="D805" s="8">
        <f t="shared" si="230"/>
        <v>46093</v>
      </c>
      <c r="E805" s="15"/>
      <c r="F805" s="15"/>
      <c r="G805" s="15">
        <f t="shared" si="232"/>
        <v>0</v>
      </c>
      <c r="H805" s="16" t="s">
        <v>6</v>
      </c>
      <c r="I805" s="10">
        <f t="shared" si="234"/>
        <v>500</v>
      </c>
      <c r="J805" s="16" t="s">
        <v>201</v>
      </c>
      <c r="K805" s="15"/>
      <c r="L805" s="15"/>
      <c r="M805" s="17"/>
      <c r="N805" s="8"/>
      <c r="O805" s="18">
        <f t="shared" si="235"/>
        <v>15000</v>
      </c>
      <c r="P805" s="9"/>
      <c r="Q805" s="9"/>
      <c r="R805" s="9"/>
      <c r="S805" s="10">
        <f t="shared" si="233"/>
        <v>500</v>
      </c>
    </row>
    <row r="806" spans="2:19" outlineLevel="1">
      <c r="B806" s="13" t="s">
        <v>68</v>
      </c>
      <c r="C806" s="7" t="str">
        <f t="shared" si="231"/>
        <v>CAMINHÃO PIPA BOB 31320 BRANCO PL KJZ 1526</v>
      </c>
      <c r="D806" s="8">
        <f t="shared" si="230"/>
        <v>46094</v>
      </c>
      <c r="E806" s="15"/>
      <c r="F806" s="15"/>
      <c r="G806" s="15">
        <f t="shared" si="232"/>
        <v>0</v>
      </c>
      <c r="H806" s="16" t="s">
        <v>6</v>
      </c>
      <c r="I806" s="10">
        <f t="shared" si="234"/>
        <v>500</v>
      </c>
      <c r="J806" s="16" t="s">
        <v>201</v>
      </c>
      <c r="K806" s="15"/>
      <c r="L806" s="15"/>
      <c r="M806" s="17"/>
      <c r="N806" s="8"/>
      <c r="O806" s="18">
        <f t="shared" si="235"/>
        <v>15000</v>
      </c>
      <c r="P806" s="9"/>
      <c r="Q806" s="9"/>
      <c r="R806" s="9"/>
      <c r="S806" s="10">
        <f t="shared" si="233"/>
        <v>500</v>
      </c>
    </row>
    <row r="807" spans="2:19" outlineLevel="1">
      <c r="B807" s="13" t="s">
        <v>68</v>
      </c>
      <c r="C807" s="7" t="str">
        <f t="shared" si="231"/>
        <v>CAMINHÃO PIPA BOB 31320 BRANCO PL KJZ 1526</v>
      </c>
      <c r="D807" s="8">
        <f t="shared" si="230"/>
        <v>46095</v>
      </c>
      <c r="E807" s="15"/>
      <c r="F807" s="15"/>
      <c r="G807" s="15">
        <f t="shared" si="232"/>
        <v>0</v>
      </c>
      <c r="H807" s="16" t="s">
        <v>6</v>
      </c>
      <c r="I807" s="10">
        <f t="shared" si="234"/>
        <v>500</v>
      </c>
      <c r="J807" s="16" t="s">
        <v>201</v>
      </c>
      <c r="K807" s="15"/>
      <c r="L807" s="15"/>
      <c r="M807" s="17"/>
      <c r="N807" s="8"/>
      <c r="O807" s="18">
        <f t="shared" si="235"/>
        <v>15000</v>
      </c>
      <c r="P807" s="9"/>
      <c r="Q807" s="9"/>
      <c r="R807" s="9"/>
      <c r="S807" s="10">
        <f t="shared" si="233"/>
        <v>500</v>
      </c>
    </row>
    <row r="808" spans="2:19" outlineLevel="1">
      <c r="B808" s="13" t="s">
        <v>68</v>
      </c>
      <c r="C808" s="7" t="str">
        <f t="shared" si="231"/>
        <v>CAMINHÃO PIPA BOB 31320 BRANCO PL KJZ 1526</v>
      </c>
      <c r="D808" s="8">
        <f t="shared" si="230"/>
        <v>46096</v>
      </c>
      <c r="E808" s="15"/>
      <c r="F808" s="15"/>
      <c r="G808" s="15">
        <f t="shared" si="232"/>
        <v>0</v>
      </c>
      <c r="H808" s="16" t="s">
        <v>6</v>
      </c>
      <c r="I808" s="10">
        <f t="shared" si="234"/>
        <v>500</v>
      </c>
      <c r="J808" s="16" t="s">
        <v>201</v>
      </c>
      <c r="K808" s="15"/>
      <c r="L808" s="15"/>
      <c r="M808" s="17"/>
      <c r="N808" s="8"/>
      <c r="O808" s="18">
        <f t="shared" si="235"/>
        <v>15000</v>
      </c>
      <c r="P808" s="9"/>
      <c r="Q808" s="9"/>
      <c r="R808" s="9"/>
      <c r="S808" s="10">
        <f t="shared" si="233"/>
        <v>500</v>
      </c>
    </row>
    <row r="809" spans="2:19" outlineLevel="1">
      <c r="B809" s="13" t="s">
        <v>68</v>
      </c>
      <c r="C809" s="7" t="str">
        <f t="shared" si="231"/>
        <v>CAMINHÃO PIPA BOB 31320 BRANCO PL KJZ 1526</v>
      </c>
      <c r="D809" s="8">
        <f t="shared" si="230"/>
        <v>46097</v>
      </c>
      <c r="E809" s="15"/>
      <c r="F809" s="15"/>
      <c r="G809" s="15">
        <f t="shared" si="232"/>
        <v>0</v>
      </c>
      <c r="H809" s="16" t="s">
        <v>6</v>
      </c>
      <c r="I809" s="10">
        <f t="shared" si="234"/>
        <v>500</v>
      </c>
      <c r="J809" s="16" t="s">
        <v>201</v>
      </c>
      <c r="K809" s="15"/>
      <c r="L809" s="15"/>
      <c r="M809" s="17"/>
      <c r="N809" s="8"/>
      <c r="O809" s="18">
        <f t="shared" si="235"/>
        <v>15000</v>
      </c>
      <c r="P809" s="9"/>
      <c r="Q809" s="9"/>
      <c r="R809" s="9"/>
      <c r="S809" s="10">
        <f t="shared" si="233"/>
        <v>500</v>
      </c>
    </row>
    <row r="810" spans="2:19" outlineLevel="1">
      <c r="B810" s="13" t="s">
        <v>68</v>
      </c>
      <c r="C810" s="7" t="str">
        <f t="shared" si="231"/>
        <v>CAMINHÃO PIPA BOB 31320 BRANCO PL KJZ 1526</v>
      </c>
      <c r="D810" s="8">
        <f t="shared" si="230"/>
        <v>46098</v>
      </c>
      <c r="E810" s="15"/>
      <c r="F810" s="15"/>
      <c r="G810" s="15">
        <f t="shared" si="232"/>
        <v>0</v>
      </c>
      <c r="H810" s="16" t="s">
        <v>6</v>
      </c>
      <c r="I810" s="10">
        <f t="shared" si="234"/>
        <v>500</v>
      </c>
      <c r="J810" s="16" t="s">
        <v>201</v>
      </c>
      <c r="K810" s="15"/>
      <c r="L810" s="15"/>
      <c r="M810" s="17"/>
      <c r="N810" s="8"/>
      <c r="O810" s="18">
        <f t="shared" si="235"/>
        <v>15000</v>
      </c>
      <c r="P810" s="9"/>
      <c r="Q810" s="9"/>
      <c r="R810" s="9"/>
      <c r="S810" s="10">
        <f t="shared" si="233"/>
        <v>500</v>
      </c>
    </row>
    <row r="811" spans="2:19" outlineLevel="1">
      <c r="B811" s="13" t="s">
        <v>68</v>
      </c>
      <c r="C811" s="7" t="str">
        <f t="shared" si="231"/>
        <v>CAMINHÃO PIPA BOB 31320 BRANCO PL KJZ 1526</v>
      </c>
      <c r="D811" s="8">
        <f t="shared" si="230"/>
        <v>46099</v>
      </c>
      <c r="E811" s="15"/>
      <c r="F811" s="15"/>
      <c r="G811" s="15">
        <f t="shared" si="232"/>
        <v>0</v>
      </c>
      <c r="H811" s="16" t="s">
        <v>6</v>
      </c>
      <c r="I811" s="10">
        <f t="shared" si="234"/>
        <v>500</v>
      </c>
      <c r="J811" s="16" t="s">
        <v>201</v>
      </c>
      <c r="K811" s="15"/>
      <c r="L811" s="15"/>
      <c r="M811" s="17"/>
      <c r="N811" s="8"/>
      <c r="O811" s="18">
        <f t="shared" si="235"/>
        <v>15000</v>
      </c>
      <c r="P811" s="9"/>
      <c r="Q811" s="9"/>
      <c r="R811" s="9"/>
      <c r="S811" s="10">
        <f t="shared" si="233"/>
        <v>500</v>
      </c>
    </row>
    <row r="812" spans="2:19" outlineLevel="1">
      <c r="B812" s="13" t="s">
        <v>68</v>
      </c>
      <c r="C812" s="7" t="str">
        <f t="shared" si="231"/>
        <v>CAMINHÃO PIPA BOB 31320 BRANCO PL KJZ 1526</v>
      </c>
      <c r="D812" s="8">
        <f t="shared" si="230"/>
        <v>46100</v>
      </c>
      <c r="E812" s="15"/>
      <c r="F812" s="15"/>
      <c r="G812" s="15">
        <f t="shared" si="232"/>
        <v>0</v>
      </c>
      <c r="H812" s="16" t="s">
        <v>6</v>
      </c>
      <c r="I812" s="10">
        <f t="shared" si="234"/>
        <v>500</v>
      </c>
      <c r="J812" s="16" t="s">
        <v>201</v>
      </c>
      <c r="K812" s="15"/>
      <c r="L812" s="15"/>
      <c r="M812" s="17"/>
      <c r="N812" s="8"/>
      <c r="O812" s="18">
        <f t="shared" si="235"/>
        <v>15000</v>
      </c>
      <c r="P812" s="9"/>
      <c r="Q812" s="9"/>
      <c r="R812" s="9"/>
      <c r="S812" s="10">
        <f t="shared" si="233"/>
        <v>500</v>
      </c>
    </row>
    <row r="813" spans="2:19" outlineLevel="1">
      <c r="B813" s="13" t="s">
        <v>68</v>
      </c>
      <c r="C813" s="7" t="str">
        <f t="shared" si="231"/>
        <v>CAMINHÃO PIPA BOB 31320 BRANCO PL KJZ 1526</v>
      </c>
      <c r="D813" s="8">
        <f t="shared" si="230"/>
        <v>46101</v>
      </c>
      <c r="E813" s="15"/>
      <c r="F813" s="15"/>
      <c r="G813" s="15">
        <f t="shared" si="232"/>
        <v>0</v>
      </c>
      <c r="H813" s="16" t="s">
        <v>6</v>
      </c>
      <c r="I813" s="10">
        <f t="shared" si="234"/>
        <v>500</v>
      </c>
      <c r="J813" s="16" t="s">
        <v>201</v>
      </c>
      <c r="K813" s="15"/>
      <c r="L813" s="15"/>
      <c r="M813" s="17"/>
      <c r="N813" s="8"/>
      <c r="O813" s="18">
        <f t="shared" si="235"/>
        <v>15000</v>
      </c>
      <c r="P813" s="9"/>
      <c r="Q813" s="9"/>
      <c r="R813" s="9"/>
      <c r="S813" s="10">
        <f t="shared" si="233"/>
        <v>500</v>
      </c>
    </row>
    <row r="814" spans="2:19" outlineLevel="1">
      <c r="B814" s="13" t="s">
        <v>68</v>
      </c>
      <c r="C814" s="7" t="str">
        <f t="shared" si="231"/>
        <v>CAMINHÃO PIPA BOB 31320 BRANCO PL KJZ 1526</v>
      </c>
      <c r="D814" s="8">
        <f t="shared" si="230"/>
        <v>46102</v>
      </c>
      <c r="E814" s="15"/>
      <c r="F814" s="15"/>
      <c r="G814" s="15">
        <f t="shared" si="232"/>
        <v>0</v>
      </c>
      <c r="H814" s="16" t="s">
        <v>6</v>
      </c>
      <c r="I814" s="10">
        <f t="shared" si="234"/>
        <v>500</v>
      </c>
      <c r="J814" s="16" t="s">
        <v>201</v>
      </c>
      <c r="K814" s="15"/>
      <c r="L814" s="15"/>
      <c r="M814" s="17"/>
      <c r="N814" s="8"/>
      <c r="O814" s="18">
        <f t="shared" si="235"/>
        <v>15000</v>
      </c>
      <c r="P814" s="9"/>
      <c r="Q814" s="9"/>
      <c r="R814" s="9"/>
      <c r="S814" s="10">
        <f t="shared" si="233"/>
        <v>500</v>
      </c>
    </row>
    <row r="815" spans="2:19" outlineLevel="1">
      <c r="B815" s="13" t="s">
        <v>68</v>
      </c>
      <c r="C815" s="7" t="str">
        <f t="shared" si="231"/>
        <v>CAMINHÃO PIPA BOB 31320 BRANCO PL KJZ 1526</v>
      </c>
      <c r="D815" s="8">
        <f t="shared" si="230"/>
        <v>46103</v>
      </c>
      <c r="E815" s="15"/>
      <c r="F815" s="15"/>
      <c r="G815" s="15">
        <f t="shared" si="232"/>
        <v>0</v>
      </c>
      <c r="H815" s="16" t="s">
        <v>6</v>
      </c>
      <c r="I815" s="10">
        <f t="shared" si="234"/>
        <v>500</v>
      </c>
      <c r="J815" s="16" t="s">
        <v>201</v>
      </c>
      <c r="K815" s="15"/>
      <c r="L815" s="15"/>
      <c r="M815" s="17"/>
      <c r="N815" s="8"/>
      <c r="O815" s="18">
        <f t="shared" si="235"/>
        <v>15000</v>
      </c>
      <c r="P815" s="9"/>
      <c r="Q815" s="9"/>
      <c r="R815" s="9"/>
      <c r="S815" s="10">
        <f t="shared" si="233"/>
        <v>500</v>
      </c>
    </row>
    <row r="816" spans="2:19" outlineLevel="1">
      <c r="B816" s="13" t="s">
        <v>68</v>
      </c>
      <c r="C816" s="7" t="str">
        <f t="shared" si="231"/>
        <v>CAMINHÃO PIPA BOB 31320 BRANCO PL KJZ 1526</v>
      </c>
      <c r="D816" s="8">
        <f t="shared" si="230"/>
        <v>46104</v>
      </c>
      <c r="E816" s="15"/>
      <c r="F816" s="15"/>
      <c r="G816" s="15">
        <f t="shared" si="232"/>
        <v>0</v>
      </c>
      <c r="H816" s="16" t="s">
        <v>6</v>
      </c>
      <c r="I816" s="10">
        <f t="shared" si="234"/>
        <v>500</v>
      </c>
      <c r="J816" s="16" t="s">
        <v>201</v>
      </c>
      <c r="K816" s="15"/>
      <c r="L816" s="15"/>
      <c r="M816" s="17"/>
      <c r="N816" s="8"/>
      <c r="O816" s="18">
        <f t="shared" si="235"/>
        <v>15000</v>
      </c>
      <c r="P816" s="9"/>
      <c r="Q816" s="9"/>
      <c r="R816" s="9"/>
      <c r="S816" s="10">
        <f t="shared" si="233"/>
        <v>500</v>
      </c>
    </row>
    <row r="817" spans="2:19" outlineLevel="1">
      <c r="B817" s="13" t="s">
        <v>68</v>
      </c>
      <c r="C817" s="7" t="str">
        <f t="shared" si="231"/>
        <v>CAMINHÃO PIPA BOB 31320 BRANCO PL KJZ 1526</v>
      </c>
      <c r="D817" s="8">
        <f t="shared" si="230"/>
        <v>46105</v>
      </c>
      <c r="E817" s="15"/>
      <c r="F817" s="15"/>
      <c r="G817" s="15">
        <f t="shared" si="232"/>
        <v>0</v>
      </c>
      <c r="H817" s="16" t="s">
        <v>6</v>
      </c>
      <c r="I817" s="10">
        <f t="shared" si="234"/>
        <v>500</v>
      </c>
      <c r="J817" s="16" t="s">
        <v>201</v>
      </c>
      <c r="K817" s="15"/>
      <c r="L817" s="15"/>
      <c r="M817" s="17"/>
      <c r="N817" s="8"/>
      <c r="O817" s="18">
        <f t="shared" si="235"/>
        <v>15000</v>
      </c>
      <c r="P817" s="9"/>
      <c r="Q817" s="9"/>
      <c r="R817" s="9"/>
      <c r="S817" s="10">
        <f t="shared" si="233"/>
        <v>500</v>
      </c>
    </row>
    <row r="818" spans="2:19" outlineLevel="1">
      <c r="B818" s="13" t="s">
        <v>68</v>
      </c>
      <c r="C818" s="7" t="str">
        <f t="shared" si="231"/>
        <v>CAMINHÃO PIPA BOB 31320 BRANCO PL KJZ 1526</v>
      </c>
      <c r="D818" s="8">
        <f t="shared" si="230"/>
        <v>46106</v>
      </c>
      <c r="E818" s="15"/>
      <c r="F818" s="15"/>
      <c r="G818" s="15">
        <f t="shared" si="232"/>
        <v>0</v>
      </c>
      <c r="H818" s="16" t="s">
        <v>6</v>
      </c>
      <c r="I818" s="10">
        <f t="shared" si="234"/>
        <v>500</v>
      </c>
      <c r="J818" s="16" t="s">
        <v>201</v>
      </c>
      <c r="K818" s="15"/>
      <c r="L818" s="15"/>
      <c r="M818" s="17"/>
      <c r="N818" s="8"/>
      <c r="O818" s="18">
        <f t="shared" si="235"/>
        <v>15000</v>
      </c>
      <c r="P818" s="9"/>
      <c r="Q818" s="9"/>
      <c r="R818" s="9"/>
      <c r="S818" s="10">
        <f t="shared" si="233"/>
        <v>500</v>
      </c>
    </row>
    <row r="819" spans="2:19" outlineLevel="1">
      <c r="B819" s="13" t="s">
        <v>68</v>
      </c>
      <c r="C819" s="7" t="str">
        <f t="shared" si="231"/>
        <v>CAMINHÃO PIPA BOB 31320 BRANCO PL KJZ 1526</v>
      </c>
      <c r="D819" s="8">
        <f t="shared" si="230"/>
        <v>46107</v>
      </c>
      <c r="E819" s="15"/>
      <c r="F819" s="15"/>
      <c r="G819" s="15">
        <f t="shared" si="232"/>
        <v>0</v>
      </c>
      <c r="H819" s="16" t="s">
        <v>6</v>
      </c>
      <c r="I819" s="10">
        <f t="shared" si="234"/>
        <v>500</v>
      </c>
      <c r="J819" s="16" t="s">
        <v>201</v>
      </c>
      <c r="K819" s="15"/>
      <c r="L819" s="15"/>
      <c r="M819" s="17"/>
      <c r="N819" s="8"/>
      <c r="O819" s="18">
        <f t="shared" si="235"/>
        <v>15000</v>
      </c>
      <c r="P819" s="9"/>
      <c r="Q819" s="9"/>
      <c r="R819" s="9"/>
      <c r="S819" s="10">
        <f t="shared" si="233"/>
        <v>500</v>
      </c>
    </row>
    <row r="820" spans="2:19" outlineLevel="1">
      <c r="B820" s="13" t="s">
        <v>68</v>
      </c>
      <c r="C820" s="7" t="str">
        <f t="shared" si="231"/>
        <v>CAMINHÃO PIPA BOB 31320 BRANCO PL KJZ 1526</v>
      </c>
      <c r="D820" s="8">
        <f t="shared" si="230"/>
        <v>46108</v>
      </c>
      <c r="E820" s="15"/>
      <c r="F820" s="15"/>
      <c r="G820" s="15">
        <f t="shared" si="232"/>
        <v>0</v>
      </c>
      <c r="H820" s="16" t="s">
        <v>6</v>
      </c>
      <c r="I820" s="10">
        <f t="shared" si="234"/>
        <v>500</v>
      </c>
      <c r="J820" s="16" t="s">
        <v>201</v>
      </c>
      <c r="K820" s="15"/>
      <c r="L820" s="15"/>
      <c r="M820" s="17"/>
      <c r="N820" s="8"/>
      <c r="O820" s="18">
        <f t="shared" si="235"/>
        <v>15000</v>
      </c>
      <c r="P820" s="9"/>
      <c r="Q820" s="9"/>
      <c r="R820" s="9"/>
      <c r="S820" s="10">
        <f t="shared" si="233"/>
        <v>500</v>
      </c>
    </row>
    <row r="821" spans="2:19" outlineLevel="1">
      <c r="B821" s="13" t="s">
        <v>68</v>
      </c>
      <c r="C821" s="7" t="str">
        <f t="shared" si="231"/>
        <v>CAMINHÃO PIPA BOB 31320 BRANCO PL KJZ 1526</v>
      </c>
      <c r="D821" s="8">
        <f t="shared" si="230"/>
        <v>46109</v>
      </c>
      <c r="E821" s="15"/>
      <c r="F821" s="15"/>
      <c r="G821" s="15">
        <f t="shared" ref="G821:G824" si="236">F821-E821</f>
        <v>0</v>
      </c>
      <c r="H821" s="16" t="s">
        <v>6</v>
      </c>
      <c r="I821" s="10">
        <f t="shared" si="234"/>
        <v>500</v>
      </c>
      <c r="J821" s="16" t="s">
        <v>201</v>
      </c>
      <c r="K821" s="15"/>
      <c r="L821" s="15"/>
      <c r="M821" s="17"/>
      <c r="N821" s="8"/>
      <c r="O821" s="18">
        <f t="shared" si="235"/>
        <v>15000</v>
      </c>
      <c r="P821" s="9"/>
      <c r="Q821" s="9"/>
      <c r="R821" s="9"/>
      <c r="S821" s="10">
        <f t="shared" ref="S821:S824" si="237">SUM(R821+Q821+I821)</f>
        <v>500</v>
      </c>
    </row>
    <row r="822" spans="2:19" outlineLevel="1">
      <c r="B822" s="13" t="s">
        <v>68</v>
      </c>
      <c r="C822" s="7" t="str">
        <f t="shared" si="231"/>
        <v>CAMINHÃO PIPA BOB 31320 BRANCO PL KJZ 1526</v>
      </c>
      <c r="D822" s="8">
        <f t="shared" si="230"/>
        <v>46110</v>
      </c>
      <c r="E822" s="15"/>
      <c r="F822" s="15"/>
      <c r="G822" s="15">
        <f t="shared" si="236"/>
        <v>0</v>
      </c>
      <c r="H822" s="16" t="s">
        <v>6</v>
      </c>
      <c r="I822" s="10">
        <f t="shared" si="234"/>
        <v>500</v>
      </c>
      <c r="J822" s="16" t="s">
        <v>201</v>
      </c>
      <c r="K822" s="15"/>
      <c r="L822" s="15"/>
      <c r="M822" s="17"/>
      <c r="N822" s="8"/>
      <c r="O822" s="18">
        <f t="shared" si="235"/>
        <v>15000</v>
      </c>
      <c r="P822" s="9"/>
      <c r="Q822" s="9"/>
      <c r="R822" s="9"/>
      <c r="S822" s="10">
        <f t="shared" si="237"/>
        <v>500</v>
      </c>
    </row>
    <row r="823" spans="2:19" outlineLevel="1">
      <c r="B823" s="13" t="s">
        <v>68</v>
      </c>
      <c r="C823" s="7" t="str">
        <f t="shared" si="231"/>
        <v>CAMINHÃO PIPA BOB 31320 BRANCO PL KJZ 1526</v>
      </c>
      <c r="D823" s="8">
        <f t="shared" si="230"/>
        <v>46111</v>
      </c>
      <c r="E823" s="15"/>
      <c r="F823" s="15"/>
      <c r="G823" s="15">
        <f t="shared" si="236"/>
        <v>0</v>
      </c>
      <c r="H823" s="16" t="s">
        <v>6</v>
      </c>
      <c r="I823" s="10">
        <f t="shared" si="234"/>
        <v>500</v>
      </c>
      <c r="J823" s="16" t="s">
        <v>201</v>
      </c>
      <c r="K823" s="15"/>
      <c r="L823" s="15"/>
      <c r="M823" s="17"/>
      <c r="N823" s="8"/>
      <c r="O823" s="18">
        <f t="shared" si="235"/>
        <v>15000</v>
      </c>
      <c r="P823" s="9"/>
      <c r="Q823" s="9"/>
      <c r="R823" s="9"/>
      <c r="S823" s="10">
        <f t="shared" si="237"/>
        <v>500</v>
      </c>
    </row>
    <row r="824" spans="2:19" outlineLevel="1">
      <c r="B824" s="13" t="s">
        <v>68</v>
      </c>
      <c r="C824" s="7" t="str">
        <f t="shared" si="231"/>
        <v>CAMINHÃO PIPA BOB 31320 BRANCO PL KJZ 1526</v>
      </c>
      <c r="D824" s="8">
        <f t="shared" si="230"/>
        <v>46112</v>
      </c>
      <c r="E824" s="15"/>
      <c r="F824" s="15"/>
      <c r="G824" s="15">
        <f t="shared" si="236"/>
        <v>0</v>
      </c>
      <c r="H824" s="16" t="s">
        <v>6</v>
      </c>
      <c r="I824" s="10">
        <f t="shared" si="234"/>
        <v>500</v>
      </c>
      <c r="J824" s="16" t="s">
        <v>201</v>
      </c>
      <c r="K824" s="15"/>
      <c r="L824" s="15"/>
      <c r="M824" s="17"/>
      <c r="N824" s="8"/>
      <c r="O824" s="18">
        <f t="shared" si="235"/>
        <v>15000</v>
      </c>
      <c r="P824" s="9"/>
      <c r="Q824" s="9"/>
      <c r="R824" s="9"/>
      <c r="S824" s="10">
        <f t="shared" si="237"/>
        <v>500</v>
      </c>
    </row>
    <row r="825" spans="2:19" outlineLevel="1">
      <c r="B825" s="13"/>
      <c r="D825" s="1"/>
      <c r="E825" s="129"/>
      <c r="F825" s="129"/>
      <c r="G825" s="129"/>
      <c r="H825" s="130"/>
      <c r="I825" s="131"/>
      <c r="J825" s="130"/>
      <c r="K825" s="129"/>
      <c r="L825" s="129"/>
      <c r="M825" s="132"/>
      <c r="N825" s="1"/>
      <c r="O825" s="133"/>
      <c r="P825" s="134"/>
      <c r="Q825" s="134"/>
      <c r="R825" s="134"/>
      <c r="S825" s="131"/>
    </row>
    <row r="826" spans="2:19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5" t="str">
        <f>M$1</f>
        <v>BM JANEIRO 2026</v>
      </c>
      <c r="N827" s="135"/>
      <c r="O827" s="135"/>
      <c r="P827" s="19" t="s">
        <v>10</v>
      </c>
      <c r="Q827" s="136"/>
      <c r="R827" s="136"/>
      <c r="S827" s="136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outlineLevel="1">
      <c r="B829" s="68" t="s">
        <v>70</v>
      </c>
      <c r="C829" s="7" t="str">
        <f>$C827</f>
        <v>CAMINHÃO CAÇAMBA WV  BOB 24250  KKT 1F92</v>
      </c>
      <c r="D829" s="8">
        <f t="shared" ref="D829:D855" si="238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outlineLevel="1">
      <c r="B830" s="12" t="s">
        <v>0</v>
      </c>
      <c r="C830" s="7" t="s">
        <v>71</v>
      </c>
      <c r="D830" s="8">
        <f t="shared" si="238"/>
        <v>46083</v>
      </c>
      <c r="E830" s="15"/>
      <c r="F830" s="15"/>
      <c r="G830" s="15">
        <f t="shared" ref="G830:G859" si="239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40">SUM(R830+Q830+I830)</f>
        <v>0</v>
      </c>
    </row>
    <row r="831" spans="2:19" outlineLevel="1">
      <c r="B831" s="13" t="s">
        <v>70</v>
      </c>
      <c r="C831" s="7" t="str">
        <f t="shared" ref="C831:C855" si="241">$C829</f>
        <v>CAMINHÃO CAÇAMBA WV  BOB 24250  KKT 1F92</v>
      </c>
      <c r="D831" s="8">
        <f t="shared" si="238"/>
        <v>46084</v>
      </c>
      <c r="E831" s="15"/>
      <c r="F831" s="15"/>
      <c r="G831" s="15">
        <f t="shared" si="239"/>
        <v>0</v>
      </c>
      <c r="H831" s="16" t="s">
        <v>6</v>
      </c>
      <c r="I831" s="10">
        <f t="shared" ref="I831:I855" si="242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43">O830</f>
        <v>0</v>
      </c>
      <c r="P831" s="9"/>
      <c r="Q831" s="9"/>
      <c r="R831" s="85">
        <v>0</v>
      </c>
      <c r="S831" s="10">
        <f t="shared" si="240"/>
        <v>0</v>
      </c>
    </row>
    <row r="832" spans="2:19" outlineLevel="1">
      <c r="B832" s="13" t="s">
        <v>70</v>
      </c>
      <c r="C832" s="7" t="str">
        <f t="shared" si="241"/>
        <v>CAMINHÃO CAÇAMBA WV  BOB 24250  KKT 1F92</v>
      </c>
      <c r="D832" s="8">
        <f t="shared" si="238"/>
        <v>46085</v>
      </c>
      <c r="E832" s="15"/>
      <c r="F832" s="15"/>
      <c r="G832" s="15">
        <f t="shared" si="239"/>
        <v>0</v>
      </c>
      <c r="H832" s="16" t="s">
        <v>6</v>
      </c>
      <c r="I832" s="10">
        <f t="shared" si="242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43"/>
        <v>0</v>
      </c>
      <c r="P832" s="9"/>
      <c r="Q832" s="9"/>
      <c r="R832" s="85">
        <v>0</v>
      </c>
      <c r="S832" s="10">
        <f t="shared" si="240"/>
        <v>0</v>
      </c>
    </row>
    <row r="833" spans="2:19" outlineLevel="1">
      <c r="B833" s="13" t="s">
        <v>70</v>
      </c>
      <c r="C833" s="7" t="str">
        <f t="shared" si="241"/>
        <v>CAMINHÃO CAÇAMBA WV  BOB 24250  KKT 1F92</v>
      </c>
      <c r="D833" s="8">
        <f t="shared" si="238"/>
        <v>46086</v>
      </c>
      <c r="E833" s="15"/>
      <c r="F833" s="15"/>
      <c r="G833" s="15">
        <f t="shared" si="239"/>
        <v>0</v>
      </c>
      <c r="H833" s="16" t="s">
        <v>6</v>
      </c>
      <c r="I833" s="10">
        <f t="shared" si="242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43"/>
        <v>0</v>
      </c>
      <c r="P833" s="9"/>
      <c r="Q833" s="9"/>
      <c r="R833" s="85">
        <v>0</v>
      </c>
      <c r="S833" s="10">
        <f t="shared" si="240"/>
        <v>0</v>
      </c>
    </row>
    <row r="834" spans="2:19" outlineLevel="1">
      <c r="B834" s="13" t="s">
        <v>70</v>
      </c>
      <c r="C834" s="7" t="str">
        <f t="shared" si="241"/>
        <v>CAMINHÃO CAÇAMBA WV  BOB 24250  KKT 1F92</v>
      </c>
      <c r="D834" s="8">
        <f t="shared" si="238"/>
        <v>46087</v>
      </c>
      <c r="E834" s="15"/>
      <c r="F834" s="15"/>
      <c r="G834" s="15">
        <f t="shared" si="239"/>
        <v>0</v>
      </c>
      <c r="H834" s="16" t="s">
        <v>6</v>
      </c>
      <c r="I834" s="10">
        <f t="shared" si="242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43"/>
        <v>0</v>
      </c>
      <c r="P834" s="9"/>
      <c r="Q834" s="9"/>
      <c r="R834" s="85">
        <v>0</v>
      </c>
      <c r="S834" s="10">
        <f t="shared" si="240"/>
        <v>0</v>
      </c>
    </row>
    <row r="835" spans="2:19" outlineLevel="1">
      <c r="B835" s="13" t="s">
        <v>70</v>
      </c>
      <c r="C835" s="7" t="str">
        <f t="shared" si="241"/>
        <v>CAMINHÃO CAÇAMBA WV  BOB 24250  KKT 1F92</v>
      </c>
      <c r="D835" s="8">
        <f t="shared" si="238"/>
        <v>46088</v>
      </c>
      <c r="E835" s="15"/>
      <c r="F835" s="15"/>
      <c r="G835" s="15">
        <f t="shared" si="239"/>
        <v>0</v>
      </c>
      <c r="H835" s="16" t="s">
        <v>6</v>
      </c>
      <c r="I835" s="10">
        <f t="shared" si="242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43"/>
        <v>0</v>
      </c>
      <c r="P835" s="9"/>
      <c r="Q835" s="9"/>
      <c r="R835" s="85">
        <v>0</v>
      </c>
      <c r="S835" s="10">
        <f t="shared" si="240"/>
        <v>0</v>
      </c>
    </row>
    <row r="836" spans="2:19" outlineLevel="1">
      <c r="B836" s="13" t="s">
        <v>70</v>
      </c>
      <c r="C836" s="7" t="str">
        <f t="shared" si="241"/>
        <v>CAMINHÃO CAÇAMBA WV  BOB 24250  KKT 1F92</v>
      </c>
      <c r="D836" s="8">
        <f t="shared" si="238"/>
        <v>46089</v>
      </c>
      <c r="E836" s="15"/>
      <c r="F836" s="15"/>
      <c r="G836" s="15">
        <f t="shared" si="239"/>
        <v>0</v>
      </c>
      <c r="H836" s="16" t="s">
        <v>6</v>
      </c>
      <c r="I836" s="10">
        <f t="shared" si="242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43"/>
        <v>0</v>
      </c>
      <c r="P836" s="9"/>
      <c r="Q836" s="9"/>
      <c r="R836" s="85">
        <v>0</v>
      </c>
      <c r="S836" s="10">
        <f t="shared" si="240"/>
        <v>0</v>
      </c>
    </row>
    <row r="837" spans="2:19" outlineLevel="1">
      <c r="B837" s="13" t="s">
        <v>70</v>
      </c>
      <c r="C837" s="7" t="str">
        <f t="shared" si="241"/>
        <v>CAMINHÃO CAÇAMBA WV  BOB 24250  KKT 1F92</v>
      </c>
      <c r="D837" s="8">
        <f t="shared" si="238"/>
        <v>46090</v>
      </c>
      <c r="E837" s="15"/>
      <c r="F837" s="15"/>
      <c r="G837" s="15">
        <f t="shared" si="239"/>
        <v>0</v>
      </c>
      <c r="H837" s="16" t="s">
        <v>6</v>
      </c>
      <c r="I837" s="10">
        <f t="shared" si="242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43"/>
        <v>0</v>
      </c>
      <c r="P837" s="9"/>
      <c r="Q837" s="9"/>
      <c r="R837" s="85">
        <v>0</v>
      </c>
      <c r="S837" s="10">
        <f t="shared" si="240"/>
        <v>0</v>
      </c>
    </row>
    <row r="838" spans="2:19" outlineLevel="1">
      <c r="B838" s="13" t="s">
        <v>70</v>
      </c>
      <c r="C838" s="7" t="str">
        <f t="shared" si="241"/>
        <v>CAMINHÃO CAÇAMBA WV  BOB 24250  KKT 1F92</v>
      </c>
      <c r="D838" s="8">
        <f t="shared" si="238"/>
        <v>46091</v>
      </c>
      <c r="E838" s="15"/>
      <c r="F838" s="15"/>
      <c r="G838" s="15">
        <f t="shared" si="239"/>
        <v>0</v>
      </c>
      <c r="H838" s="16" t="s">
        <v>6</v>
      </c>
      <c r="I838" s="10">
        <f t="shared" si="242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43"/>
        <v>0</v>
      </c>
      <c r="P838" s="9"/>
      <c r="Q838" s="9"/>
      <c r="R838" s="85">
        <v>0</v>
      </c>
      <c r="S838" s="10">
        <f t="shared" si="240"/>
        <v>0</v>
      </c>
    </row>
    <row r="839" spans="2:19" outlineLevel="1">
      <c r="B839" s="13" t="s">
        <v>70</v>
      </c>
      <c r="C839" s="7" t="str">
        <f t="shared" si="241"/>
        <v>CAMINHÃO CAÇAMBA WV  BOB 24250  KKT 1F92</v>
      </c>
      <c r="D839" s="8">
        <f t="shared" si="238"/>
        <v>46092</v>
      </c>
      <c r="E839" s="15"/>
      <c r="F839" s="15"/>
      <c r="G839" s="15">
        <f t="shared" si="239"/>
        <v>0</v>
      </c>
      <c r="H839" s="16" t="s">
        <v>6</v>
      </c>
      <c r="I839" s="10">
        <f t="shared" si="242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43"/>
        <v>0</v>
      </c>
      <c r="P839" s="9"/>
      <c r="Q839" s="9"/>
      <c r="R839" s="85">
        <v>0</v>
      </c>
      <c r="S839" s="10">
        <f t="shared" si="240"/>
        <v>0</v>
      </c>
    </row>
    <row r="840" spans="2:19" outlineLevel="1">
      <c r="B840" s="13" t="s">
        <v>70</v>
      </c>
      <c r="C840" s="7" t="str">
        <f t="shared" si="241"/>
        <v>CAMINHÃO CAÇAMBA WV  BOB 24250  KKT 1F92</v>
      </c>
      <c r="D840" s="8">
        <f t="shared" si="238"/>
        <v>46093</v>
      </c>
      <c r="E840" s="15"/>
      <c r="F840" s="15"/>
      <c r="G840" s="15">
        <f t="shared" si="239"/>
        <v>0</v>
      </c>
      <c r="H840" s="16" t="s">
        <v>6</v>
      </c>
      <c r="I840" s="10">
        <f t="shared" si="242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43"/>
        <v>0</v>
      </c>
      <c r="P840" s="9"/>
      <c r="Q840" s="9"/>
      <c r="R840" s="85">
        <v>0</v>
      </c>
      <c r="S840" s="10">
        <f t="shared" si="240"/>
        <v>0</v>
      </c>
    </row>
    <row r="841" spans="2:19" outlineLevel="1">
      <c r="B841" s="13" t="s">
        <v>70</v>
      </c>
      <c r="C841" s="7" t="str">
        <f t="shared" si="241"/>
        <v>CAMINHÃO CAÇAMBA WV  BOB 24250  KKT 1F92</v>
      </c>
      <c r="D841" s="8">
        <f t="shared" si="238"/>
        <v>46094</v>
      </c>
      <c r="E841" s="15"/>
      <c r="F841" s="15"/>
      <c r="G841" s="15">
        <f t="shared" si="239"/>
        <v>0</v>
      </c>
      <c r="H841" s="16" t="s">
        <v>6</v>
      </c>
      <c r="I841" s="10">
        <f t="shared" si="242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43"/>
        <v>0</v>
      </c>
      <c r="P841" s="9"/>
      <c r="Q841" s="9"/>
      <c r="R841" s="85">
        <v>0</v>
      </c>
      <c r="S841" s="10">
        <f t="shared" si="240"/>
        <v>0</v>
      </c>
    </row>
    <row r="842" spans="2:19" outlineLevel="1">
      <c r="B842" s="13" t="s">
        <v>70</v>
      </c>
      <c r="C842" s="7" t="str">
        <f t="shared" si="241"/>
        <v>CAMINHÃO CAÇAMBA WV  BOB 24250  KKT 1F92</v>
      </c>
      <c r="D842" s="8">
        <f t="shared" si="238"/>
        <v>46095</v>
      </c>
      <c r="E842" s="15"/>
      <c r="F842" s="15"/>
      <c r="G842" s="15">
        <f t="shared" si="239"/>
        <v>0</v>
      </c>
      <c r="H842" s="16" t="s">
        <v>6</v>
      </c>
      <c r="I842" s="10">
        <f t="shared" si="242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43"/>
        <v>0</v>
      </c>
      <c r="P842" s="9"/>
      <c r="Q842" s="9"/>
      <c r="R842" s="85">
        <v>0</v>
      </c>
      <c r="S842" s="10">
        <f t="shared" si="240"/>
        <v>0</v>
      </c>
    </row>
    <row r="843" spans="2:19" outlineLevel="1">
      <c r="B843" s="13" t="s">
        <v>70</v>
      </c>
      <c r="C843" s="7" t="str">
        <f t="shared" si="241"/>
        <v>CAMINHÃO CAÇAMBA WV  BOB 24250  KKT 1F92</v>
      </c>
      <c r="D843" s="8">
        <f t="shared" si="238"/>
        <v>46096</v>
      </c>
      <c r="E843" s="15"/>
      <c r="F843" s="15"/>
      <c r="G843" s="15">
        <f t="shared" si="239"/>
        <v>0</v>
      </c>
      <c r="H843" s="16" t="s">
        <v>6</v>
      </c>
      <c r="I843" s="10">
        <f t="shared" si="242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43"/>
        <v>0</v>
      </c>
      <c r="P843" s="9"/>
      <c r="Q843" s="9"/>
      <c r="R843" s="85">
        <v>0</v>
      </c>
      <c r="S843" s="10">
        <f t="shared" si="240"/>
        <v>0</v>
      </c>
    </row>
    <row r="844" spans="2:19" outlineLevel="1">
      <c r="B844" s="13" t="s">
        <v>70</v>
      </c>
      <c r="C844" s="7" t="str">
        <f t="shared" si="241"/>
        <v>CAMINHÃO CAÇAMBA WV  BOB 24250  KKT 1F92</v>
      </c>
      <c r="D844" s="8">
        <f t="shared" si="238"/>
        <v>46097</v>
      </c>
      <c r="E844" s="15"/>
      <c r="F844" s="15"/>
      <c r="G844" s="15">
        <f t="shared" si="239"/>
        <v>0</v>
      </c>
      <c r="H844" s="16" t="s">
        <v>6</v>
      </c>
      <c r="I844" s="10">
        <f t="shared" si="242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43"/>
        <v>0</v>
      </c>
      <c r="P844" s="9"/>
      <c r="Q844" s="9"/>
      <c r="R844" s="85">
        <v>0</v>
      </c>
      <c r="S844" s="10">
        <f t="shared" si="240"/>
        <v>0</v>
      </c>
    </row>
    <row r="845" spans="2:19" outlineLevel="1">
      <c r="B845" s="13" t="s">
        <v>70</v>
      </c>
      <c r="C845" s="7" t="str">
        <f t="shared" si="241"/>
        <v>CAMINHÃO CAÇAMBA WV  BOB 24250  KKT 1F92</v>
      </c>
      <c r="D845" s="8">
        <f t="shared" si="238"/>
        <v>46098</v>
      </c>
      <c r="E845" s="15"/>
      <c r="F845" s="15"/>
      <c r="G845" s="15">
        <f t="shared" si="239"/>
        <v>0</v>
      </c>
      <c r="H845" s="16" t="s">
        <v>6</v>
      </c>
      <c r="I845" s="10">
        <f t="shared" si="242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43"/>
        <v>0</v>
      </c>
      <c r="P845" s="9"/>
      <c r="Q845" s="9"/>
      <c r="R845" s="85">
        <v>0</v>
      </c>
      <c r="S845" s="10">
        <f t="shared" si="240"/>
        <v>0</v>
      </c>
    </row>
    <row r="846" spans="2:19" outlineLevel="1">
      <c r="B846" s="13" t="s">
        <v>70</v>
      </c>
      <c r="C846" s="7" t="str">
        <f t="shared" si="241"/>
        <v>CAMINHÃO CAÇAMBA WV  BOB 24250  KKT 1F92</v>
      </c>
      <c r="D846" s="8">
        <f t="shared" si="238"/>
        <v>46099</v>
      </c>
      <c r="E846" s="15"/>
      <c r="F846" s="15"/>
      <c r="G846" s="15">
        <f t="shared" si="239"/>
        <v>0</v>
      </c>
      <c r="H846" s="16" t="s">
        <v>6</v>
      </c>
      <c r="I846" s="10">
        <f t="shared" si="242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43"/>
        <v>0</v>
      </c>
      <c r="P846" s="9"/>
      <c r="Q846" s="9"/>
      <c r="R846" s="85">
        <v>0</v>
      </c>
      <c r="S846" s="10">
        <f t="shared" si="240"/>
        <v>0</v>
      </c>
    </row>
    <row r="847" spans="2:19" outlineLevel="1">
      <c r="B847" s="13" t="s">
        <v>70</v>
      </c>
      <c r="C847" s="7" t="str">
        <f t="shared" si="241"/>
        <v>CAMINHÃO CAÇAMBA WV  BOB 24250  KKT 1F92</v>
      </c>
      <c r="D847" s="8">
        <f t="shared" si="238"/>
        <v>46100</v>
      </c>
      <c r="E847" s="15"/>
      <c r="F847" s="15"/>
      <c r="G847" s="15">
        <f t="shared" si="239"/>
        <v>0</v>
      </c>
      <c r="H847" s="16" t="s">
        <v>6</v>
      </c>
      <c r="I847" s="10">
        <f t="shared" si="242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43"/>
        <v>0</v>
      </c>
      <c r="P847" s="9"/>
      <c r="Q847" s="9"/>
      <c r="R847" s="85">
        <v>0</v>
      </c>
      <c r="S847" s="10">
        <f t="shared" si="240"/>
        <v>0</v>
      </c>
    </row>
    <row r="848" spans="2:19" outlineLevel="1">
      <c r="B848" s="13" t="s">
        <v>70</v>
      </c>
      <c r="C848" s="7" t="str">
        <f t="shared" si="241"/>
        <v>CAMINHÃO CAÇAMBA WV  BOB 24250  KKT 1F92</v>
      </c>
      <c r="D848" s="8">
        <f t="shared" si="238"/>
        <v>46101</v>
      </c>
      <c r="E848" s="15"/>
      <c r="F848" s="15"/>
      <c r="G848" s="15">
        <f t="shared" si="239"/>
        <v>0</v>
      </c>
      <c r="H848" s="16" t="s">
        <v>6</v>
      </c>
      <c r="I848" s="10">
        <f t="shared" si="242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43"/>
        <v>0</v>
      </c>
      <c r="P848" s="9"/>
      <c r="Q848" s="9"/>
      <c r="R848" s="85">
        <v>0</v>
      </c>
      <c r="S848" s="10">
        <f t="shared" si="240"/>
        <v>0</v>
      </c>
    </row>
    <row r="849" spans="2:19" outlineLevel="1">
      <c r="B849" s="13" t="s">
        <v>70</v>
      </c>
      <c r="C849" s="7" t="str">
        <f t="shared" si="241"/>
        <v>CAMINHÃO CAÇAMBA WV  BOB 24250  KKT 1F92</v>
      </c>
      <c r="D849" s="8">
        <f t="shared" si="238"/>
        <v>46102</v>
      </c>
      <c r="E849" s="15"/>
      <c r="F849" s="15"/>
      <c r="G849" s="15">
        <f t="shared" si="239"/>
        <v>0</v>
      </c>
      <c r="H849" s="16" t="s">
        <v>6</v>
      </c>
      <c r="I849" s="10">
        <f t="shared" si="242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43"/>
        <v>0</v>
      </c>
      <c r="P849" s="9"/>
      <c r="Q849" s="9"/>
      <c r="R849" s="85">
        <v>0</v>
      </c>
      <c r="S849" s="10">
        <f t="shared" si="240"/>
        <v>0</v>
      </c>
    </row>
    <row r="850" spans="2:19" outlineLevel="1">
      <c r="B850" s="13" t="s">
        <v>70</v>
      </c>
      <c r="C850" s="7" t="str">
        <f t="shared" si="241"/>
        <v>CAMINHÃO CAÇAMBA WV  BOB 24250  KKT 1F92</v>
      </c>
      <c r="D850" s="8">
        <f t="shared" si="238"/>
        <v>46103</v>
      </c>
      <c r="E850" s="15"/>
      <c r="F850" s="15"/>
      <c r="G850" s="15">
        <f t="shared" si="239"/>
        <v>0</v>
      </c>
      <c r="H850" s="16" t="s">
        <v>6</v>
      </c>
      <c r="I850" s="10">
        <f t="shared" si="242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43"/>
        <v>0</v>
      </c>
      <c r="P850" s="9"/>
      <c r="Q850" s="9"/>
      <c r="R850" s="85">
        <v>0</v>
      </c>
      <c r="S850" s="10">
        <f t="shared" si="240"/>
        <v>0</v>
      </c>
    </row>
    <row r="851" spans="2:19" outlineLevel="1">
      <c r="B851" s="13" t="s">
        <v>70</v>
      </c>
      <c r="C851" s="7" t="str">
        <f t="shared" si="241"/>
        <v>CAMINHÃO CAÇAMBA WV  BOB 24250  KKT 1F92</v>
      </c>
      <c r="D851" s="8">
        <f t="shared" si="238"/>
        <v>46104</v>
      </c>
      <c r="E851" s="15"/>
      <c r="F851" s="15"/>
      <c r="G851" s="15">
        <f t="shared" si="239"/>
        <v>0</v>
      </c>
      <c r="H851" s="16" t="s">
        <v>6</v>
      </c>
      <c r="I851" s="10">
        <f t="shared" si="242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43"/>
        <v>0</v>
      </c>
      <c r="P851" s="9"/>
      <c r="Q851" s="9"/>
      <c r="R851" s="85">
        <v>0</v>
      </c>
      <c r="S851" s="10">
        <f t="shared" si="240"/>
        <v>0</v>
      </c>
    </row>
    <row r="852" spans="2:19" outlineLevel="1">
      <c r="B852" s="13" t="s">
        <v>70</v>
      </c>
      <c r="C852" s="7" t="str">
        <f t="shared" si="241"/>
        <v>CAMINHÃO CAÇAMBA WV  BOB 24250  KKT 1F92</v>
      </c>
      <c r="D852" s="8">
        <f t="shared" si="238"/>
        <v>46105</v>
      </c>
      <c r="E852" s="15"/>
      <c r="F852" s="15"/>
      <c r="G852" s="15">
        <f t="shared" si="239"/>
        <v>0</v>
      </c>
      <c r="H852" s="16" t="s">
        <v>6</v>
      </c>
      <c r="I852" s="10">
        <f t="shared" si="242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43"/>
        <v>0</v>
      </c>
      <c r="P852" s="9"/>
      <c r="Q852" s="9"/>
      <c r="R852" s="85">
        <v>0</v>
      </c>
      <c r="S852" s="10">
        <f t="shared" si="240"/>
        <v>0</v>
      </c>
    </row>
    <row r="853" spans="2:19" outlineLevel="1">
      <c r="B853" s="13" t="s">
        <v>70</v>
      </c>
      <c r="C853" s="7" t="str">
        <f t="shared" si="241"/>
        <v>CAMINHÃO CAÇAMBA WV  BOB 24250  KKT 1F92</v>
      </c>
      <c r="D853" s="8">
        <f t="shared" si="238"/>
        <v>46106</v>
      </c>
      <c r="E853" s="15"/>
      <c r="F853" s="15"/>
      <c r="G853" s="15">
        <f t="shared" si="239"/>
        <v>0</v>
      </c>
      <c r="H853" s="16" t="s">
        <v>6</v>
      </c>
      <c r="I853" s="10">
        <f t="shared" si="242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43"/>
        <v>0</v>
      </c>
      <c r="P853" s="9"/>
      <c r="Q853" s="9"/>
      <c r="R853" s="85">
        <v>0</v>
      </c>
      <c r="S853" s="10">
        <f t="shared" si="240"/>
        <v>0</v>
      </c>
    </row>
    <row r="854" spans="2:19" outlineLevel="1">
      <c r="B854" s="13" t="s">
        <v>70</v>
      </c>
      <c r="C854" s="7" t="str">
        <f t="shared" si="241"/>
        <v>CAMINHÃO CAÇAMBA WV  BOB 24250  KKT 1F92</v>
      </c>
      <c r="D854" s="8">
        <f t="shared" si="238"/>
        <v>46107</v>
      </c>
      <c r="E854" s="15"/>
      <c r="F854" s="15"/>
      <c r="G854" s="15">
        <f t="shared" si="239"/>
        <v>0</v>
      </c>
      <c r="H854" s="16" t="s">
        <v>6</v>
      </c>
      <c r="I854" s="10">
        <f t="shared" si="242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43"/>
        <v>0</v>
      </c>
      <c r="P854" s="9"/>
      <c r="Q854" s="9"/>
      <c r="R854" s="85">
        <v>0</v>
      </c>
      <c r="S854" s="10">
        <f t="shared" si="240"/>
        <v>0</v>
      </c>
    </row>
    <row r="855" spans="2:19" outlineLevel="1">
      <c r="B855" s="13" t="s">
        <v>70</v>
      </c>
      <c r="C855" s="7" t="str">
        <f t="shared" si="241"/>
        <v>CAMINHÃO CAÇAMBA WV  BOB 24250  KKT 1F92</v>
      </c>
      <c r="D855" s="8">
        <f t="shared" si="238"/>
        <v>46108</v>
      </c>
      <c r="E855" s="15"/>
      <c r="F855" s="15"/>
      <c r="G855" s="15">
        <f t="shared" si="239"/>
        <v>0</v>
      </c>
      <c r="H855" s="16" t="s">
        <v>6</v>
      </c>
      <c r="I855" s="10">
        <f t="shared" si="242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43"/>
        <v>0</v>
      </c>
      <c r="P855" s="9"/>
      <c r="Q855" s="9"/>
      <c r="R855" s="85">
        <v>0</v>
      </c>
      <c r="S855" s="10">
        <f t="shared" si="240"/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ref="D856" si="244">D787</f>
        <v>46109</v>
      </c>
      <c r="E856" s="15"/>
      <c r="F856" s="15"/>
      <c r="G856" s="15">
        <f t="shared" ref="G856:G858" si="245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6">SUM(R856+Q856+I856)</f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ref="D857:D859" si="247">D788</f>
        <v>46110</v>
      </c>
      <c r="E857" s="15"/>
      <c r="F857" s="15"/>
      <c r="G857" s="15">
        <f t="shared" si="245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6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47"/>
        <v>46111</v>
      </c>
      <c r="E858" s="15"/>
      <c r="F858" s="15"/>
      <c r="G858" s="15">
        <f t="shared" si="24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6"/>
        <v>0</v>
      </c>
    </row>
    <row r="859" spans="2:19" outlineLevel="1">
      <c r="B859" s="13" t="s">
        <v>70</v>
      </c>
      <c r="C859" s="7" t="str">
        <f>$C854</f>
        <v>CAMINHÃO CAÇAMBA WV  BOB 24250  KKT 1F92</v>
      </c>
      <c r="D859" s="8">
        <f t="shared" si="247"/>
        <v>46112</v>
      </c>
      <c r="E859" s="15"/>
      <c r="F859" s="15"/>
      <c r="G859" s="15">
        <f t="shared" si="239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40"/>
        <v>0</v>
      </c>
    </row>
    <row r="860" spans="2:19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5" t="str">
        <f>M$1</f>
        <v>BM JANEIRO 2026</v>
      </c>
      <c r="N861" s="135"/>
      <c r="O861" s="135"/>
      <c r="P861" s="19" t="s">
        <v>10</v>
      </c>
      <c r="Q861" s="136"/>
      <c r="R861" s="136"/>
      <c r="S861" s="136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outlineLevel="1">
      <c r="B863" s="68" t="s">
        <v>72</v>
      </c>
      <c r="C863" s="7" t="str">
        <f>C$861</f>
        <v>VASSOURA HIDRÁULICA MINI RETRO</v>
      </c>
      <c r="D863" s="8">
        <f t="shared" ref="D863:D889" si="248">D794</f>
        <v>46082</v>
      </c>
      <c r="E863" s="15"/>
      <c r="F863" s="15"/>
      <c r="G863" s="15">
        <f>F863-E863</f>
        <v>0</v>
      </c>
      <c r="H863" s="16"/>
      <c r="I863" s="10">
        <f>P863</f>
        <v>166.66666666666666</v>
      </c>
      <c r="J863" s="16"/>
      <c r="K863" s="15">
        <v>0</v>
      </c>
      <c r="L863" s="15"/>
      <c r="M863" s="17"/>
      <c r="N863" s="8"/>
      <c r="O863" s="9">
        <v>5000</v>
      </c>
      <c r="P863" s="9">
        <f>O863/30</f>
        <v>166.66666666666666</v>
      </c>
      <c r="Q863" s="9"/>
      <c r="R863" s="9"/>
      <c r="S863" s="10">
        <f>SUM(R863+Q863+I863)</f>
        <v>166.66666666666666</v>
      </c>
    </row>
    <row r="864" spans="2:19" outlineLevel="1">
      <c r="B864" s="12" t="s">
        <v>0</v>
      </c>
      <c r="C864" s="7" t="str">
        <f t="shared" ref="C864:C895" si="249">C$861</f>
        <v>VASSOURA HIDRÁULICA MINI RETRO</v>
      </c>
      <c r="D864" s="8">
        <f t="shared" si="248"/>
        <v>46083</v>
      </c>
      <c r="E864" s="15"/>
      <c r="F864" s="15"/>
      <c r="G864" s="15">
        <f t="shared" ref="G864:G895" si="250">F864-E864</f>
        <v>0</v>
      </c>
      <c r="H864" s="16"/>
      <c r="I864" s="10">
        <f>I863</f>
        <v>166.66666666666666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51">SUM(R864+Q864+I864)</f>
        <v>166.66666666666666</v>
      </c>
    </row>
    <row r="865" spans="2:19" outlineLevel="1">
      <c r="B865" s="13" t="s">
        <v>72</v>
      </c>
      <c r="C865" s="7" t="str">
        <f t="shared" si="249"/>
        <v>VASSOURA HIDRÁULICA MINI RETRO</v>
      </c>
      <c r="D865" s="8">
        <f t="shared" si="248"/>
        <v>46084</v>
      </c>
      <c r="E865" s="15"/>
      <c r="F865" s="15"/>
      <c r="G865" s="15">
        <f t="shared" si="250"/>
        <v>0</v>
      </c>
      <c r="H865" s="16"/>
      <c r="I865" s="10">
        <f t="shared" ref="I865:I889" si="252">I864</f>
        <v>166.66666666666666</v>
      </c>
      <c r="J865" s="16"/>
      <c r="K865" s="15">
        <v>0</v>
      </c>
      <c r="L865" s="15"/>
      <c r="M865" s="16"/>
      <c r="N865" s="8"/>
      <c r="O865" s="18">
        <f t="shared" ref="O865:O889" si="253">O864</f>
        <v>5000</v>
      </c>
      <c r="P865" s="9"/>
      <c r="Q865" s="9"/>
      <c r="R865" s="9"/>
      <c r="S865" s="10">
        <f t="shared" si="251"/>
        <v>166.66666666666666</v>
      </c>
    </row>
    <row r="866" spans="2:19" outlineLevel="1">
      <c r="B866" s="13" t="s">
        <v>72</v>
      </c>
      <c r="C866" s="7" t="str">
        <f t="shared" si="249"/>
        <v>VASSOURA HIDRÁULICA MINI RETRO</v>
      </c>
      <c r="D866" s="8">
        <f t="shared" si="248"/>
        <v>46085</v>
      </c>
      <c r="E866" s="15"/>
      <c r="F866" s="15"/>
      <c r="G866" s="15">
        <f t="shared" si="250"/>
        <v>0</v>
      </c>
      <c r="H866" s="16"/>
      <c r="I866" s="10">
        <f t="shared" si="252"/>
        <v>166.66666666666666</v>
      </c>
      <c r="J866" s="16"/>
      <c r="K866" s="15">
        <v>0</v>
      </c>
      <c r="L866" s="15"/>
      <c r="M866" s="16"/>
      <c r="N866" s="8"/>
      <c r="O866" s="18">
        <f t="shared" si="253"/>
        <v>5000</v>
      </c>
      <c r="P866" s="9"/>
      <c r="Q866" s="9"/>
      <c r="R866" s="9"/>
      <c r="S866" s="10">
        <f t="shared" si="251"/>
        <v>166.66666666666666</v>
      </c>
    </row>
    <row r="867" spans="2:19" outlineLevel="1">
      <c r="B867" s="13" t="s">
        <v>72</v>
      </c>
      <c r="C867" s="7" t="str">
        <f t="shared" si="249"/>
        <v>VASSOURA HIDRÁULICA MINI RETRO</v>
      </c>
      <c r="D867" s="8">
        <f t="shared" si="248"/>
        <v>46086</v>
      </c>
      <c r="E867" s="15"/>
      <c r="F867" s="15"/>
      <c r="G867" s="15">
        <f t="shared" si="250"/>
        <v>0</v>
      </c>
      <c r="H867" s="16"/>
      <c r="I867" s="10">
        <f t="shared" si="252"/>
        <v>166.66666666666666</v>
      </c>
      <c r="J867" s="16"/>
      <c r="K867" s="15">
        <v>0</v>
      </c>
      <c r="L867" s="15"/>
      <c r="M867" s="16"/>
      <c r="N867" s="8"/>
      <c r="O867" s="18">
        <f t="shared" si="253"/>
        <v>5000</v>
      </c>
      <c r="P867" s="9"/>
      <c r="Q867" s="9"/>
      <c r="R867" s="9"/>
      <c r="S867" s="10">
        <f t="shared" si="251"/>
        <v>166.66666666666666</v>
      </c>
    </row>
    <row r="868" spans="2:19" outlineLevel="1">
      <c r="B868" s="13" t="s">
        <v>72</v>
      </c>
      <c r="C868" s="7" t="str">
        <f t="shared" si="249"/>
        <v>VASSOURA HIDRÁULICA MINI RETRO</v>
      </c>
      <c r="D868" s="8">
        <f t="shared" si="248"/>
        <v>46087</v>
      </c>
      <c r="E868" s="15"/>
      <c r="F868" s="15"/>
      <c r="G868" s="15">
        <f t="shared" si="250"/>
        <v>0</v>
      </c>
      <c r="H868" s="16"/>
      <c r="I868" s="10">
        <f t="shared" si="252"/>
        <v>166.66666666666666</v>
      </c>
      <c r="J868" s="16"/>
      <c r="K868" s="15">
        <v>0</v>
      </c>
      <c r="L868" s="15"/>
      <c r="M868" s="16"/>
      <c r="N868" s="8"/>
      <c r="O868" s="18">
        <f t="shared" si="253"/>
        <v>5000</v>
      </c>
      <c r="P868" s="9"/>
      <c r="Q868" s="9"/>
      <c r="R868" s="9"/>
      <c r="S868" s="10">
        <f t="shared" si="251"/>
        <v>166.66666666666666</v>
      </c>
    </row>
    <row r="869" spans="2:19" outlineLevel="1">
      <c r="B869" s="13" t="s">
        <v>72</v>
      </c>
      <c r="C869" s="7" t="str">
        <f t="shared" si="249"/>
        <v>VASSOURA HIDRÁULICA MINI RETRO</v>
      </c>
      <c r="D869" s="8">
        <f t="shared" si="248"/>
        <v>46088</v>
      </c>
      <c r="E869" s="15"/>
      <c r="F869" s="15"/>
      <c r="G869" s="15">
        <f t="shared" si="250"/>
        <v>0</v>
      </c>
      <c r="H869" s="16"/>
      <c r="I869" s="10">
        <f t="shared" si="252"/>
        <v>166.66666666666666</v>
      </c>
      <c r="J869" s="16"/>
      <c r="K869" s="15">
        <v>0</v>
      </c>
      <c r="L869" s="15"/>
      <c r="M869" s="16"/>
      <c r="N869" s="8"/>
      <c r="O869" s="18">
        <f t="shared" si="253"/>
        <v>5000</v>
      </c>
      <c r="P869" s="9"/>
      <c r="Q869" s="9"/>
      <c r="R869" s="9"/>
      <c r="S869" s="10">
        <f t="shared" si="251"/>
        <v>166.66666666666666</v>
      </c>
    </row>
    <row r="870" spans="2:19" outlineLevel="1">
      <c r="B870" s="13" t="s">
        <v>72</v>
      </c>
      <c r="C870" s="7" t="str">
        <f t="shared" si="249"/>
        <v>VASSOURA HIDRÁULICA MINI RETRO</v>
      </c>
      <c r="D870" s="8">
        <f t="shared" si="248"/>
        <v>46089</v>
      </c>
      <c r="E870" s="15"/>
      <c r="F870" s="15"/>
      <c r="G870" s="15">
        <f t="shared" si="250"/>
        <v>0</v>
      </c>
      <c r="H870" s="16"/>
      <c r="I870" s="10">
        <f t="shared" si="252"/>
        <v>166.66666666666666</v>
      </c>
      <c r="J870" s="16"/>
      <c r="K870" s="15">
        <v>0</v>
      </c>
      <c r="L870" s="15"/>
      <c r="M870" s="16"/>
      <c r="N870" s="8"/>
      <c r="O870" s="18">
        <f t="shared" si="253"/>
        <v>5000</v>
      </c>
      <c r="P870" s="9"/>
      <c r="Q870" s="9"/>
      <c r="R870" s="9"/>
      <c r="S870" s="10">
        <f t="shared" si="251"/>
        <v>166.66666666666666</v>
      </c>
    </row>
    <row r="871" spans="2:19" outlineLevel="1">
      <c r="B871" s="13" t="s">
        <v>72</v>
      </c>
      <c r="C871" s="7" t="str">
        <f t="shared" si="249"/>
        <v>VASSOURA HIDRÁULICA MINI RETRO</v>
      </c>
      <c r="D871" s="8">
        <f t="shared" si="248"/>
        <v>46090</v>
      </c>
      <c r="E871" s="15"/>
      <c r="F871" s="15"/>
      <c r="G871" s="15">
        <f t="shared" si="250"/>
        <v>0</v>
      </c>
      <c r="H871" s="16"/>
      <c r="I871" s="10">
        <f t="shared" si="252"/>
        <v>166.66666666666666</v>
      </c>
      <c r="J871" s="16"/>
      <c r="K871" s="15">
        <v>0</v>
      </c>
      <c r="L871" s="15"/>
      <c r="M871" s="16"/>
      <c r="N871" s="8"/>
      <c r="O871" s="18">
        <f t="shared" si="253"/>
        <v>5000</v>
      </c>
      <c r="P871" s="9"/>
      <c r="Q871" s="9"/>
      <c r="R871" s="9"/>
      <c r="S871" s="10">
        <f t="shared" si="251"/>
        <v>166.66666666666666</v>
      </c>
    </row>
    <row r="872" spans="2:19" outlineLevel="1">
      <c r="B872" s="13" t="s">
        <v>72</v>
      </c>
      <c r="C872" s="7" t="str">
        <f t="shared" si="249"/>
        <v>VASSOURA HIDRÁULICA MINI RETRO</v>
      </c>
      <c r="D872" s="8">
        <f t="shared" si="248"/>
        <v>46091</v>
      </c>
      <c r="E872" s="15"/>
      <c r="F872" s="15"/>
      <c r="G872" s="15">
        <f t="shared" si="250"/>
        <v>0</v>
      </c>
      <c r="H872" s="16"/>
      <c r="I872" s="10">
        <f t="shared" si="252"/>
        <v>166.66666666666666</v>
      </c>
      <c r="J872" s="16"/>
      <c r="K872" s="15">
        <v>0</v>
      </c>
      <c r="L872" s="15"/>
      <c r="M872" s="16"/>
      <c r="N872" s="8"/>
      <c r="O872" s="18">
        <f t="shared" si="253"/>
        <v>5000</v>
      </c>
      <c r="P872" s="9"/>
      <c r="Q872" s="9"/>
      <c r="R872" s="9"/>
      <c r="S872" s="10">
        <f t="shared" si="251"/>
        <v>166.66666666666666</v>
      </c>
    </row>
    <row r="873" spans="2:19" outlineLevel="1">
      <c r="B873" s="13" t="s">
        <v>72</v>
      </c>
      <c r="C873" s="7" t="str">
        <f t="shared" si="249"/>
        <v>VASSOURA HIDRÁULICA MINI RETRO</v>
      </c>
      <c r="D873" s="8">
        <f t="shared" si="248"/>
        <v>46092</v>
      </c>
      <c r="E873" s="15"/>
      <c r="F873" s="15"/>
      <c r="G873" s="15">
        <f t="shared" si="250"/>
        <v>0</v>
      </c>
      <c r="H873" s="16"/>
      <c r="I873" s="10">
        <f t="shared" si="252"/>
        <v>166.66666666666666</v>
      </c>
      <c r="J873" s="16"/>
      <c r="K873" s="15">
        <v>0</v>
      </c>
      <c r="L873" s="15"/>
      <c r="M873" s="16"/>
      <c r="N873" s="8"/>
      <c r="O873" s="18">
        <f t="shared" si="253"/>
        <v>5000</v>
      </c>
      <c r="P873" s="9"/>
      <c r="Q873" s="9"/>
      <c r="R873" s="9"/>
      <c r="S873" s="10">
        <f t="shared" si="251"/>
        <v>166.66666666666666</v>
      </c>
    </row>
    <row r="874" spans="2:19" outlineLevel="1">
      <c r="B874" s="13" t="s">
        <v>72</v>
      </c>
      <c r="C874" s="7" t="str">
        <f t="shared" si="249"/>
        <v>VASSOURA HIDRÁULICA MINI RETRO</v>
      </c>
      <c r="D874" s="8">
        <f t="shared" si="248"/>
        <v>46093</v>
      </c>
      <c r="E874" s="15"/>
      <c r="F874" s="15"/>
      <c r="G874" s="15">
        <f t="shared" si="250"/>
        <v>0</v>
      </c>
      <c r="H874" s="16"/>
      <c r="I874" s="10">
        <f t="shared" si="252"/>
        <v>166.66666666666666</v>
      </c>
      <c r="J874" s="16"/>
      <c r="K874" s="15">
        <v>0</v>
      </c>
      <c r="L874" s="15"/>
      <c r="M874" s="16"/>
      <c r="N874" s="8"/>
      <c r="O874" s="18">
        <f t="shared" si="253"/>
        <v>5000</v>
      </c>
      <c r="P874" s="9"/>
      <c r="Q874" s="9"/>
      <c r="R874" s="9"/>
      <c r="S874" s="10">
        <f t="shared" si="251"/>
        <v>166.66666666666666</v>
      </c>
    </row>
    <row r="875" spans="2:19" outlineLevel="1">
      <c r="B875" s="13" t="s">
        <v>72</v>
      </c>
      <c r="C875" s="7" t="str">
        <f t="shared" si="249"/>
        <v>VASSOURA HIDRÁULICA MINI RETRO</v>
      </c>
      <c r="D875" s="8">
        <f t="shared" si="248"/>
        <v>46094</v>
      </c>
      <c r="E875" s="15"/>
      <c r="F875" s="15"/>
      <c r="G875" s="15">
        <f t="shared" si="250"/>
        <v>0</v>
      </c>
      <c r="H875" s="16"/>
      <c r="I875" s="10">
        <f t="shared" si="252"/>
        <v>166.66666666666666</v>
      </c>
      <c r="J875" s="16"/>
      <c r="K875" s="15">
        <v>0</v>
      </c>
      <c r="L875" s="15"/>
      <c r="M875" s="16"/>
      <c r="N875" s="8"/>
      <c r="O875" s="18">
        <f t="shared" si="253"/>
        <v>5000</v>
      </c>
      <c r="P875" s="9"/>
      <c r="Q875" s="9"/>
      <c r="R875" s="9"/>
      <c r="S875" s="10">
        <f t="shared" si="251"/>
        <v>166.66666666666666</v>
      </c>
    </row>
    <row r="876" spans="2:19" outlineLevel="1">
      <c r="B876" s="13" t="s">
        <v>72</v>
      </c>
      <c r="C876" s="7" t="str">
        <f t="shared" si="249"/>
        <v>VASSOURA HIDRÁULICA MINI RETRO</v>
      </c>
      <c r="D876" s="8">
        <f t="shared" si="248"/>
        <v>46095</v>
      </c>
      <c r="E876" s="15"/>
      <c r="F876" s="15"/>
      <c r="G876" s="15">
        <f t="shared" si="250"/>
        <v>0</v>
      </c>
      <c r="H876" s="16"/>
      <c r="I876" s="10">
        <f t="shared" si="252"/>
        <v>166.66666666666666</v>
      </c>
      <c r="J876" s="16"/>
      <c r="K876" s="15">
        <v>0</v>
      </c>
      <c r="L876" s="15"/>
      <c r="M876" s="16"/>
      <c r="N876" s="8"/>
      <c r="O876" s="18">
        <f t="shared" si="253"/>
        <v>5000</v>
      </c>
      <c r="P876" s="9"/>
      <c r="Q876" s="9"/>
      <c r="R876" s="9"/>
      <c r="S876" s="10">
        <f t="shared" si="251"/>
        <v>166.66666666666666</v>
      </c>
    </row>
    <row r="877" spans="2:19" outlineLevel="1">
      <c r="B877" s="13" t="s">
        <v>72</v>
      </c>
      <c r="C877" s="7" t="str">
        <f t="shared" si="249"/>
        <v>VASSOURA HIDRÁULICA MINI RETRO</v>
      </c>
      <c r="D877" s="8">
        <f t="shared" si="248"/>
        <v>46096</v>
      </c>
      <c r="E877" s="15"/>
      <c r="F877" s="15"/>
      <c r="G877" s="15">
        <f t="shared" si="250"/>
        <v>0</v>
      </c>
      <c r="H877" s="16"/>
      <c r="I877" s="10">
        <f t="shared" si="252"/>
        <v>166.66666666666666</v>
      </c>
      <c r="J877" s="16"/>
      <c r="K877" s="15">
        <v>0</v>
      </c>
      <c r="L877" s="15"/>
      <c r="M877" s="16"/>
      <c r="N877" s="8"/>
      <c r="O877" s="18">
        <f t="shared" si="253"/>
        <v>5000</v>
      </c>
      <c r="P877" s="9"/>
      <c r="Q877" s="9"/>
      <c r="R877" s="9"/>
      <c r="S877" s="10">
        <f t="shared" si="251"/>
        <v>166.66666666666666</v>
      </c>
    </row>
    <row r="878" spans="2:19" outlineLevel="1">
      <c r="B878" s="13" t="s">
        <v>72</v>
      </c>
      <c r="C878" s="7" t="str">
        <f t="shared" si="249"/>
        <v>VASSOURA HIDRÁULICA MINI RETRO</v>
      </c>
      <c r="D878" s="8">
        <f t="shared" si="248"/>
        <v>46097</v>
      </c>
      <c r="E878" s="15"/>
      <c r="F878" s="15"/>
      <c r="G878" s="15">
        <f t="shared" si="250"/>
        <v>0</v>
      </c>
      <c r="H878" s="16"/>
      <c r="I878" s="10">
        <f t="shared" si="252"/>
        <v>166.66666666666666</v>
      </c>
      <c r="J878" s="16"/>
      <c r="K878" s="15">
        <v>0</v>
      </c>
      <c r="L878" s="15"/>
      <c r="M878" s="16"/>
      <c r="N878" s="8"/>
      <c r="O878" s="18">
        <f t="shared" si="253"/>
        <v>5000</v>
      </c>
      <c r="P878" s="9"/>
      <c r="Q878" s="9"/>
      <c r="R878" s="9"/>
      <c r="S878" s="10">
        <f t="shared" si="251"/>
        <v>166.66666666666666</v>
      </c>
    </row>
    <row r="879" spans="2:19" outlineLevel="1">
      <c r="B879" s="13" t="s">
        <v>72</v>
      </c>
      <c r="C879" s="7" t="str">
        <f t="shared" si="249"/>
        <v>VASSOURA HIDRÁULICA MINI RETRO</v>
      </c>
      <c r="D879" s="8">
        <f t="shared" si="248"/>
        <v>46098</v>
      </c>
      <c r="E879" s="15"/>
      <c r="F879" s="15"/>
      <c r="G879" s="15">
        <f t="shared" si="250"/>
        <v>0</v>
      </c>
      <c r="H879" s="16"/>
      <c r="I879" s="10">
        <f t="shared" si="252"/>
        <v>166.66666666666666</v>
      </c>
      <c r="J879" s="16"/>
      <c r="K879" s="15">
        <v>0</v>
      </c>
      <c r="L879" s="15"/>
      <c r="M879" s="16"/>
      <c r="N879" s="8"/>
      <c r="O879" s="18">
        <f t="shared" si="253"/>
        <v>5000</v>
      </c>
      <c r="P879" s="9"/>
      <c r="Q879" s="9"/>
      <c r="R879" s="9"/>
      <c r="S879" s="10">
        <f t="shared" si="251"/>
        <v>166.66666666666666</v>
      </c>
    </row>
    <row r="880" spans="2:19" outlineLevel="1">
      <c r="B880" s="13" t="s">
        <v>72</v>
      </c>
      <c r="C880" s="7" t="str">
        <f t="shared" si="249"/>
        <v>VASSOURA HIDRÁULICA MINI RETRO</v>
      </c>
      <c r="D880" s="8">
        <f t="shared" si="248"/>
        <v>46099</v>
      </c>
      <c r="E880" s="15"/>
      <c r="F880" s="15"/>
      <c r="G880" s="15">
        <f t="shared" si="250"/>
        <v>0</v>
      </c>
      <c r="H880" s="16"/>
      <c r="I880" s="10">
        <f t="shared" si="252"/>
        <v>166.66666666666666</v>
      </c>
      <c r="J880" s="16"/>
      <c r="K880" s="15">
        <v>0</v>
      </c>
      <c r="L880" s="15"/>
      <c r="M880" s="16"/>
      <c r="N880" s="8"/>
      <c r="O880" s="18">
        <f t="shared" si="253"/>
        <v>5000</v>
      </c>
      <c r="P880" s="9"/>
      <c r="Q880" s="9"/>
      <c r="R880" s="9"/>
      <c r="S880" s="10">
        <f t="shared" si="251"/>
        <v>166.66666666666666</v>
      </c>
    </row>
    <row r="881" spans="2:19" outlineLevel="1">
      <c r="B881" s="13" t="s">
        <v>72</v>
      </c>
      <c r="C881" s="7" t="str">
        <f t="shared" si="249"/>
        <v>VASSOURA HIDRÁULICA MINI RETRO</v>
      </c>
      <c r="D881" s="8">
        <f t="shared" si="248"/>
        <v>46100</v>
      </c>
      <c r="E881" s="15"/>
      <c r="F881" s="15"/>
      <c r="G881" s="15">
        <f t="shared" si="250"/>
        <v>0</v>
      </c>
      <c r="H881" s="16"/>
      <c r="I881" s="10">
        <f t="shared" si="252"/>
        <v>166.66666666666666</v>
      </c>
      <c r="J881" s="16"/>
      <c r="K881" s="15">
        <v>0</v>
      </c>
      <c r="L881" s="15"/>
      <c r="M881" s="16"/>
      <c r="N881" s="8"/>
      <c r="O881" s="18">
        <f t="shared" si="253"/>
        <v>5000</v>
      </c>
      <c r="P881" s="9"/>
      <c r="Q881" s="9"/>
      <c r="R881" s="9"/>
      <c r="S881" s="10">
        <f t="shared" si="251"/>
        <v>166.66666666666666</v>
      </c>
    </row>
    <row r="882" spans="2:19" outlineLevel="1">
      <c r="B882" s="13" t="s">
        <v>72</v>
      </c>
      <c r="C882" s="7" t="str">
        <f t="shared" si="249"/>
        <v>VASSOURA HIDRÁULICA MINI RETRO</v>
      </c>
      <c r="D882" s="8">
        <f t="shared" si="248"/>
        <v>46101</v>
      </c>
      <c r="E882" s="15"/>
      <c r="F882" s="15"/>
      <c r="G882" s="15">
        <f t="shared" si="250"/>
        <v>0</v>
      </c>
      <c r="H882" s="16"/>
      <c r="I882" s="10">
        <f t="shared" si="252"/>
        <v>166.66666666666666</v>
      </c>
      <c r="J882" s="16"/>
      <c r="K882" s="15">
        <v>0</v>
      </c>
      <c r="L882" s="15"/>
      <c r="M882" s="16"/>
      <c r="N882" s="8"/>
      <c r="O882" s="18">
        <f t="shared" si="253"/>
        <v>5000</v>
      </c>
      <c r="P882" s="9"/>
      <c r="Q882" s="9"/>
      <c r="R882" s="9"/>
      <c r="S882" s="10">
        <f t="shared" si="251"/>
        <v>166.66666666666666</v>
      </c>
    </row>
    <row r="883" spans="2:19" outlineLevel="1">
      <c r="B883" s="13" t="s">
        <v>72</v>
      </c>
      <c r="C883" s="7" t="str">
        <f t="shared" si="249"/>
        <v>VASSOURA HIDRÁULICA MINI RETRO</v>
      </c>
      <c r="D883" s="8">
        <f t="shared" si="248"/>
        <v>46102</v>
      </c>
      <c r="E883" s="15"/>
      <c r="F883" s="15"/>
      <c r="G883" s="15">
        <f t="shared" si="250"/>
        <v>0</v>
      </c>
      <c r="H883" s="16"/>
      <c r="I883" s="10">
        <f t="shared" si="252"/>
        <v>166.66666666666666</v>
      </c>
      <c r="J883" s="16"/>
      <c r="K883" s="15">
        <v>0</v>
      </c>
      <c r="L883" s="15"/>
      <c r="M883" s="16"/>
      <c r="N883" s="8"/>
      <c r="O883" s="18">
        <f t="shared" si="253"/>
        <v>5000</v>
      </c>
      <c r="P883" s="9"/>
      <c r="Q883" s="9"/>
      <c r="R883" s="9"/>
      <c r="S883" s="10">
        <f t="shared" si="251"/>
        <v>166.66666666666666</v>
      </c>
    </row>
    <row r="884" spans="2:19" outlineLevel="1">
      <c r="B884" s="13" t="s">
        <v>72</v>
      </c>
      <c r="C884" s="7" t="str">
        <f t="shared" si="249"/>
        <v>VASSOURA HIDRÁULICA MINI RETRO</v>
      </c>
      <c r="D884" s="8">
        <f t="shared" si="248"/>
        <v>46103</v>
      </c>
      <c r="E884" s="15"/>
      <c r="F884" s="15"/>
      <c r="G884" s="15">
        <f t="shared" si="250"/>
        <v>0</v>
      </c>
      <c r="H884" s="16"/>
      <c r="I884" s="10">
        <f t="shared" si="252"/>
        <v>166.66666666666666</v>
      </c>
      <c r="J884" s="16"/>
      <c r="K884" s="15">
        <v>0</v>
      </c>
      <c r="L884" s="15"/>
      <c r="M884" s="16"/>
      <c r="N884" s="8"/>
      <c r="O884" s="18">
        <f t="shared" si="253"/>
        <v>5000</v>
      </c>
      <c r="P884" s="9"/>
      <c r="Q884" s="9"/>
      <c r="R884" s="9"/>
      <c r="S884" s="10">
        <f t="shared" si="251"/>
        <v>166.66666666666666</v>
      </c>
    </row>
    <row r="885" spans="2:19" outlineLevel="1">
      <c r="B885" s="13" t="s">
        <v>72</v>
      </c>
      <c r="C885" s="7" t="str">
        <f t="shared" si="249"/>
        <v>VASSOURA HIDRÁULICA MINI RETRO</v>
      </c>
      <c r="D885" s="8">
        <f t="shared" si="248"/>
        <v>46104</v>
      </c>
      <c r="E885" s="15"/>
      <c r="F885" s="15"/>
      <c r="G885" s="15">
        <f t="shared" si="250"/>
        <v>0</v>
      </c>
      <c r="H885" s="16"/>
      <c r="I885" s="10">
        <f t="shared" si="252"/>
        <v>166.66666666666666</v>
      </c>
      <c r="J885" s="16"/>
      <c r="K885" s="15">
        <v>0</v>
      </c>
      <c r="L885" s="15"/>
      <c r="M885" s="16"/>
      <c r="N885" s="8"/>
      <c r="O885" s="18">
        <f t="shared" si="253"/>
        <v>5000</v>
      </c>
      <c r="P885" s="9"/>
      <c r="Q885" s="9"/>
      <c r="R885" s="9"/>
      <c r="S885" s="10">
        <f t="shared" si="251"/>
        <v>166.66666666666666</v>
      </c>
    </row>
    <row r="886" spans="2:19" outlineLevel="1">
      <c r="B886" s="13" t="s">
        <v>72</v>
      </c>
      <c r="C886" s="7" t="str">
        <f t="shared" si="249"/>
        <v>VASSOURA HIDRÁULICA MINI RETRO</v>
      </c>
      <c r="D886" s="8">
        <f t="shared" si="248"/>
        <v>46105</v>
      </c>
      <c r="E886" s="15"/>
      <c r="F886" s="15"/>
      <c r="G886" s="15">
        <f t="shared" si="250"/>
        <v>0</v>
      </c>
      <c r="H886" s="16"/>
      <c r="I886" s="10">
        <f t="shared" si="252"/>
        <v>166.66666666666666</v>
      </c>
      <c r="J886" s="16"/>
      <c r="K886" s="15">
        <v>0</v>
      </c>
      <c r="L886" s="15"/>
      <c r="M886" s="16"/>
      <c r="N886" s="8"/>
      <c r="O886" s="18">
        <f t="shared" si="253"/>
        <v>5000</v>
      </c>
      <c r="P886" s="9"/>
      <c r="Q886" s="9"/>
      <c r="R886" s="9"/>
      <c r="S886" s="10">
        <f t="shared" si="251"/>
        <v>166.66666666666666</v>
      </c>
    </row>
    <row r="887" spans="2:19" outlineLevel="1">
      <c r="B887" s="13" t="s">
        <v>72</v>
      </c>
      <c r="C887" s="7" t="str">
        <f t="shared" si="249"/>
        <v>VASSOURA HIDRÁULICA MINI RETRO</v>
      </c>
      <c r="D887" s="8">
        <f t="shared" si="248"/>
        <v>46106</v>
      </c>
      <c r="E887" s="15"/>
      <c r="F887" s="15"/>
      <c r="G887" s="15">
        <f t="shared" si="250"/>
        <v>0</v>
      </c>
      <c r="H887" s="16"/>
      <c r="I887" s="10">
        <f t="shared" si="252"/>
        <v>166.66666666666666</v>
      </c>
      <c r="J887" s="16"/>
      <c r="K887" s="15">
        <v>0</v>
      </c>
      <c r="L887" s="15"/>
      <c r="M887" s="16"/>
      <c r="N887" s="8"/>
      <c r="O887" s="18">
        <f t="shared" si="253"/>
        <v>5000</v>
      </c>
      <c r="P887" s="9"/>
      <c r="Q887" s="9"/>
      <c r="R887" s="9"/>
      <c r="S887" s="10">
        <f t="shared" si="251"/>
        <v>166.66666666666666</v>
      </c>
    </row>
    <row r="888" spans="2:19" outlineLevel="1">
      <c r="B888" s="13" t="s">
        <v>72</v>
      </c>
      <c r="C888" s="7" t="str">
        <f t="shared" si="249"/>
        <v>VASSOURA HIDRÁULICA MINI RETRO</v>
      </c>
      <c r="D888" s="8">
        <f t="shared" si="248"/>
        <v>46107</v>
      </c>
      <c r="E888" s="15"/>
      <c r="F888" s="15"/>
      <c r="G888" s="15">
        <f t="shared" si="250"/>
        <v>0</v>
      </c>
      <c r="H888" s="16"/>
      <c r="I888" s="10">
        <f t="shared" si="252"/>
        <v>166.66666666666666</v>
      </c>
      <c r="J888" s="16"/>
      <c r="K888" s="15">
        <v>0</v>
      </c>
      <c r="L888" s="15"/>
      <c r="M888" s="16"/>
      <c r="N888" s="8"/>
      <c r="O888" s="18">
        <f t="shared" si="253"/>
        <v>5000</v>
      </c>
      <c r="P888" s="9"/>
      <c r="Q888" s="9"/>
      <c r="R888" s="9"/>
      <c r="S888" s="10">
        <f t="shared" si="251"/>
        <v>166.66666666666666</v>
      </c>
    </row>
    <row r="889" spans="2:19" outlineLevel="1">
      <c r="B889" s="13" t="s">
        <v>72</v>
      </c>
      <c r="C889" s="7" t="str">
        <f t="shared" si="249"/>
        <v>VASSOURA HIDRÁULICA MINI RETRO</v>
      </c>
      <c r="D889" s="8">
        <f t="shared" si="248"/>
        <v>46108</v>
      </c>
      <c r="E889" s="15"/>
      <c r="F889" s="15"/>
      <c r="G889" s="15">
        <f t="shared" si="250"/>
        <v>0</v>
      </c>
      <c r="H889" s="16"/>
      <c r="I889" s="10">
        <f t="shared" si="252"/>
        <v>166.66666666666666</v>
      </c>
      <c r="J889" s="16"/>
      <c r="K889" s="15">
        <v>0</v>
      </c>
      <c r="L889" s="15"/>
      <c r="M889" s="16"/>
      <c r="N889" s="8"/>
      <c r="O889" s="18">
        <f t="shared" si="253"/>
        <v>5000</v>
      </c>
      <c r="P889" s="9"/>
      <c r="Q889" s="9"/>
      <c r="R889" s="9"/>
      <c r="S889" s="10">
        <f t="shared" si="251"/>
        <v>166.66666666666666</v>
      </c>
    </row>
    <row r="890" spans="2:19" outlineLevel="1">
      <c r="B890" s="13" t="s">
        <v>72</v>
      </c>
      <c r="C890" s="7" t="str">
        <f t="shared" si="249"/>
        <v>VASSOURA HIDRÁULICA MINI RETRO</v>
      </c>
      <c r="D890" s="8">
        <f>D819</f>
        <v>46107</v>
      </c>
      <c r="E890" s="15"/>
      <c r="F890" s="15"/>
      <c r="G890" s="15">
        <f t="shared" ref="G890:G894" si="254">F890-E890</f>
        <v>0</v>
      </c>
      <c r="H890" s="16"/>
      <c r="I890" s="10">
        <f>I886</f>
        <v>166.66666666666666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5">SUM(R890+Q890+I890)</f>
        <v>166.66666666666666</v>
      </c>
    </row>
    <row r="891" spans="2:19" outlineLevel="1">
      <c r="B891" s="13" t="s">
        <v>72</v>
      </c>
      <c r="C891" s="7" t="str">
        <f t="shared" si="249"/>
        <v>VASSOURA HIDRÁULICA MINI RETRO</v>
      </c>
      <c r="D891" s="8">
        <f>D820</f>
        <v>46108</v>
      </c>
      <c r="E891" s="15"/>
      <c r="F891" s="15"/>
      <c r="G891" s="15">
        <f t="shared" si="254"/>
        <v>0</v>
      </c>
      <c r="H891" s="16"/>
      <c r="I891" s="10">
        <f>I887</f>
        <v>166.66666666666666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5"/>
        <v>166.66666666666666</v>
      </c>
    </row>
    <row r="892" spans="2:19" outlineLevel="1">
      <c r="B892" s="13" t="s">
        <v>72</v>
      </c>
      <c r="C892" s="7" t="str">
        <f t="shared" si="249"/>
        <v>VASSOURA HIDRÁULICA MINI RETRO</v>
      </c>
      <c r="D892" s="8">
        <f>D821</f>
        <v>46109</v>
      </c>
      <c r="E892" s="15"/>
      <c r="F892" s="15"/>
      <c r="G892" s="15">
        <f t="shared" si="254"/>
        <v>0</v>
      </c>
      <c r="H892" s="16"/>
      <c r="I892" s="10">
        <f>I888</f>
        <v>166.66666666666666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5"/>
        <v>166.66666666666666</v>
      </c>
    </row>
    <row r="893" spans="2:19" outlineLevel="1">
      <c r="B893" s="13" t="s">
        <v>72</v>
      </c>
      <c r="C893" s="7" t="str">
        <f t="shared" si="249"/>
        <v>VASSOURA HIDRÁULICA MINI RETRO</v>
      </c>
      <c r="D893" s="8">
        <f t="shared" ref="D893:D895" si="256">D822</f>
        <v>46110</v>
      </c>
      <c r="E893" s="15"/>
      <c r="F893" s="15"/>
      <c r="G893" s="15">
        <f t="shared" si="254"/>
        <v>0</v>
      </c>
      <c r="H893" s="16"/>
      <c r="I893" s="10">
        <f>I888</f>
        <v>166.66666666666666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5"/>
        <v>166.66666666666666</v>
      </c>
    </row>
    <row r="894" spans="2:19" outlineLevel="1">
      <c r="B894" s="13" t="s">
        <v>72</v>
      </c>
      <c r="C894" s="7" t="str">
        <f t="shared" si="249"/>
        <v>VASSOURA HIDRÁULICA MINI RETRO</v>
      </c>
      <c r="D894" s="8">
        <f t="shared" si="256"/>
        <v>46111</v>
      </c>
      <c r="E894" s="15"/>
      <c r="F894" s="15"/>
      <c r="G894" s="15">
        <f t="shared" si="254"/>
        <v>0</v>
      </c>
      <c r="H894" s="16"/>
      <c r="I894" s="10">
        <f>I888</f>
        <v>166.66666666666666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5"/>
        <v>166.66666666666666</v>
      </c>
    </row>
    <row r="895" spans="2:19" outlineLevel="1">
      <c r="B895" s="13" t="s">
        <v>72</v>
      </c>
      <c r="C895" s="7" t="str">
        <f t="shared" si="249"/>
        <v>VASSOURA HIDRÁULICA MINI RETRO</v>
      </c>
      <c r="D895" s="8">
        <f t="shared" si="256"/>
        <v>46112</v>
      </c>
      <c r="E895" s="15"/>
      <c r="F895" s="15"/>
      <c r="G895" s="15">
        <f t="shared" si="250"/>
        <v>0</v>
      </c>
      <c r="H895" s="16"/>
      <c r="I895" s="10">
        <f>I889</f>
        <v>166.66666666666666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51"/>
        <v>166.66666666666666</v>
      </c>
    </row>
    <row r="896" spans="2:19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5" t="str">
        <f>M$1</f>
        <v>BM JANEIRO 2026</v>
      </c>
      <c r="N897" s="135"/>
      <c r="O897" s="135"/>
      <c r="P897" s="19" t="s">
        <v>10</v>
      </c>
      <c r="Q897" s="136"/>
      <c r="R897" s="136"/>
      <c r="S897" s="136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outlineLevel="1">
      <c r="B899" s="70" t="s">
        <v>73</v>
      </c>
      <c r="C899" s="7" t="str">
        <f>C$897</f>
        <v>VASSOURA DE ARRASTO PARA PAVIMENTAÇÃO</v>
      </c>
      <c r="D899" s="8">
        <f t="shared" ref="D899:D926" si="257">D829</f>
        <v>46082</v>
      </c>
      <c r="E899" s="15"/>
      <c r="F899" s="15"/>
      <c r="G899" s="15">
        <f>F899-E899</f>
        <v>0</v>
      </c>
      <c r="H899" s="16"/>
      <c r="I899" s="10">
        <f>P899</f>
        <v>166.66666666666666</v>
      </c>
      <c r="J899" s="16"/>
      <c r="K899" s="15">
        <v>0</v>
      </c>
      <c r="L899" s="15"/>
      <c r="M899" s="17"/>
      <c r="N899" s="8"/>
      <c r="O899" s="9">
        <v>5000</v>
      </c>
      <c r="P899" s="9">
        <f>O899/30</f>
        <v>166.66666666666666</v>
      </c>
      <c r="Q899" s="9"/>
      <c r="R899" s="85">
        <v>0</v>
      </c>
      <c r="S899" s="10">
        <f>SUM(R899+Q899+I899)</f>
        <v>166.66666666666666</v>
      </c>
    </row>
    <row r="900" spans="2:19" outlineLevel="1">
      <c r="B900" s="12" t="s">
        <v>0</v>
      </c>
      <c r="C900" s="7" t="str">
        <f t="shared" ref="C900:C929" si="258">C$897</f>
        <v>VASSOURA DE ARRASTO PARA PAVIMENTAÇÃO</v>
      </c>
      <c r="D900" s="8">
        <f t="shared" si="257"/>
        <v>46083</v>
      </c>
      <c r="E900" s="15"/>
      <c r="F900" s="15"/>
      <c r="G900" s="15">
        <f t="shared" ref="G900:G929" si="259">F900-E900</f>
        <v>0</v>
      </c>
      <c r="H900" s="16"/>
      <c r="I900" s="10">
        <f>I899</f>
        <v>166.66666666666666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60">SUM(R900+Q900+I900)</f>
        <v>166.66666666666666</v>
      </c>
    </row>
    <row r="901" spans="2:19" outlineLevel="1">
      <c r="B901" s="13" t="s">
        <v>73</v>
      </c>
      <c r="C901" s="7" t="str">
        <f t="shared" si="258"/>
        <v>VASSOURA DE ARRASTO PARA PAVIMENTAÇÃO</v>
      </c>
      <c r="D901" s="8">
        <f t="shared" si="257"/>
        <v>46084</v>
      </c>
      <c r="E901" s="15"/>
      <c r="F901" s="15"/>
      <c r="G901" s="15">
        <f t="shared" si="259"/>
        <v>0</v>
      </c>
      <c r="H901" s="16"/>
      <c r="I901" s="10">
        <f t="shared" ref="I901:I925" si="261">I900</f>
        <v>166.66666666666666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60"/>
        <v>166.66666666666666</v>
      </c>
    </row>
    <row r="902" spans="2:19" outlineLevel="1">
      <c r="B902" s="13" t="s">
        <v>73</v>
      </c>
      <c r="C902" s="7" t="str">
        <f t="shared" si="258"/>
        <v>VASSOURA DE ARRASTO PARA PAVIMENTAÇÃO</v>
      </c>
      <c r="D902" s="8">
        <f t="shared" si="257"/>
        <v>46085</v>
      </c>
      <c r="E902" s="15"/>
      <c r="F902" s="15"/>
      <c r="G902" s="15">
        <f t="shared" si="259"/>
        <v>0</v>
      </c>
      <c r="H902" s="16"/>
      <c r="I902" s="10">
        <f t="shared" si="261"/>
        <v>166.66666666666666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60"/>
        <v>166.66666666666666</v>
      </c>
    </row>
    <row r="903" spans="2:19" outlineLevel="1">
      <c r="B903" s="13" t="s">
        <v>73</v>
      </c>
      <c r="C903" s="7" t="str">
        <f t="shared" si="258"/>
        <v>VASSOURA DE ARRASTO PARA PAVIMENTAÇÃO</v>
      </c>
      <c r="D903" s="8">
        <f t="shared" si="257"/>
        <v>46086</v>
      </c>
      <c r="E903" s="15"/>
      <c r="F903" s="15"/>
      <c r="G903" s="15">
        <f t="shared" si="259"/>
        <v>0</v>
      </c>
      <c r="H903" s="16"/>
      <c r="I903" s="10">
        <f t="shared" si="261"/>
        <v>166.66666666666666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60"/>
        <v>166.66666666666666</v>
      </c>
    </row>
    <row r="904" spans="2:19" outlineLevel="1">
      <c r="B904" s="13" t="s">
        <v>73</v>
      </c>
      <c r="C904" s="7" t="str">
        <f t="shared" si="258"/>
        <v>VASSOURA DE ARRASTO PARA PAVIMENTAÇÃO</v>
      </c>
      <c r="D904" s="8">
        <f t="shared" si="257"/>
        <v>46087</v>
      </c>
      <c r="E904" s="15"/>
      <c r="F904" s="15"/>
      <c r="G904" s="15">
        <f t="shared" si="259"/>
        <v>0</v>
      </c>
      <c r="H904" s="16"/>
      <c r="I904" s="10">
        <f t="shared" si="261"/>
        <v>166.66666666666666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60"/>
        <v>166.66666666666666</v>
      </c>
    </row>
    <row r="905" spans="2:19" outlineLevel="1">
      <c r="B905" s="13" t="s">
        <v>73</v>
      </c>
      <c r="C905" s="7" t="str">
        <f t="shared" si="258"/>
        <v>VASSOURA DE ARRASTO PARA PAVIMENTAÇÃO</v>
      </c>
      <c r="D905" s="8">
        <f t="shared" si="257"/>
        <v>46088</v>
      </c>
      <c r="E905" s="15"/>
      <c r="F905" s="15"/>
      <c r="G905" s="15">
        <f t="shared" si="259"/>
        <v>0</v>
      </c>
      <c r="H905" s="16"/>
      <c r="I905" s="10">
        <f t="shared" si="261"/>
        <v>166.66666666666666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60"/>
        <v>166.66666666666666</v>
      </c>
    </row>
    <row r="906" spans="2:19" outlineLevel="1">
      <c r="B906" s="13" t="s">
        <v>73</v>
      </c>
      <c r="C906" s="7" t="str">
        <f t="shared" si="258"/>
        <v>VASSOURA DE ARRASTO PARA PAVIMENTAÇÃO</v>
      </c>
      <c r="D906" s="8">
        <f t="shared" si="257"/>
        <v>46089</v>
      </c>
      <c r="E906" s="15"/>
      <c r="F906" s="15"/>
      <c r="G906" s="15">
        <f t="shared" si="259"/>
        <v>0</v>
      </c>
      <c r="H906" s="16"/>
      <c r="I906" s="10">
        <f t="shared" si="261"/>
        <v>166.66666666666666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60"/>
        <v>166.66666666666666</v>
      </c>
    </row>
    <row r="907" spans="2:19" outlineLevel="1">
      <c r="B907" s="13" t="s">
        <v>73</v>
      </c>
      <c r="C907" s="7" t="str">
        <f t="shared" si="258"/>
        <v>VASSOURA DE ARRASTO PARA PAVIMENTAÇÃO</v>
      </c>
      <c r="D907" s="8">
        <f t="shared" si="257"/>
        <v>46090</v>
      </c>
      <c r="E907" s="15"/>
      <c r="F907" s="15"/>
      <c r="G907" s="15">
        <f t="shared" si="259"/>
        <v>0</v>
      </c>
      <c r="H907" s="16"/>
      <c r="I907" s="10">
        <f t="shared" si="261"/>
        <v>166.66666666666666</v>
      </c>
      <c r="J907" s="16"/>
      <c r="K907" s="15">
        <v>0</v>
      </c>
      <c r="L907" s="15"/>
      <c r="M907" s="16"/>
      <c r="N907" s="8"/>
      <c r="O907" s="18">
        <f t="shared" ref="O907:O925" si="262">O906</f>
        <v>0</v>
      </c>
      <c r="P907" s="9"/>
      <c r="Q907" s="9"/>
      <c r="R907" s="85">
        <v>0</v>
      </c>
      <c r="S907" s="10">
        <f t="shared" si="260"/>
        <v>166.66666666666666</v>
      </c>
    </row>
    <row r="908" spans="2:19" outlineLevel="1">
      <c r="B908" s="13" t="s">
        <v>73</v>
      </c>
      <c r="C908" s="7" t="str">
        <f t="shared" si="258"/>
        <v>VASSOURA DE ARRASTO PARA PAVIMENTAÇÃO</v>
      </c>
      <c r="D908" s="8">
        <f t="shared" si="257"/>
        <v>46091</v>
      </c>
      <c r="E908" s="15"/>
      <c r="F908" s="15"/>
      <c r="G908" s="15">
        <f t="shared" si="259"/>
        <v>0</v>
      </c>
      <c r="H908" s="16"/>
      <c r="I908" s="10">
        <f t="shared" si="261"/>
        <v>166.66666666666666</v>
      </c>
      <c r="J908" s="16"/>
      <c r="K908" s="15">
        <v>0</v>
      </c>
      <c r="L908" s="15"/>
      <c r="M908" s="16"/>
      <c r="N908" s="8"/>
      <c r="O908" s="18">
        <f t="shared" si="262"/>
        <v>0</v>
      </c>
      <c r="P908" s="9"/>
      <c r="Q908" s="9"/>
      <c r="R908" s="85">
        <v>0</v>
      </c>
      <c r="S908" s="10">
        <f t="shared" si="260"/>
        <v>166.66666666666666</v>
      </c>
    </row>
    <row r="909" spans="2:19" outlineLevel="1">
      <c r="B909" s="13" t="s">
        <v>73</v>
      </c>
      <c r="C909" s="7" t="str">
        <f t="shared" si="258"/>
        <v>VASSOURA DE ARRASTO PARA PAVIMENTAÇÃO</v>
      </c>
      <c r="D909" s="8">
        <f t="shared" si="257"/>
        <v>46092</v>
      </c>
      <c r="E909" s="15"/>
      <c r="F909" s="15"/>
      <c r="G909" s="15">
        <f t="shared" si="259"/>
        <v>0</v>
      </c>
      <c r="H909" s="16"/>
      <c r="I909" s="10">
        <f t="shared" si="261"/>
        <v>166.66666666666666</v>
      </c>
      <c r="J909" s="16"/>
      <c r="K909" s="15">
        <v>0</v>
      </c>
      <c r="L909" s="15"/>
      <c r="M909" s="16"/>
      <c r="N909" s="8"/>
      <c r="O909" s="18">
        <f t="shared" si="262"/>
        <v>0</v>
      </c>
      <c r="P909" s="9"/>
      <c r="Q909" s="9"/>
      <c r="R909" s="85">
        <v>0</v>
      </c>
      <c r="S909" s="10">
        <f t="shared" si="260"/>
        <v>166.66666666666666</v>
      </c>
    </row>
    <row r="910" spans="2:19" outlineLevel="1">
      <c r="B910" s="13" t="s">
        <v>73</v>
      </c>
      <c r="C910" s="7" t="str">
        <f t="shared" si="258"/>
        <v>VASSOURA DE ARRASTO PARA PAVIMENTAÇÃO</v>
      </c>
      <c r="D910" s="8">
        <f t="shared" si="257"/>
        <v>46093</v>
      </c>
      <c r="E910" s="15"/>
      <c r="F910" s="15"/>
      <c r="G910" s="15">
        <f t="shared" si="259"/>
        <v>0</v>
      </c>
      <c r="H910" s="16"/>
      <c r="I910" s="10">
        <f t="shared" si="261"/>
        <v>166.66666666666666</v>
      </c>
      <c r="J910" s="16"/>
      <c r="K910" s="15">
        <v>0</v>
      </c>
      <c r="L910" s="15"/>
      <c r="M910" s="16"/>
      <c r="N910" s="8"/>
      <c r="O910" s="18">
        <f t="shared" si="262"/>
        <v>0</v>
      </c>
      <c r="P910" s="9"/>
      <c r="Q910" s="9"/>
      <c r="R910" s="85">
        <v>0</v>
      </c>
      <c r="S910" s="10">
        <f t="shared" si="260"/>
        <v>166.66666666666666</v>
      </c>
    </row>
    <row r="911" spans="2:19" outlineLevel="1">
      <c r="B911" s="13" t="s">
        <v>73</v>
      </c>
      <c r="C911" s="7" t="str">
        <f t="shared" si="258"/>
        <v>VASSOURA DE ARRASTO PARA PAVIMENTAÇÃO</v>
      </c>
      <c r="D911" s="8">
        <f t="shared" si="257"/>
        <v>46094</v>
      </c>
      <c r="E911" s="15"/>
      <c r="F911" s="15"/>
      <c r="G911" s="15">
        <f t="shared" si="259"/>
        <v>0</v>
      </c>
      <c r="H911" s="16"/>
      <c r="I911" s="10">
        <f t="shared" si="261"/>
        <v>166.66666666666666</v>
      </c>
      <c r="J911" s="16"/>
      <c r="K911" s="15">
        <v>0</v>
      </c>
      <c r="L911" s="15"/>
      <c r="M911" s="16"/>
      <c r="N911" s="8"/>
      <c r="O911" s="18">
        <f t="shared" si="262"/>
        <v>0</v>
      </c>
      <c r="P911" s="9"/>
      <c r="Q911" s="9"/>
      <c r="R911" s="85">
        <v>0</v>
      </c>
      <c r="S911" s="10">
        <f t="shared" si="260"/>
        <v>166.66666666666666</v>
      </c>
    </row>
    <row r="912" spans="2:19" outlineLevel="1">
      <c r="B912" s="13" t="s">
        <v>73</v>
      </c>
      <c r="C912" s="7" t="str">
        <f t="shared" si="258"/>
        <v>VASSOURA DE ARRASTO PARA PAVIMENTAÇÃO</v>
      </c>
      <c r="D912" s="8">
        <f t="shared" si="257"/>
        <v>46095</v>
      </c>
      <c r="E912" s="15"/>
      <c r="F912" s="15"/>
      <c r="G912" s="15">
        <f t="shared" si="259"/>
        <v>0</v>
      </c>
      <c r="H912" s="16"/>
      <c r="I912" s="10">
        <f t="shared" si="261"/>
        <v>166.66666666666666</v>
      </c>
      <c r="J912" s="16"/>
      <c r="K912" s="15">
        <v>0</v>
      </c>
      <c r="L912" s="15"/>
      <c r="M912" s="16"/>
      <c r="N912" s="8"/>
      <c r="O912" s="18">
        <f t="shared" si="262"/>
        <v>0</v>
      </c>
      <c r="P912" s="9"/>
      <c r="Q912" s="9"/>
      <c r="R912" s="85">
        <v>0</v>
      </c>
      <c r="S912" s="10">
        <f t="shared" si="260"/>
        <v>166.66666666666666</v>
      </c>
    </row>
    <row r="913" spans="2:19" outlineLevel="1">
      <c r="B913" s="13" t="s">
        <v>73</v>
      </c>
      <c r="C913" s="7" t="str">
        <f t="shared" si="258"/>
        <v>VASSOURA DE ARRASTO PARA PAVIMENTAÇÃO</v>
      </c>
      <c r="D913" s="8">
        <f t="shared" si="257"/>
        <v>46096</v>
      </c>
      <c r="E913" s="15"/>
      <c r="F913" s="15"/>
      <c r="G913" s="15">
        <f t="shared" si="259"/>
        <v>0</v>
      </c>
      <c r="H913" s="16"/>
      <c r="I913" s="10">
        <f t="shared" si="261"/>
        <v>166.66666666666666</v>
      </c>
      <c r="J913" s="16"/>
      <c r="K913" s="15">
        <v>0</v>
      </c>
      <c r="L913" s="15"/>
      <c r="M913" s="16"/>
      <c r="N913" s="8"/>
      <c r="O913" s="18">
        <f t="shared" si="262"/>
        <v>0</v>
      </c>
      <c r="P913" s="9"/>
      <c r="Q913" s="9"/>
      <c r="R913" s="85">
        <v>0</v>
      </c>
      <c r="S913" s="10">
        <f t="shared" si="260"/>
        <v>166.66666666666666</v>
      </c>
    </row>
    <row r="914" spans="2:19" outlineLevel="1">
      <c r="B914" s="13" t="s">
        <v>73</v>
      </c>
      <c r="C914" s="7" t="str">
        <f t="shared" si="258"/>
        <v>VASSOURA DE ARRASTO PARA PAVIMENTAÇÃO</v>
      </c>
      <c r="D914" s="8">
        <f t="shared" si="257"/>
        <v>46097</v>
      </c>
      <c r="E914" s="15"/>
      <c r="F914" s="15"/>
      <c r="G914" s="15">
        <f t="shared" si="259"/>
        <v>0</v>
      </c>
      <c r="H914" s="16"/>
      <c r="I914" s="10">
        <f t="shared" si="261"/>
        <v>166.66666666666666</v>
      </c>
      <c r="J914" s="16"/>
      <c r="K914" s="15">
        <v>0</v>
      </c>
      <c r="L914" s="15"/>
      <c r="M914" s="16"/>
      <c r="N914" s="8"/>
      <c r="O914" s="18">
        <f t="shared" si="262"/>
        <v>0</v>
      </c>
      <c r="P914" s="9"/>
      <c r="Q914" s="9"/>
      <c r="R914" s="85">
        <v>0</v>
      </c>
      <c r="S914" s="10">
        <f t="shared" si="260"/>
        <v>166.66666666666666</v>
      </c>
    </row>
    <row r="915" spans="2:19" outlineLevel="1">
      <c r="B915" s="13" t="s">
        <v>73</v>
      </c>
      <c r="C915" s="7" t="str">
        <f t="shared" si="258"/>
        <v>VASSOURA DE ARRASTO PARA PAVIMENTAÇÃO</v>
      </c>
      <c r="D915" s="8">
        <f t="shared" si="257"/>
        <v>46098</v>
      </c>
      <c r="E915" s="15"/>
      <c r="F915" s="15"/>
      <c r="G915" s="15">
        <f t="shared" si="259"/>
        <v>0</v>
      </c>
      <c r="H915" s="16"/>
      <c r="I915" s="10">
        <f t="shared" si="261"/>
        <v>166.66666666666666</v>
      </c>
      <c r="J915" s="16"/>
      <c r="K915" s="15">
        <v>0</v>
      </c>
      <c r="L915" s="15"/>
      <c r="M915" s="16"/>
      <c r="N915" s="8"/>
      <c r="O915" s="18">
        <f t="shared" si="262"/>
        <v>0</v>
      </c>
      <c r="P915" s="9"/>
      <c r="Q915" s="9"/>
      <c r="R915" s="85">
        <v>0</v>
      </c>
      <c r="S915" s="10">
        <f t="shared" si="260"/>
        <v>166.66666666666666</v>
      </c>
    </row>
    <row r="916" spans="2:19" outlineLevel="1">
      <c r="B916" s="13" t="s">
        <v>73</v>
      </c>
      <c r="C916" s="7" t="str">
        <f t="shared" si="258"/>
        <v>VASSOURA DE ARRASTO PARA PAVIMENTAÇÃO</v>
      </c>
      <c r="D916" s="8">
        <f t="shared" si="257"/>
        <v>46099</v>
      </c>
      <c r="E916" s="15"/>
      <c r="F916" s="15"/>
      <c r="G916" s="15">
        <f t="shared" si="259"/>
        <v>0</v>
      </c>
      <c r="H916" s="16"/>
      <c r="I916" s="10">
        <f t="shared" si="261"/>
        <v>166.66666666666666</v>
      </c>
      <c r="J916" s="16"/>
      <c r="K916" s="15">
        <v>0</v>
      </c>
      <c r="L916" s="15"/>
      <c r="M916" s="16"/>
      <c r="N916" s="8"/>
      <c r="O916" s="18">
        <f t="shared" si="262"/>
        <v>0</v>
      </c>
      <c r="P916" s="9"/>
      <c r="Q916" s="9"/>
      <c r="R916" s="85">
        <v>0</v>
      </c>
      <c r="S916" s="10">
        <f t="shared" si="260"/>
        <v>166.66666666666666</v>
      </c>
    </row>
    <row r="917" spans="2:19" outlineLevel="1">
      <c r="B917" s="13" t="s">
        <v>73</v>
      </c>
      <c r="C917" s="7" t="str">
        <f t="shared" si="258"/>
        <v>VASSOURA DE ARRASTO PARA PAVIMENTAÇÃO</v>
      </c>
      <c r="D917" s="8">
        <f t="shared" si="257"/>
        <v>46100</v>
      </c>
      <c r="E917" s="15"/>
      <c r="F917" s="15"/>
      <c r="G917" s="15">
        <f t="shared" si="259"/>
        <v>0</v>
      </c>
      <c r="H917" s="16"/>
      <c r="I917" s="10">
        <f t="shared" si="261"/>
        <v>166.66666666666666</v>
      </c>
      <c r="J917" s="16"/>
      <c r="K917" s="15">
        <v>0</v>
      </c>
      <c r="L917" s="15"/>
      <c r="M917" s="16"/>
      <c r="N917" s="8"/>
      <c r="O917" s="18">
        <f t="shared" si="262"/>
        <v>0</v>
      </c>
      <c r="P917" s="9"/>
      <c r="Q917" s="9"/>
      <c r="R917" s="85">
        <v>0</v>
      </c>
      <c r="S917" s="10">
        <f t="shared" si="260"/>
        <v>166.66666666666666</v>
      </c>
    </row>
    <row r="918" spans="2:19" outlineLevel="1">
      <c r="B918" s="13" t="s">
        <v>73</v>
      </c>
      <c r="C918" s="7" t="str">
        <f t="shared" si="258"/>
        <v>VASSOURA DE ARRASTO PARA PAVIMENTAÇÃO</v>
      </c>
      <c r="D918" s="8">
        <f t="shared" si="257"/>
        <v>46101</v>
      </c>
      <c r="E918" s="15"/>
      <c r="F918" s="15"/>
      <c r="G918" s="15">
        <f t="shared" si="259"/>
        <v>0</v>
      </c>
      <c r="H918" s="16"/>
      <c r="I918" s="10">
        <f t="shared" si="261"/>
        <v>166.66666666666666</v>
      </c>
      <c r="J918" s="16"/>
      <c r="K918" s="15">
        <v>0</v>
      </c>
      <c r="L918" s="15"/>
      <c r="M918" s="16"/>
      <c r="N918" s="8"/>
      <c r="O918" s="18">
        <f t="shared" si="262"/>
        <v>0</v>
      </c>
      <c r="P918" s="9"/>
      <c r="Q918" s="9"/>
      <c r="R918" s="85">
        <v>0</v>
      </c>
      <c r="S918" s="10">
        <f t="shared" si="260"/>
        <v>166.66666666666666</v>
      </c>
    </row>
    <row r="919" spans="2:19" outlineLevel="1">
      <c r="B919" s="13" t="s">
        <v>73</v>
      </c>
      <c r="C919" s="7" t="str">
        <f t="shared" si="258"/>
        <v>VASSOURA DE ARRASTO PARA PAVIMENTAÇÃO</v>
      </c>
      <c r="D919" s="8">
        <f t="shared" si="257"/>
        <v>46102</v>
      </c>
      <c r="E919" s="15"/>
      <c r="F919" s="15"/>
      <c r="G919" s="15">
        <f t="shared" si="259"/>
        <v>0</v>
      </c>
      <c r="H919" s="16"/>
      <c r="I919" s="10">
        <f t="shared" si="261"/>
        <v>166.66666666666666</v>
      </c>
      <c r="J919" s="16"/>
      <c r="K919" s="15">
        <v>0</v>
      </c>
      <c r="L919" s="15"/>
      <c r="M919" s="16"/>
      <c r="N919" s="8"/>
      <c r="O919" s="18">
        <f t="shared" si="262"/>
        <v>0</v>
      </c>
      <c r="P919" s="9"/>
      <c r="Q919" s="9"/>
      <c r="R919" s="85">
        <v>0</v>
      </c>
      <c r="S919" s="10">
        <f t="shared" si="260"/>
        <v>166.66666666666666</v>
      </c>
    </row>
    <row r="920" spans="2:19" outlineLevel="1">
      <c r="B920" s="13" t="s">
        <v>73</v>
      </c>
      <c r="C920" s="7" t="str">
        <f t="shared" si="258"/>
        <v>VASSOURA DE ARRASTO PARA PAVIMENTAÇÃO</v>
      </c>
      <c r="D920" s="8">
        <f t="shared" si="257"/>
        <v>46103</v>
      </c>
      <c r="E920" s="15"/>
      <c r="F920" s="15"/>
      <c r="G920" s="15">
        <f t="shared" si="259"/>
        <v>0</v>
      </c>
      <c r="H920" s="16"/>
      <c r="I920" s="10">
        <f t="shared" si="261"/>
        <v>166.66666666666666</v>
      </c>
      <c r="J920" s="16"/>
      <c r="K920" s="15">
        <v>0</v>
      </c>
      <c r="L920" s="15"/>
      <c r="M920" s="16"/>
      <c r="N920" s="8"/>
      <c r="O920" s="18">
        <f t="shared" si="262"/>
        <v>0</v>
      </c>
      <c r="P920" s="9"/>
      <c r="Q920" s="9"/>
      <c r="R920" s="85">
        <v>0</v>
      </c>
      <c r="S920" s="10">
        <f t="shared" si="260"/>
        <v>166.66666666666666</v>
      </c>
    </row>
    <row r="921" spans="2:19" outlineLevel="1">
      <c r="B921" s="13" t="s">
        <v>73</v>
      </c>
      <c r="C921" s="7" t="str">
        <f t="shared" si="258"/>
        <v>VASSOURA DE ARRASTO PARA PAVIMENTAÇÃO</v>
      </c>
      <c r="D921" s="8">
        <f t="shared" si="257"/>
        <v>46104</v>
      </c>
      <c r="E921" s="15"/>
      <c r="F921" s="15"/>
      <c r="G921" s="15">
        <f t="shared" si="259"/>
        <v>0</v>
      </c>
      <c r="H921" s="16"/>
      <c r="I921" s="10">
        <f t="shared" si="261"/>
        <v>166.66666666666666</v>
      </c>
      <c r="J921" s="16"/>
      <c r="K921" s="15">
        <v>0</v>
      </c>
      <c r="L921" s="15"/>
      <c r="M921" s="16"/>
      <c r="N921" s="8"/>
      <c r="O921" s="18">
        <f t="shared" si="262"/>
        <v>0</v>
      </c>
      <c r="P921" s="9"/>
      <c r="Q921" s="9"/>
      <c r="R921" s="85">
        <v>0</v>
      </c>
      <c r="S921" s="10">
        <f t="shared" si="260"/>
        <v>166.66666666666666</v>
      </c>
    </row>
    <row r="922" spans="2:19" outlineLevel="1">
      <c r="B922" s="13" t="s">
        <v>73</v>
      </c>
      <c r="C922" s="7" t="str">
        <f t="shared" si="258"/>
        <v>VASSOURA DE ARRASTO PARA PAVIMENTAÇÃO</v>
      </c>
      <c r="D922" s="8">
        <f t="shared" si="257"/>
        <v>46105</v>
      </c>
      <c r="E922" s="15"/>
      <c r="F922" s="15"/>
      <c r="G922" s="15">
        <f t="shared" si="259"/>
        <v>0</v>
      </c>
      <c r="H922" s="16"/>
      <c r="I922" s="10">
        <f t="shared" si="261"/>
        <v>166.66666666666666</v>
      </c>
      <c r="J922" s="16"/>
      <c r="K922" s="15">
        <v>0</v>
      </c>
      <c r="L922" s="15"/>
      <c r="M922" s="16"/>
      <c r="N922" s="8"/>
      <c r="O922" s="18">
        <f t="shared" si="262"/>
        <v>0</v>
      </c>
      <c r="P922" s="9"/>
      <c r="Q922" s="9"/>
      <c r="R922" s="85">
        <v>0</v>
      </c>
      <c r="S922" s="10">
        <f t="shared" si="260"/>
        <v>166.66666666666666</v>
      </c>
    </row>
    <row r="923" spans="2:19" outlineLevel="1">
      <c r="B923" s="13" t="s">
        <v>73</v>
      </c>
      <c r="C923" s="7" t="str">
        <f t="shared" si="258"/>
        <v>VASSOURA DE ARRASTO PARA PAVIMENTAÇÃO</v>
      </c>
      <c r="D923" s="8">
        <f t="shared" si="257"/>
        <v>46106</v>
      </c>
      <c r="E923" s="15"/>
      <c r="F923" s="15"/>
      <c r="G923" s="15">
        <f t="shared" si="259"/>
        <v>0</v>
      </c>
      <c r="H923" s="16"/>
      <c r="I923" s="10">
        <f t="shared" si="261"/>
        <v>166.66666666666666</v>
      </c>
      <c r="J923" s="16"/>
      <c r="K923" s="15">
        <v>0</v>
      </c>
      <c r="L923" s="15"/>
      <c r="M923" s="16"/>
      <c r="N923" s="8"/>
      <c r="O923" s="18">
        <f t="shared" si="262"/>
        <v>0</v>
      </c>
      <c r="P923" s="9"/>
      <c r="Q923" s="9"/>
      <c r="R923" s="85">
        <v>0</v>
      </c>
      <c r="S923" s="10">
        <f t="shared" si="260"/>
        <v>166.66666666666666</v>
      </c>
    </row>
    <row r="924" spans="2:19" outlineLevel="1">
      <c r="B924" s="13" t="s">
        <v>73</v>
      </c>
      <c r="C924" s="7" t="str">
        <f t="shared" si="258"/>
        <v>VASSOURA DE ARRASTO PARA PAVIMENTAÇÃO</v>
      </c>
      <c r="D924" s="8">
        <f t="shared" si="257"/>
        <v>46107</v>
      </c>
      <c r="E924" s="15"/>
      <c r="F924" s="15"/>
      <c r="G924" s="15">
        <f t="shared" si="259"/>
        <v>0</v>
      </c>
      <c r="H924" s="16"/>
      <c r="I924" s="10">
        <f t="shared" si="261"/>
        <v>166.66666666666666</v>
      </c>
      <c r="J924" s="16"/>
      <c r="K924" s="15">
        <v>0</v>
      </c>
      <c r="L924" s="15"/>
      <c r="M924" s="16"/>
      <c r="N924" s="8"/>
      <c r="O924" s="18">
        <f t="shared" si="262"/>
        <v>0</v>
      </c>
      <c r="P924" s="9"/>
      <c r="Q924" s="9"/>
      <c r="R924" s="85">
        <v>0</v>
      </c>
      <c r="S924" s="10">
        <f t="shared" si="260"/>
        <v>166.66666666666666</v>
      </c>
    </row>
    <row r="925" spans="2:19" outlineLevel="1">
      <c r="B925" s="13" t="s">
        <v>73</v>
      </c>
      <c r="C925" s="7" t="str">
        <f t="shared" si="258"/>
        <v>VASSOURA DE ARRASTO PARA PAVIMENTAÇÃO</v>
      </c>
      <c r="D925" s="8">
        <f t="shared" si="257"/>
        <v>46108</v>
      </c>
      <c r="E925" s="15"/>
      <c r="F925" s="15"/>
      <c r="G925" s="15">
        <f t="shared" si="259"/>
        <v>0</v>
      </c>
      <c r="H925" s="16"/>
      <c r="I925" s="10">
        <f t="shared" si="261"/>
        <v>166.66666666666666</v>
      </c>
      <c r="J925" s="16"/>
      <c r="K925" s="15">
        <v>0</v>
      </c>
      <c r="L925" s="15"/>
      <c r="M925" s="16"/>
      <c r="N925" s="8"/>
      <c r="O925" s="18">
        <f t="shared" si="262"/>
        <v>0</v>
      </c>
      <c r="P925" s="9"/>
      <c r="Q925" s="9"/>
      <c r="R925" s="85">
        <v>0</v>
      </c>
      <c r="S925" s="10">
        <f t="shared" si="260"/>
        <v>166.66666666666666</v>
      </c>
    </row>
    <row r="926" spans="2:19" outlineLevel="1">
      <c r="B926" s="13" t="s">
        <v>73</v>
      </c>
      <c r="C926" s="7" t="str">
        <f t="shared" si="258"/>
        <v>VASSOURA DE ARRASTO PARA PAVIMENTAÇÃO</v>
      </c>
      <c r="D926" s="8">
        <f t="shared" si="257"/>
        <v>46109</v>
      </c>
      <c r="E926" s="15"/>
      <c r="F926" s="15"/>
      <c r="G926" s="15">
        <f t="shared" ref="G926:G928" si="263">F926-E926</f>
        <v>0</v>
      </c>
      <c r="H926" s="16"/>
      <c r="I926" s="10">
        <f>I922</f>
        <v>166.66666666666666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4">SUM(R926+Q926+I926)</f>
        <v>166.66666666666666</v>
      </c>
    </row>
    <row r="927" spans="2:19" outlineLevel="1">
      <c r="B927" s="13" t="s">
        <v>73</v>
      </c>
      <c r="C927" s="7" t="str">
        <f t="shared" si="258"/>
        <v>VASSOURA DE ARRASTO PARA PAVIMENTAÇÃO</v>
      </c>
      <c r="D927" s="8">
        <f t="shared" ref="D927:D929" si="265">D857</f>
        <v>46110</v>
      </c>
      <c r="E927" s="15"/>
      <c r="F927" s="15"/>
      <c r="G927" s="15">
        <f t="shared" si="263"/>
        <v>0</v>
      </c>
      <c r="H927" s="16"/>
      <c r="I927" s="10">
        <f>I923</f>
        <v>166.66666666666666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4"/>
        <v>166.66666666666666</v>
      </c>
    </row>
    <row r="928" spans="2:19" outlineLevel="1">
      <c r="B928" s="13" t="s">
        <v>73</v>
      </c>
      <c r="C928" s="7" t="str">
        <f t="shared" si="258"/>
        <v>VASSOURA DE ARRASTO PARA PAVIMENTAÇÃO</v>
      </c>
      <c r="D928" s="8">
        <f t="shared" si="265"/>
        <v>46111</v>
      </c>
      <c r="E928" s="15"/>
      <c r="F928" s="15"/>
      <c r="G928" s="15">
        <f t="shared" si="263"/>
        <v>0</v>
      </c>
      <c r="H928" s="16"/>
      <c r="I928" s="10">
        <f>I924</f>
        <v>166.66666666666666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4"/>
        <v>166.66666666666666</v>
      </c>
    </row>
    <row r="929" spans="2:19" outlineLevel="1">
      <c r="B929" s="13" t="s">
        <v>73</v>
      </c>
      <c r="C929" s="7" t="str">
        <f t="shared" si="258"/>
        <v>VASSOURA DE ARRASTO PARA PAVIMENTAÇÃO</v>
      </c>
      <c r="D929" s="8">
        <f t="shared" si="265"/>
        <v>46112</v>
      </c>
      <c r="E929" s="15"/>
      <c r="F929" s="15"/>
      <c r="G929" s="15">
        <f t="shared" si="259"/>
        <v>0</v>
      </c>
      <c r="H929" s="16"/>
      <c r="I929" s="10">
        <f>I925</f>
        <v>166.66666666666666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60"/>
        <v>166.66666666666666</v>
      </c>
    </row>
    <row r="930" spans="2:19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5" t="str">
        <f>M$1</f>
        <v>BM JANEIRO 2026</v>
      </c>
      <c r="N931" s="135"/>
      <c r="O931" s="135"/>
      <c r="P931" s="19" t="s">
        <v>10</v>
      </c>
      <c r="Q931" s="136"/>
      <c r="R931" s="136"/>
      <c r="S931" s="136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outlineLevel="1">
      <c r="B933" s="68" t="s">
        <v>75</v>
      </c>
      <c r="C933" s="7" t="str">
        <f t="shared" ref="C933:C963" si="266">C$931</f>
        <v>EXTRUSORA</v>
      </c>
      <c r="D933" s="8">
        <f>D863</f>
        <v>46082</v>
      </c>
      <c r="E933" s="15"/>
      <c r="F933" s="15"/>
      <c r="G933" s="15">
        <f>F933-E933</f>
        <v>0</v>
      </c>
      <c r="H933" s="16"/>
      <c r="I933" s="10">
        <f>P933</f>
        <v>166.66666666666666</v>
      </c>
      <c r="J933" s="16"/>
      <c r="K933" s="15">
        <v>0</v>
      </c>
      <c r="L933" s="15"/>
      <c r="M933" s="17"/>
      <c r="N933" s="8"/>
      <c r="O933" s="9">
        <v>5000</v>
      </c>
      <c r="P933" s="9">
        <f>O933/30</f>
        <v>166.66666666666666</v>
      </c>
      <c r="Q933" s="9"/>
      <c r="R933" s="85">
        <v>0</v>
      </c>
      <c r="S933" s="10">
        <f>SUM(R933+Q933+I933)</f>
        <v>166.66666666666666</v>
      </c>
    </row>
    <row r="934" spans="2:19" outlineLevel="1">
      <c r="B934" s="12" t="s">
        <v>0</v>
      </c>
      <c r="C934" s="7" t="str">
        <f t="shared" si="266"/>
        <v>EXTRUSORA</v>
      </c>
      <c r="D934" s="8">
        <f>D864</f>
        <v>46083</v>
      </c>
      <c r="E934" s="15"/>
      <c r="F934" s="15"/>
      <c r="G934" s="15">
        <f t="shared" ref="G934:G963" si="267">F934-E934</f>
        <v>0</v>
      </c>
      <c r="H934" s="16"/>
      <c r="I934" s="10">
        <f>I933</f>
        <v>166.66666666666666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8">SUM(R934+Q934+I934)</f>
        <v>166.66666666666666</v>
      </c>
    </row>
    <row r="935" spans="2:19" outlineLevel="1">
      <c r="B935" s="13" t="s">
        <v>75</v>
      </c>
      <c r="C935" s="7" t="str">
        <f t="shared" si="266"/>
        <v>EXTRUSORA</v>
      </c>
      <c r="D935" s="8">
        <f>D865</f>
        <v>46084</v>
      </c>
      <c r="E935" s="15"/>
      <c r="F935" s="15"/>
      <c r="G935" s="15">
        <f t="shared" si="267"/>
        <v>0</v>
      </c>
      <c r="H935" s="16"/>
      <c r="I935" s="10">
        <f t="shared" ref="I935:I959" si="269">I934</f>
        <v>166.66666666666666</v>
      </c>
      <c r="J935" s="16"/>
      <c r="K935" s="15">
        <v>0</v>
      </c>
      <c r="L935" s="15"/>
      <c r="M935" s="16"/>
      <c r="N935" s="8"/>
      <c r="O935" s="18">
        <f t="shared" ref="O935:O959" si="270">O934</f>
        <v>5000</v>
      </c>
      <c r="P935" s="9"/>
      <c r="Q935" s="9"/>
      <c r="R935" s="85">
        <v>0</v>
      </c>
      <c r="S935" s="10">
        <f t="shared" si="268"/>
        <v>166.66666666666666</v>
      </c>
    </row>
    <row r="936" spans="2:19" outlineLevel="1">
      <c r="B936" s="13" t="s">
        <v>75</v>
      </c>
      <c r="C936" s="7" t="str">
        <f t="shared" si="266"/>
        <v>EXTRUSORA</v>
      </c>
      <c r="D936" s="8">
        <f>D866</f>
        <v>46085</v>
      </c>
      <c r="E936" s="15"/>
      <c r="F936" s="15"/>
      <c r="G936" s="15">
        <f t="shared" si="267"/>
        <v>0</v>
      </c>
      <c r="H936" s="16"/>
      <c r="I936" s="10">
        <f t="shared" si="269"/>
        <v>166.66666666666666</v>
      </c>
      <c r="J936" s="16"/>
      <c r="K936" s="15">
        <v>0</v>
      </c>
      <c r="L936" s="15"/>
      <c r="M936" s="16"/>
      <c r="N936" s="8"/>
      <c r="O936" s="18">
        <f t="shared" si="270"/>
        <v>5000</v>
      </c>
      <c r="P936" s="9"/>
      <c r="Q936" s="9"/>
      <c r="R936" s="85">
        <v>0</v>
      </c>
      <c r="S936" s="10">
        <f t="shared" si="268"/>
        <v>166.66666666666666</v>
      </c>
    </row>
    <row r="937" spans="2:19" outlineLevel="1">
      <c r="B937" s="13" t="s">
        <v>75</v>
      </c>
      <c r="C937" s="7" t="str">
        <f t="shared" si="266"/>
        <v>EXTRUSORA</v>
      </c>
      <c r="D937" s="8">
        <f>D867</f>
        <v>46086</v>
      </c>
      <c r="E937" s="15"/>
      <c r="F937" s="15"/>
      <c r="G937" s="15">
        <f t="shared" si="267"/>
        <v>0</v>
      </c>
      <c r="H937" s="16"/>
      <c r="I937" s="10">
        <f t="shared" si="269"/>
        <v>166.66666666666666</v>
      </c>
      <c r="J937" s="16"/>
      <c r="K937" s="15">
        <v>0</v>
      </c>
      <c r="L937" s="15"/>
      <c r="M937" s="16"/>
      <c r="N937" s="8"/>
      <c r="O937" s="18">
        <f t="shared" si="270"/>
        <v>5000</v>
      </c>
      <c r="P937" s="9"/>
      <c r="Q937" s="9"/>
      <c r="R937" s="85">
        <v>0</v>
      </c>
      <c r="S937" s="10">
        <f t="shared" si="268"/>
        <v>166.66666666666666</v>
      </c>
    </row>
    <row r="938" spans="2:19" outlineLevel="1">
      <c r="B938" s="13" t="s">
        <v>75</v>
      </c>
      <c r="C938" s="7" t="str">
        <f t="shared" si="266"/>
        <v>EXTRUSORA</v>
      </c>
      <c r="D938" s="8">
        <f>D868</f>
        <v>46087</v>
      </c>
      <c r="E938" s="15"/>
      <c r="F938" s="15"/>
      <c r="G938" s="15">
        <f t="shared" si="267"/>
        <v>0</v>
      </c>
      <c r="H938" s="16"/>
      <c r="I938" s="10">
        <f t="shared" si="269"/>
        <v>166.66666666666666</v>
      </c>
      <c r="J938" s="16"/>
      <c r="K938" s="15">
        <v>0</v>
      </c>
      <c r="L938" s="15"/>
      <c r="M938" s="16"/>
      <c r="N938" s="8"/>
      <c r="O938" s="18">
        <f t="shared" si="270"/>
        <v>5000</v>
      </c>
      <c r="P938" s="9"/>
      <c r="Q938" s="9"/>
      <c r="R938" s="85">
        <v>0</v>
      </c>
      <c r="S938" s="10">
        <f t="shared" si="268"/>
        <v>166.66666666666666</v>
      </c>
    </row>
    <row r="939" spans="2:19" outlineLevel="1">
      <c r="B939" s="13" t="s">
        <v>75</v>
      </c>
      <c r="C939" s="7" t="str">
        <f t="shared" si="266"/>
        <v>EXTRUSORA</v>
      </c>
      <c r="D939" s="8">
        <f>D869</f>
        <v>46088</v>
      </c>
      <c r="E939" s="15"/>
      <c r="F939" s="15"/>
      <c r="G939" s="15">
        <f t="shared" si="267"/>
        <v>0</v>
      </c>
      <c r="H939" s="16"/>
      <c r="I939" s="10">
        <f t="shared" si="269"/>
        <v>166.66666666666666</v>
      </c>
      <c r="J939" s="16"/>
      <c r="K939" s="15">
        <v>0</v>
      </c>
      <c r="L939" s="15"/>
      <c r="M939" s="16"/>
      <c r="N939" s="8"/>
      <c r="O939" s="18">
        <f t="shared" si="270"/>
        <v>5000</v>
      </c>
      <c r="P939" s="9"/>
      <c r="Q939" s="9"/>
      <c r="R939" s="85">
        <v>0</v>
      </c>
      <c r="S939" s="10">
        <f t="shared" si="268"/>
        <v>166.66666666666666</v>
      </c>
    </row>
    <row r="940" spans="2:19" outlineLevel="1">
      <c r="B940" s="13" t="s">
        <v>75</v>
      </c>
      <c r="C940" s="7" t="str">
        <f t="shared" si="266"/>
        <v>EXTRUSORA</v>
      </c>
      <c r="D940" s="8">
        <f>D870</f>
        <v>46089</v>
      </c>
      <c r="E940" s="15"/>
      <c r="F940" s="15"/>
      <c r="G940" s="15">
        <f t="shared" si="267"/>
        <v>0</v>
      </c>
      <c r="H940" s="16"/>
      <c r="I940" s="10">
        <f t="shared" si="269"/>
        <v>166.66666666666666</v>
      </c>
      <c r="J940" s="16"/>
      <c r="K940" s="15">
        <v>0</v>
      </c>
      <c r="L940" s="15"/>
      <c r="M940" s="16"/>
      <c r="N940" s="8"/>
      <c r="O940" s="18">
        <f t="shared" si="270"/>
        <v>5000</v>
      </c>
      <c r="P940" s="9"/>
      <c r="Q940" s="9"/>
      <c r="R940" s="85">
        <v>0</v>
      </c>
      <c r="S940" s="10">
        <f t="shared" si="268"/>
        <v>166.66666666666666</v>
      </c>
    </row>
    <row r="941" spans="2:19" outlineLevel="1">
      <c r="B941" s="13" t="s">
        <v>75</v>
      </c>
      <c r="C941" s="7" t="str">
        <f t="shared" si="266"/>
        <v>EXTRUSORA</v>
      </c>
      <c r="D941" s="8">
        <f>D871</f>
        <v>46090</v>
      </c>
      <c r="E941" s="15"/>
      <c r="F941" s="15"/>
      <c r="G941" s="15">
        <f t="shared" si="267"/>
        <v>0</v>
      </c>
      <c r="H941" s="16"/>
      <c r="I941" s="10">
        <f t="shared" si="269"/>
        <v>166.66666666666666</v>
      </c>
      <c r="J941" s="16"/>
      <c r="K941" s="15">
        <v>0</v>
      </c>
      <c r="L941" s="15"/>
      <c r="M941" s="16"/>
      <c r="N941" s="8"/>
      <c r="O941" s="18">
        <f t="shared" si="270"/>
        <v>5000</v>
      </c>
      <c r="P941" s="9"/>
      <c r="Q941" s="9"/>
      <c r="R941" s="85">
        <v>0</v>
      </c>
      <c r="S941" s="10">
        <f t="shared" si="268"/>
        <v>166.66666666666666</v>
      </c>
    </row>
    <row r="942" spans="2:19" outlineLevel="1">
      <c r="B942" s="13" t="s">
        <v>75</v>
      </c>
      <c r="C942" s="7" t="str">
        <f t="shared" si="266"/>
        <v>EXTRUSORA</v>
      </c>
      <c r="D942" s="8">
        <f>D872</f>
        <v>46091</v>
      </c>
      <c r="E942" s="15"/>
      <c r="F942" s="15"/>
      <c r="G942" s="15">
        <f t="shared" si="267"/>
        <v>0</v>
      </c>
      <c r="H942" s="16"/>
      <c r="I942" s="10">
        <f t="shared" si="269"/>
        <v>166.66666666666666</v>
      </c>
      <c r="J942" s="16"/>
      <c r="K942" s="15">
        <v>0</v>
      </c>
      <c r="L942" s="15"/>
      <c r="M942" s="16"/>
      <c r="N942" s="8"/>
      <c r="O942" s="18">
        <f t="shared" si="270"/>
        <v>5000</v>
      </c>
      <c r="P942" s="9"/>
      <c r="Q942" s="9"/>
      <c r="R942" s="85">
        <v>0</v>
      </c>
      <c r="S942" s="10">
        <f t="shared" si="268"/>
        <v>166.66666666666666</v>
      </c>
    </row>
    <row r="943" spans="2:19" outlineLevel="1">
      <c r="B943" s="13" t="s">
        <v>75</v>
      </c>
      <c r="C943" s="7" t="str">
        <f t="shared" si="266"/>
        <v>EXTRUSORA</v>
      </c>
      <c r="D943" s="8">
        <f>D873</f>
        <v>46092</v>
      </c>
      <c r="E943" s="15"/>
      <c r="F943" s="15"/>
      <c r="G943" s="15">
        <f t="shared" si="267"/>
        <v>0</v>
      </c>
      <c r="H943" s="16"/>
      <c r="I943" s="10">
        <f t="shared" si="269"/>
        <v>166.66666666666666</v>
      </c>
      <c r="J943" s="16"/>
      <c r="K943" s="15">
        <v>0</v>
      </c>
      <c r="L943" s="15"/>
      <c r="M943" s="16"/>
      <c r="N943" s="8"/>
      <c r="O943" s="18">
        <f t="shared" si="270"/>
        <v>5000</v>
      </c>
      <c r="P943" s="9"/>
      <c r="Q943" s="9"/>
      <c r="R943" s="85">
        <v>0</v>
      </c>
      <c r="S943" s="10">
        <f t="shared" si="268"/>
        <v>166.66666666666666</v>
      </c>
    </row>
    <row r="944" spans="2:19" outlineLevel="1">
      <c r="B944" s="13" t="s">
        <v>75</v>
      </c>
      <c r="C944" s="7" t="str">
        <f t="shared" si="266"/>
        <v>EXTRUSORA</v>
      </c>
      <c r="D944" s="8">
        <f>D874</f>
        <v>46093</v>
      </c>
      <c r="E944" s="15"/>
      <c r="F944" s="15"/>
      <c r="G944" s="15">
        <f t="shared" si="267"/>
        <v>0</v>
      </c>
      <c r="H944" s="16"/>
      <c r="I944" s="10">
        <f t="shared" si="269"/>
        <v>166.66666666666666</v>
      </c>
      <c r="J944" s="16"/>
      <c r="K944" s="15">
        <v>0</v>
      </c>
      <c r="L944" s="15"/>
      <c r="M944" s="16"/>
      <c r="N944" s="8"/>
      <c r="O944" s="18">
        <f t="shared" si="270"/>
        <v>5000</v>
      </c>
      <c r="P944" s="9"/>
      <c r="Q944" s="9"/>
      <c r="R944" s="85">
        <v>0</v>
      </c>
      <c r="S944" s="10">
        <f t="shared" si="268"/>
        <v>166.66666666666666</v>
      </c>
    </row>
    <row r="945" spans="2:19" outlineLevel="1">
      <c r="B945" s="13" t="s">
        <v>75</v>
      </c>
      <c r="C945" s="7" t="str">
        <f t="shared" si="266"/>
        <v>EXTRUSORA</v>
      </c>
      <c r="D945" s="8">
        <f>D875</f>
        <v>46094</v>
      </c>
      <c r="E945" s="15"/>
      <c r="F945" s="15"/>
      <c r="G945" s="15">
        <f t="shared" si="267"/>
        <v>0</v>
      </c>
      <c r="H945" s="16"/>
      <c r="I945" s="10">
        <f t="shared" si="269"/>
        <v>166.66666666666666</v>
      </c>
      <c r="J945" s="16"/>
      <c r="K945" s="15">
        <v>0</v>
      </c>
      <c r="L945" s="15"/>
      <c r="M945" s="16"/>
      <c r="N945" s="8"/>
      <c r="O945" s="18">
        <f t="shared" si="270"/>
        <v>5000</v>
      </c>
      <c r="P945" s="9"/>
      <c r="Q945" s="9"/>
      <c r="R945" s="85">
        <v>0</v>
      </c>
      <c r="S945" s="10">
        <f t="shared" si="268"/>
        <v>166.66666666666666</v>
      </c>
    </row>
    <row r="946" spans="2:19" outlineLevel="1">
      <c r="B946" s="13" t="s">
        <v>75</v>
      </c>
      <c r="C946" s="7" t="str">
        <f t="shared" si="266"/>
        <v>EXTRUSORA</v>
      </c>
      <c r="D946" s="8">
        <f>D876</f>
        <v>46095</v>
      </c>
      <c r="E946" s="15"/>
      <c r="F946" s="15"/>
      <c r="G946" s="15">
        <f t="shared" si="267"/>
        <v>0</v>
      </c>
      <c r="H946" s="16"/>
      <c r="I946" s="10">
        <f t="shared" si="269"/>
        <v>166.66666666666666</v>
      </c>
      <c r="J946" s="16"/>
      <c r="K946" s="15">
        <v>0</v>
      </c>
      <c r="L946" s="15"/>
      <c r="M946" s="16"/>
      <c r="N946" s="8"/>
      <c r="O946" s="18">
        <f t="shared" si="270"/>
        <v>5000</v>
      </c>
      <c r="P946" s="9"/>
      <c r="Q946" s="9"/>
      <c r="R946" s="85">
        <v>0</v>
      </c>
      <c r="S946" s="10">
        <f t="shared" si="268"/>
        <v>166.66666666666666</v>
      </c>
    </row>
    <row r="947" spans="2:19" outlineLevel="1">
      <c r="B947" s="13" t="s">
        <v>75</v>
      </c>
      <c r="C947" s="7" t="str">
        <f t="shared" si="266"/>
        <v>EXTRUSORA</v>
      </c>
      <c r="D947" s="8">
        <f>D877</f>
        <v>46096</v>
      </c>
      <c r="E947" s="15"/>
      <c r="F947" s="15"/>
      <c r="G947" s="15">
        <f t="shared" si="267"/>
        <v>0</v>
      </c>
      <c r="H947" s="16"/>
      <c r="I947" s="10">
        <f t="shared" si="269"/>
        <v>166.66666666666666</v>
      </c>
      <c r="J947" s="16"/>
      <c r="K947" s="15">
        <v>0</v>
      </c>
      <c r="L947" s="15"/>
      <c r="M947" s="16"/>
      <c r="N947" s="8"/>
      <c r="O947" s="18">
        <f t="shared" si="270"/>
        <v>5000</v>
      </c>
      <c r="P947" s="9"/>
      <c r="Q947" s="9"/>
      <c r="R947" s="85">
        <v>0</v>
      </c>
      <c r="S947" s="10">
        <f t="shared" si="268"/>
        <v>166.66666666666666</v>
      </c>
    </row>
    <row r="948" spans="2:19" outlineLevel="1">
      <c r="B948" s="13" t="s">
        <v>75</v>
      </c>
      <c r="C948" s="7" t="str">
        <f t="shared" si="266"/>
        <v>EXTRUSORA</v>
      </c>
      <c r="D948" s="8">
        <f>D878</f>
        <v>46097</v>
      </c>
      <c r="E948" s="15"/>
      <c r="F948" s="15"/>
      <c r="G948" s="15">
        <f t="shared" si="267"/>
        <v>0</v>
      </c>
      <c r="H948" s="16"/>
      <c r="I948" s="10">
        <f t="shared" si="269"/>
        <v>166.66666666666666</v>
      </c>
      <c r="J948" s="16"/>
      <c r="K948" s="15">
        <v>0</v>
      </c>
      <c r="L948" s="15"/>
      <c r="M948" s="16"/>
      <c r="N948" s="8"/>
      <c r="O948" s="18">
        <f t="shared" si="270"/>
        <v>5000</v>
      </c>
      <c r="P948" s="9"/>
      <c r="Q948" s="9"/>
      <c r="R948" s="85">
        <v>0</v>
      </c>
      <c r="S948" s="10">
        <f t="shared" si="268"/>
        <v>166.66666666666666</v>
      </c>
    </row>
    <row r="949" spans="2:19" outlineLevel="1">
      <c r="B949" s="13" t="s">
        <v>75</v>
      </c>
      <c r="C949" s="7" t="str">
        <f t="shared" si="266"/>
        <v>EXTRUSORA</v>
      </c>
      <c r="D949" s="8">
        <f>D879</f>
        <v>46098</v>
      </c>
      <c r="E949" s="15"/>
      <c r="F949" s="15"/>
      <c r="G949" s="15">
        <f t="shared" si="267"/>
        <v>0</v>
      </c>
      <c r="H949" s="16"/>
      <c r="I949" s="10">
        <f t="shared" si="269"/>
        <v>166.66666666666666</v>
      </c>
      <c r="J949" s="16"/>
      <c r="K949" s="15">
        <v>0</v>
      </c>
      <c r="L949" s="15"/>
      <c r="M949" s="16"/>
      <c r="N949" s="8"/>
      <c r="O949" s="18">
        <f t="shared" si="270"/>
        <v>5000</v>
      </c>
      <c r="P949" s="9"/>
      <c r="Q949" s="9"/>
      <c r="R949" s="85">
        <v>0</v>
      </c>
      <c r="S949" s="10">
        <f t="shared" si="268"/>
        <v>166.66666666666666</v>
      </c>
    </row>
    <row r="950" spans="2:19" outlineLevel="1">
      <c r="B950" s="13" t="s">
        <v>75</v>
      </c>
      <c r="C950" s="7" t="str">
        <f t="shared" si="266"/>
        <v>EXTRUSORA</v>
      </c>
      <c r="D950" s="8">
        <f>D880</f>
        <v>46099</v>
      </c>
      <c r="E950" s="15"/>
      <c r="F950" s="15"/>
      <c r="G950" s="15">
        <f t="shared" si="267"/>
        <v>0</v>
      </c>
      <c r="H950" s="16"/>
      <c r="I950" s="10">
        <f t="shared" si="269"/>
        <v>166.66666666666666</v>
      </c>
      <c r="J950" s="16"/>
      <c r="K950" s="15">
        <v>0</v>
      </c>
      <c r="L950" s="15"/>
      <c r="M950" s="16"/>
      <c r="N950" s="8"/>
      <c r="O950" s="18">
        <f t="shared" si="270"/>
        <v>5000</v>
      </c>
      <c r="P950" s="9"/>
      <c r="Q950" s="9"/>
      <c r="R950" s="85">
        <v>0</v>
      </c>
      <c r="S950" s="10">
        <f t="shared" si="268"/>
        <v>166.66666666666666</v>
      </c>
    </row>
    <row r="951" spans="2:19" outlineLevel="1">
      <c r="B951" s="13" t="s">
        <v>75</v>
      </c>
      <c r="C951" s="7" t="str">
        <f t="shared" si="266"/>
        <v>EXTRUSORA</v>
      </c>
      <c r="D951" s="8">
        <f>D881</f>
        <v>46100</v>
      </c>
      <c r="E951" s="15"/>
      <c r="F951" s="15"/>
      <c r="G951" s="15">
        <f t="shared" si="267"/>
        <v>0</v>
      </c>
      <c r="H951" s="16"/>
      <c r="I951" s="10">
        <f t="shared" si="269"/>
        <v>166.66666666666666</v>
      </c>
      <c r="J951" s="16"/>
      <c r="K951" s="15">
        <v>0</v>
      </c>
      <c r="L951" s="15"/>
      <c r="M951" s="16"/>
      <c r="N951" s="8"/>
      <c r="O951" s="18">
        <f t="shared" si="270"/>
        <v>5000</v>
      </c>
      <c r="P951" s="9"/>
      <c r="Q951" s="9"/>
      <c r="R951" s="85">
        <v>0</v>
      </c>
      <c r="S951" s="10">
        <f t="shared" si="268"/>
        <v>166.66666666666666</v>
      </c>
    </row>
    <row r="952" spans="2:19" outlineLevel="1">
      <c r="B952" s="13" t="s">
        <v>75</v>
      </c>
      <c r="C952" s="7" t="str">
        <f t="shared" si="266"/>
        <v>EXTRUSORA</v>
      </c>
      <c r="D952" s="8">
        <f>D882</f>
        <v>46101</v>
      </c>
      <c r="E952" s="15"/>
      <c r="F952" s="15"/>
      <c r="G952" s="15">
        <f t="shared" si="267"/>
        <v>0</v>
      </c>
      <c r="H952" s="16"/>
      <c r="I952" s="10">
        <f t="shared" si="269"/>
        <v>166.66666666666666</v>
      </c>
      <c r="J952" s="16"/>
      <c r="K952" s="15">
        <v>0</v>
      </c>
      <c r="L952" s="15"/>
      <c r="M952" s="16"/>
      <c r="N952" s="8"/>
      <c r="O952" s="18">
        <f t="shared" si="270"/>
        <v>5000</v>
      </c>
      <c r="P952" s="9"/>
      <c r="Q952" s="9"/>
      <c r="R952" s="85">
        <v>0</v>
      </c>
      <c r="S952" s="10">
        <f t="shared" si="268"/>
        <v>166.66666666666666</v>
      </c>
    </row>
    <row r="953" spans="2:19" outlineLevel="1">
      <c r="B953" s="13" t="s">
        <v>75</v>
      </c>
      <c r="C953" s="7" t="str">
        <f t="shared" si="266"/>
        <v>EXTRUSORA</v>
      </c>
      <c r="D953" s="8">
        <f>D883</f>
        <v>46102</v>
      </c>
      <c r="E953" s="15"/>
      <c r="F953" s="15"/>
      <c r="G953" s="15">
        <f t="shared" si="267"/>
        <v>0</v>
      </c>
      <c r="H953" s="16"/>
      <c r="I953" s="10">
        <f t="shared" si="269"/>
        <v>166.66666666666666</v>
      </c>
      <c r="J953" s="16"/>
      <c r="K953" s="15">
        <v>0</v>
      </c>
      <c r="L953" s="15"/>
      <c r="M953" s="16"/>
      <c r="N953" s="8"/>
      <c r="O953" s="18">
        <f t="shared" si="270"/>
        <v>5000</v>
      </c>
      <c r="P953" s="9"/>
      <c r="Q953" s="9"/>
      <c r="R953" s="85">
        <v>0</v>
      </c>
      <c r="S953" s="10">
        <f t="shared" si="268"/>
        <v>166.66666666666666</v>
      </c>
    </row>
    <row r="954" spans="2:19" outlineLevel="1">
      <c r="B954" s="13" t="s">
        <v>75</v>
      </c>
      <c r="C954" s="7" t="str">
        <f t="shared" si="266"/>
        <v>EXTRUSORA</v>
      </c>
      <c r="D954" s="8">
        <f>D884</f>
        <v>46103</v>
      </c>
      <c r="E954" s="15"/>
      <c r="F954" s="15"/>
      <c r="G954" s="15">
        <f t="shared" si="267"/>
        <v>0</v>
      </c>
      <c r="H954" s="16"/>
      <c r="I954" s="10">
        <f t="shared" si="269"/>
        <v>166.66666666666666</v>
      </c>
      <c r="J954" s="16"/>
      <c r="K954" s="15">
        <v>0</v>
      </c>
      <c r="L954" s="15"/>
      <c r="M954" s="16"/>
      <c r="N954" s="8"/>
      <c r="O954" s="18">
        <f t="shared" si="270"/>
        <v>5000</v>
      </c>
      <c r="P954" s="9"/>
      <c r="Q954" s="9"/>
      <c r="R954" s="85">
        <v>0</v>
      </c>
      <c r="S954" s="10">
        <f t="shared" si="268"/>
        <v>166.66666666666666</v>
      </c>
    </row>
    <row r="955" spans="2:19" outlineLevel="1">
      <c r="B955" s="13" t="s">
        <v>75</v>
      </c>
      <c r="C955" s="7" t="str">
        <f t="shared" si="266"/>
        <v>EXTRUSORA</v>
      </c>
      <c r="D955" s="8">
        <f>D885</f>
        <v>46104</v>
      </c>
      <c r="E955" s="15"/>
      <c r="F955" s="15"/>
      <c r="G955" s="15">
        <f t="shared" si="267"/>
        <v>0</v>
      </c>
      <c r="H955" s="16"/>
      <c r="I955" s="10">
        <f t="shared" si="269"/>
        <v>166.66666666666666</v>
      </c>
      <c r="J955" s="16"/>
      <c r="K955" s="15">
        <v>0</v>
      </c>
      <c r="L955" s="15"/>
      <c r="M955" s="16"/>
      <c r="N955" s="8"/>
      <c r="O955" s="18">
        <f t="shared" si="270"/>
        <v>5000</v>
      </c>
      <c r="P955" s="9"/>
      <c r="Q955" s="9"/>
      <c r="R955" s="85">
        <v>0</v>
      </c>
      <c r="S955" s="10">
        <f t="shared" si="268"/>
        <v>166.66666666666666</v>
      </c>
    </row>
    <row r="956" spans="2:19" outlineLevel="1">
      <c r="B956" s="13" t="s">
        <v>75</v>
      </c>
      <c r="C956" s="7" t="str">
        <f t="shared" si="266"/>
        <v>EXTRUSORA</v>
      </c>
      <c r="D956" s="8">
        <f>D886</f>
        <v>46105</v>
      </c>
      <c r="E956" s="15"/>
      <c r="F956" s="15"/>
      <c r="G956" s="15">
        <f t="shared" si="267"/>
        <v>0</v>
      </c>
      <c r="H956" s="16"/>
      <c r="I956" s="10">
        <f t="shared" si="269"/>
        <v>166.66666666666666</v>
      </c>
      <c r="J956" s="16"/>
      <c r="K956" s="15">
        <v>0</v>
      </c>
      <c r="L956" s="15"/>
      <c r="M956" s="16"/>
      <c r="N956" s="8"/>
      <c r="O956" s="18">
        <f t="shared" si="270"/>
        <v>5000</v>
      </c>
      <c r="P956" s="9"/>
      <c r="Q956" s="9"/>
      <c r="R956" s="85">
        <v>0</v>
      </c>
      <c r="S956" s="10">
        <f t="shared" si="268"/>
        <v>166.66666666666666</v>
      </c>
    </row>
    <row r="957" spans="2:19" outlineLevel="1">
      <c r="B957" s="13" t="s">
        <v>75</v>
      </c>
      <c r="C957" s="7" t="str">
        <f t="shared" si="266"/>
        <v>EXTRUSORA</v>
      </c>
      <c r="D957" s="8">
        <f>D887</f>
        <v>46106</v>
      </c>
      <c r="E957" s="15"/>
      <c r="F957" s="15"/>
      <c r="G957" s="15">
        <f t="shared" si="267"/>
        <v>0</v>
      </c>
      <c r="H957" s="16"/>
      <c r="I957" s="10">
        <f t="shared" si="269"/>
        <v>166.66666666666666</v>
      </c>
      <c r="J957" s="16"/>
      <c r="K957" s="15">
        <v>0</v>
      </c>
      <c r="L957" s="15"/>
      <c r="M957" s="16"/>
      <c r="N957" s="8"/>
      <c r="O957" s="18">
        <f t="shared" si="270"/>
        <v>5000</v>
      </c>
      <c r="P957" s="9"/>
      <c r="Q957" s="9"/>
      <c r="R957" s="85">
        <v>0</v>
      </c>
      <c r="S957" s="10">
        <f t="shared" si="268"/>
        <v>166.66666666666666</v>
      </c>
    </row>
    <row r="958" spans="2:19" outlineLevel="1">
      <c r="B958" s="13" t="s">
        <v>75</v>
      </c>
      <c r="C958" s="7" t="str">
        <f t="shared" si="266"/>
        <v>EXTRUSORA</v>
      </c>
      <c r="D958" s="8">
        <f>D888</f>
        <v>46107</v>
      </c>
      <c r="E958" s="15"/>
      <c r="F958" s="15"/>
      <c r="G958" s="15">
        <f t="shared" si="267"/>
        <v>0</v>
      </c>
      <c r="H958" s="16"/>
      <c r="I958" s="10">
        <f t="shared" si="269"/>
        <v>166.66666666666666</v>
      </c>
      <c r="J958" s="16"/>
      <c r="K958" s="15">
        <v>0</v>
      </c>
      <c r="L958" s="15"/>
      <c r="M958" s="16"/>
      <c r="N958" s="8"/>
      <c r="O958" s="18">
        <f t="shared" si="270"/>
        <v>5000</v>
      </c>
      <c r="P958" s="9"/>
      <c r="Q958" s="9"/>
      <c r="R958" s="85">
        <v>0</v>
      </c>
      <c r="S958" s="10">
        <f t="shared" si="268"/>
        <v>166.66666666666666</v>
      </c>
    </row>
    <row r="959" spans="2:19" outlineLevel="1">
      <c r="B959" s="13" t="s">
        <v>75</v>
      </c>
      <c r="C959" s="7" t="str">
        <f t="shared" si="266"/>
        <v>EXTRUSORA</v>
      </c>
      <c r="D959" s="8">
        <f>D889</f>
        <v>46108</v>
      </c>
      <c r="E959" s="15"/>
      <c r="F959" s="15"/>
      <c r="G959" s="15">
        <f t="shared" si="267"/>
        <v>0</v>
      </c>
      <c r="H959" s="16"/>
      <c r="I959" s="10">
        <f t="shared" si="269"/>
        <v>166.66666666666666</v>
      </c>
      <c r="J959" s="16"/>
      <c r="K959" s="15">
        <v>0</v>
      </c>
      <c r="L959" s="15"/>
      <c r="M959" s="16"/>
      <c r="N959" s="8"/>
      <c r="O959" s="18">
        <f t="shared" si="270"/>
        <v>5000</v>
      </c>
      <c r="P959" s="9"/>
      <c r="Q959" s="9"/>
      <c r="R959" s="85">
        <v>0</v>
      </c>
      <c r="S959" s="10">
        <f t="shared" si="268"/>
        <v>166.66666666666666</v>
      </c>
    </row>
    <row r="960" spans="2:19" outlineLevel="1">
      <c r="B960" s="13" t="s">
        <v>75</v>
      </c>
      <c r="C960" s="7" t="str">
        <f t="shared" si="266"/>
        <v>EXTRUSORA</v>
      </c>
      <c r="D960" s="8">
        <f t="shared" ref="D960" si="271">D892</f>
        <v>46109</v>
      </c>
      <c r="E960" s="15"/>
      <c r="F960" s="15"/>
      <c r="G960" s="15">
        <f t="shared" ref="G960:G962" si="272">F960-E960</f>
        <v>0</v>
      </c>
      <c r="H960" s="16"/>
      <c r="I960" s="10">
        <f>I956</f>
        <v>166.66666666666666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73">SUM(R960+Q960+I960)</f>
        <v>166.66666666666666</v>
      </c>
    </row>
    <row r="961" spans="2:19" outlineLevel="1">
      <c r="B961" s="13" t="s">
        <v>75</v>
      </c>
      <c r="C961" s="7" t="str">
        <f t="shared" si="266"/>
        <v>EXTRUSORA</v>
      </c>
      <c r="D961" s="8">
        <f t="shared" ref="D961:D963" si="274">D893</f>
        <v>46110</v>
      </c>
      <c r="E961" s="15"/>
      <c r="F961" s="15"/>
      <c r="G961" s="15">
        <f t="shared" si="272"/>
        <v>0</v>
      </c>
      <c r="H961" s="16"/>
      <c r="I961" s="10">
        <f>I957</f>
        <v>166.66666666666666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73"/>
        <v>166.66666666666666</v>
      </c>
    </row>
    <row r="962" spans="2:19" outlineLevel="1">
      <c r="B962" s="13" t="s">
        <v>75</v>
      </c>
      <c r="C962" s="7" t="str">
        <f t="shared" si="266"/>
        <v>EXTRUSORA</v>
      </c>
      <c r="D962" s="8">
        <f t="shared" si="274"/>
        <v>46111</v>
      </c>
      <c r="E962" s="15"/>
      <c r="F962" s="15"/>
      <c r="G962" s="15">
        <f t="shared" si="272"/>
        <v>0</v>
      </c>
      <c r="H962" s="16"/>
      <c r="I962" s="10">
        <f>I958</f>
        <v>166.66666666666666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73"/>
        <v>166.66666666666666</v>
      </c>
    </row>
    <row r="963" spans="2:19" outlineLevel="1">
      <c r="B963" s="13" t="s">
        <v>75</v>
      </c>
      <c r="C963" s="7" t="str">
        <f t="shared" si="266"/>
        <v>EXTRUSORA</v>
      </c>
      <c r="D963" s="8">
        <f t="shared" si="274"/>
        <v>46112</v>
      </c>
      <c r="E963" s="15"/>
      <c r="F963" s="15"/>
      <c r="G963" s="15">
        <f t="shared" si="267"/>
        <v>0</v>
      </c>
      <c r="H963" s="16"/>
      <c r="I963" s="10">
        <f>I959</f>
        <v>166.66666666666666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8"/>
        <v>166.66666666666666</v>
      </c>
    </row>
    <row r="964" spans="2:19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5" t="str">
        <f>M$1</f>
        <v>BM JANEIRO 2026</v>
      </c>
      <c r="N965" s="135"/>
      <c r="O965" s="135"/>
      <c r="P965" s="19" t="s">
        <v>10</v>
      </c>
      <c r="Q965" s="136"/>
      <c r="R965" s="136"/>
      <c r="S965" s="136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outlineLevel="1">
      <c r="B967" s="68" t="s">
        <v>77</v>
      </c>
      <c r="C967" s="7" t="str">
        <f t="shared" ref="C967:C997" si="275">C$965</f>
        <v>Estação Topográfica 01</v>
      </c>
      <c r="D967" s="8">
        <f>D899</f>
        <v>46082</v>
      </c>
      <c r="E967" s="15"/>
      <c r="F967" s="15"/>
      <c r="G967" s="15">
        <f>F967-E967</f>
        <v>0</v>
      </c>
      <c r="H967" s="16"/>
      <c r="I967" s="10">
        <f>P967</f>
        <v>116.66666666666667</v>
      </c>
      <c r="J967" s="16"/>
      <c r="K967" s="15">
        <v>0</v>
      </c>
      <c r="L967" s="15"/>
      <c r="M967" s="17"/>
      <c r="N967" s="8"/>
      <c r="O967" s="9">
        <v>3500</v>
      </c>
      <c r="P967" s="9">
        <f>O967/30</f>
        <v>116.66666666666667</v>
      </c>
      <c r="Q967" s="9"/>
      <c r="R967" s="85">
        <v>0</v>
      </c>
      <c r="S967" s="10">
        <f>SUM(R967+Q967+I967)</f>
        <v>116.66666666666667</v>
      </c>
    </row>
    <row r="968" spans="2:19" outlineLevel="1">
      <c r="B968" s="12" t="s">
        <v>0</v>
      </c>
      <c r="C968" s="7" t="str">
        <f t="shared" si="275"/>
        <v>Estação Topográfica 01</v>
      </c>
      <c r="D968" s="8">
        <f>D900</f>
        <v>46083</v>
      </c>
      <c r="E968" s="15"/>
      <c r="F968" s="15"/>
      <c r="G968" s="15">
        <f t="shared" ref="G968:G997" si="276">F968-E968</f>
        <v>0</v>
      </c>
      <c r="H968" s="16"/>
      <c r="I968" s="10">
        <f>I967</f>
        <v>116.66666666666667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7">SUM(R968+Q968+I968)</f>
        <v>116.66666666666667</v>
      </c>
    </row>
    <row r="969" spans="2:19" outlineLevel="1">
      <c r="B969" s="13" t="s">
        <v>77</v>
      </c>
      <c r="C969" s="7" t="str">
        <f t="shared" si="275"/>
        <v>Estação Topográfica 01</v>
      </c>
      <c r="D969" s="8">
        <f>D901</f>
        <v>46084</v>
      </c>
      <c r="E969" s="15"/>
      <c r="F969" s="15"/>
      <c r="G969" s="15">
        <f t="shared" si="276"/>
        <v>0</v>
      </c>
      <c r="H969" s="16"/>
      <c r="I969" s="10">
        <f t="shared" ref="I969:I993" si="278">I968</f>
        <v>116.66666666666667</v>
      </c>
      <c r="J969" s="16"/>
      <c r="K969" s="15">
        <v>0</v>
      </c>
      <c r="L969" s="15"/>
      <c r="M969" s="16"/>
      <c r="N969" s="8"/>
      <c r="O969" s="18">
        <f t="shared" ref="O969:O993" si="279">O968</f>
        <v>3500</v>
      </c>
      <c r="P969" s="9"/>
      <c r="Q969" s="9"/>
      <c r="R969" s="85">
        <v>0</v>
      </c>
      <c r="S969" s="10">
        <f t="shared" si="277"/>
        <v>116.66666666666667</v>
      </c>
    </row>
    <row r="970" spans="2:19" outlineLevel="1">
      <c r="B970" s="13" t="s">
        <v>77</v>
      </c>
      <c r="C970" s="7" t="str">
        <f t="shared" si="275"/>
        <v>Estação Topográfica 01</v>
      </c>
      <c r="D970" s="8">
        <f>D902</f>
        <v>46085</v>
      </c>
      <c r="E970" s="15"/>
      <c r="F970" s="15"/>
      <c r="G970" s="15">
        <f t="shared" si="276"/>
        <v>0</v>
      </c>
      <c r="H970" s="16"/>
      <c r="I970" s="10">
        <f t="shared" si="278"/>
        <v>116.66666666666667</v>
      </c>
      <c r="J970" s="16"/>
      <c r="K970" s="15">
        <v>0</v>
      </c>
      <c r="L970" s="15"/>
      <c r="M970" s="16"/>
      <c r="N970" s="8"/>
      <c r="O970" s="18">
        <f t="shared" si="279"/>
        <v>3500</v>
      </c>
      <c r="P970" s="9"/>
      <c r="Q970" s="9"/>
      <c r="R970" s="85">
        <v>0</v>
      </c>
      <c r="S970" s="10">
        <f t="shared" si="277"/>
        <v>116.66666666666667</v>
      </c>
    </row>
    <row r="971" spans="2:19" outlineLevel="1">
      <c r="B971" s="13" t="s">
        <v>77</v>
      </c>
      <c r="C971" s="7" t="str">
        <f t="shared" si="275"/>
        <v>Estação Topográfica 01</v>
      </c>
      <c r="D971" s="8">
        <f>D903</f>
        <v>46086</v>
      </c>
      <c r="E971" s="15"/>
      <c r="F971" s="15"/>
      <c r="G971" s="15">
        <f t="shared" si="276"/>
        <v>0</v>
      </c>
      <c r="H971" s="16"/>
      <c r="I971" s="10">
        <f t="shared" si="278"/>
        <v>116.66666666666667</v>
      </c>
      <c r="J971" s="16"/>
      <c r="K971" s="15">
        <v>0</v>
      </c>
      <c r="L971" s="15"/>
      <c r="M971" s="16"/>
      <c r="N971" s="8"/>
      <c r="O971" s="18">
        <f t="shared" si="279"/>
        <v>3500</v>
      </c>
      <c r="P971" s="9"/>
      <c r="Q971" s="9"/>
      <c r="R971" s="85">
        <v>0</v>
      </c>
      <c r="S971" s="10">
        <f t="shared" si="277"/>
        <v>116.66666666666667</v>
      </c>
    </row>
    <row r="972" spans="2:19" outlineLevel="1">
      <c r="B972" s="13" t="s">
        <v>77</v>
      </c>
      <c r="C972" s="7" t="str">
        <f t="shared" si="275"/>
        <v>Estação Topográfica 01</v>
      </c>
      <c r="D972" s="8">
        <f>D904</f>
        <v>46087</v>
      </c>
      <c r="E972" s="15"/>
      <c r="F972" s="15"/>
      <c r="G972" s="15">
        <f t="shared" si="276"/>
        <v>0</v>
      </c>
      <c r="H972" s="16"/>
      <c r="I972" s="10">
        <f t="shared" si="278"/>
        <v>116.66666666666667</v>
      </c>
      <c r="J972" s="16"/>
      <c r="K972" s="15">
        <v>0</v>
      </c>
      <c r="L972" s="15"/>
      <c r="M972" s="16"/>
      <c r="N972" s="8"/>
      <c r="O972" s="18">
        <f t="shared" si="279"/>
        <v>3500</v>
      </c>
      <c r="P972" s="9"/>
      <c r="Q972" s="9"/>
      <c r="R972" s="85">
        <v>0</v>
      </c>
      <c r="S972" s="10">
        <f t="shared" si="277"/>
        <v>116.66666666666667</v>
      </c>
    </row>
    <row r="973" spans="2:19" outlineLevel="1">
      <c r="B973" s="13" t="s">
        <v>77</v>
      </c>
      <c r="C973" s="7" t="str">
        <f t="shared" si="275"/>
        <v>Estação Topográfica 01</v>
      </c>
      <c r="D973" s="8">
        <f>D905</f>
        <v>46088</v>
      </c>
      <c r="E973" s="15"/>
      <c r="F973" s="15"/>
      <c r="G973" s="15">
        <f t="shared" si="276"/>
        <v>0</v>
      </c>
      <c r="H973" s="16"/>
      <c r="I973" s="10">
        <f t="shared" si="278"/>
        <v>116.66666666666667</v>
      </c>
      <c r="J973" s="16"/>
      <c r="K973" s="15">
        <v>0</v>
      </c>
      <c r="L973" s="15"/>
      <c r="M973" s="16"/>
      <c r="N973" s="8"/>
      <c r="O973" s="18">
        <f t="shared" si="279"/>
        <v>3500</v>
      </c>
      <c r="P973" s="9"/>
      <c r="Q973" s="9"/>
      <c r="R973" s="85">
        <v>0</v>
      </c>
      <c r="S973" s="10">
        <f t="shared" si="277"/>
        <v>116.66666666666667</v>
      </c>
    </row>
    <row r="974" spans="2:19" outlineLevel="1">
      <c r="B974" s="13" t="s">
        <v>77</v>
      </c>
      <c r="C974" s="7" t="str">
        <f t="shared" si="275"/>
        <v>Estação Topográfica 01</v>
      </c>
      <c r="D974" s="8">
        <f>D906</f>
        <v>46089</v>
      </c>
      <c r="E974" s="15"/>
      <c r="F974" s="15"/>
      <c r="G974" s="15">
        <f t="shared" si="276"/>
        <v>0</v>
      </c>
      <c r="H974" s="16"/>
      <c r="I974" s="10">
        <f t="shared" si="278"/>
        <v>116.66666666666667</v>
      </c>
      <c r="J974" s="16"/>
      <c r="K974" s="15">
        <v>0</v>
      </c>
      <c r="L974" s="15"/>
      <c r="M974" s="16"/>
      <c r="N974" s="8"/>
      <c r="O974" s="18">
        <f t="shared" si="279"/>
        <v>3500</v>
      </c>
      <c r="P974" s="9"/>
      <c r="Q974" s="9"/>
      <c r="R974" s="85">
        <v>0</v>
      </c>
      <c r="S974" s="10">
        <f t="shared" si="277"/>
        <v>116.66666666666667</v>
      </c>
    </row>
    <row r="975" spans="2:19" outlineLevel="1">
      <c r="B975" s="13" t="s">
        <v>77</v>
      </c>
      <c r="C975" s="7" t="str">
        <f t="shared" si="275"/>
        <v>Estação Topográfica 01</v>
      </c>
      <c r="D975" s="8">
        <f>D907</f>
        <v>46090</v>
      </c>
      <c r="E975" s="15"/>
      <c r="F975" s="15"/>
      <c r="G975" s="15">
        <f t="shared" si="276"/>
        <v>0</v>
      </c>
      <c r="H975" s="16"/>
      <c r="I975" s="10">
        <f t="shared" si="278"/>
        <v>116.66666666666667</v>
      </c>
      <c r="J975" s="16"/>
      <c r="K975" s="15">
        <v>0</v>
      </c>
      <c r="L975" s="15"/>
      <c r="M975" s="16"/>
      <c r="N975" s="8"/>
      <c r="O975" s="18">
        <f t="shared" si="279"/>
        <v>3500</v>
      </c>
      <c r="P975" s="9"/>
      <c r="Q975" s="9"/>
      <c r="R975" s="85">
        <v>0</v>
      </c>
      <c r="S975" s="10">
        <f t="shared" si="277"/>
        <v>116.66666666666667</v>
      </c>
    </row>
    <row r="976" spans="2:19" outlineLevel="1">
      <c r="B976" s="13" t="s">
        <v>77</v>
      </c>
      <c r="C976" s="7" t="str">
        <f t="shared" si="275"/>
        <v>Estação Topográfica 01</v>
      </c>
      <c r="D976" s="8">
        <f>D908</f>
        <v>46091</v>
      </c>
      <c r="E976" s="15"/>
      <c r="F976" s="15"/>
      <c r="G976" s="15">
        <f t="shared" si="276"/>
        <v>0</v>
      </c>
      <c r="H976" s="16"/>
      <c r="I976" s="10">
        <f t="shared" si="278"/>
        <v>116.66666666666667</v>
      </c>
      <c r="J976" s="16"/>
      <c r="K976" s="15">
        <v>0</v>
      </c>
      <c r="L976" s="15"/>
      <c r="M976" s="16"/>
      <c r="N976" s="8"/>
      <c r="O976" s="18">
        <f t="shared" si="279"/>
        <v>3500</v>
      </c>
      <c r="P976" s="9"/>
      <c r="Q976" s="9"/>
      <c r="R976" s="85">
        <v>0</v>
      </c>
      <c r="S976" s="10">
        <f t="shared" si="277"/>
        <v>116.66666666666667</v>
      </c>
    </row>
    <row r="977" spans="2:19" outlineLevel="1">
      <c r="B977" s="13" t="s">
        <v>77</v>
      </c>
      <c r="C977" s="7" t="str">
        <f t="shared" si="275"/>
        <v>Estação Topográfica 01</v>
      </c>
      <c r="D977" s="8">
        <f>D909</f>
        <v>46092</v>
      </c>
      <c r="E977" s="15"/>
      <c r="F977" s="15"/>
      <c r="G977" s="15">
        <f t="shared" si="276"/>
        <v>0</v>
      </c>
      <c r="H977" s="16"/>
      <c r="I977" s="10">
        <f t="shared" si="278"/>
        <v>116.66666666666667</v>
      </c>
      <c r="J977" s="16"/>
      <c r="K977" s="15">
        <v>0</v>
      </c>
      <c r="L977" s="15"/>
      <c r="M977" s="16"/>
      <c r="N977" s="8"/>
      <c r="O977" s="18">
        <f t="shared" si="279"/>
        <v>3500</v>
      </c>
      <c r="P977" s="9"/>
      <c r="Q977" s="9"/>
      <c r="R977" s="85">
        <v>0</v>
      </c>
      <c r="S977" s="10">
        <f t="shared" si="277"/>
        <v>116.66666666666667</v>
      </c>
    </row>
    <row r="978" spans="2:19" outlineLevel="1">
      <c r="B978" s="13" t="s">
        <v>77</v>
      </c>
      <c r="C978" s="7" t="str">
        <f t="shared" si="275"/>
        <v>Estação Topográfica 01</v>
      </c>
      <c r="D978" s="8">
        <f>D910</f>
        <v>46093</v>
      </c>
      <c r="E978" s="15"/>
      <c r="F978" s="15"/>
      <c r="G978" s="15">
        <f t="shared" si="276"/>
        <v>0</v>
      </c>
      <c r="H978" s="16"/>
      <c r="I978" s="10">
        <f t="shared" si="278"/>
        <v>116.66666666666667</v>
      </c>
      <c r="J978" s="16"/>
      <c r="K978" s="15">
        <v>0</v>
      </c>
      <c r="L978" s="15"/>
      <c r="M978" s="16"/>
      <c r="N978" s="8"/>
      <c r="O978" s="18">
        <f t="shared" si="279"/>
        <v>3500</v>
      </c>
      <c r="P978" s="9"/>
      <c r="Q978" s="9"/>
      <c r="R978" s="85">
        <v>0</v>
      </c>
      <c r="S978" s="10">
        <f t="shared" si="277"/>
        <v>116.66666666666667</v>
      </c>
    </row>
    <row r="979" spans="2:19" outlineLevel="1">
      <c r="B979" s="13" t="s">
        <v>77</v>
      </c>
      <c r="C979" s="7" t="str">
        <f t="shared" si="275"/>
        <v>Estação Topográfica 01</v>
      </c>
      <c r="D979" s="8">
        <f>D911</f>
        <v>46094</v>
      </c>
      <c r="E979" s="15"/>
      <c r="F979" s="15"/>
      <c r="G979" s="15">
        <f t="shared" si="276"/>
        <v>0</v>
      </c>
      <c r="H979" s="16"/>
      <c r="I979" s="10">
        <f t="shared" si="278"/>
        <v>116.66666666666667</v>
      </c>
      <c r="J979" s="16"/>
      <c r="K979" s="15">
        <v>0</v>
      </c>
      <c r="L979" s="15"/>
      <c r="M979" s="16"/>
      <c r="N979" s="8"/>
      <c r="O979" s="18">
        <f t="shared" si="279"/>
        <v>3500</v>
      </c>
      <c r="P979" s="9"/>
      <c r="Q979" s="9"/>
      <c r="R979" s="85">
        <v>0</v>
      </c>
      <c r="S979" s="10">
        <f t="shared" si="277"/>
        <v>116.66666666666667</v>
      </c>
    </row>
    <row r="980" spans="2:19" outlineLevel="1">
      <c r="B980" s="13" t="s">
        <v>77</v>
      </c>
      <c r="C980" s="7" t="str">
        <f t="shared" si="275"/>
        <v>Estação Topográfica 01</v>
      </c>
      <c r="D980" s="8">
        <f>D912</f>
        <v>46095</v>
      </c>
      <c r="E980" s="15"/>
      <c r="F980" s="15"/>
      <c r="G980" s="15">
        <f t="shared" si="276"/>
        <v>0</v>
      </c>
      <c r="H980" s="16"/>
      <c r="I980" s="10">
        <f t="shared" si="278"/>
        <v>116.66666666666667</v>
      </c>
      <c r="J980" s="16"/>
      <c r="K980" s="15">
        <v>0</v>
      </c>
      <c r="L980" s="15"/>
      <c r="M980" s="16"/>
      <c r="N980" s="8"/>
      <c r="O980" s="18">
        <f t="shared" si="279"/>
        <v>3500</v>
      </c>
      <c r="P980" s="9"/>
      <c r="Q980" s="9"/>
      <c r="R980" s="85">
        <v>0</v>
      </c>
      <c r="S980" s="10">
        <f t="shared" si="277"/>
        <v>116.66666666666667</v>
      </c>
    </row>
    <row r="981" spans="2:19" outlineLevel="1">
      <c r="B981" s="13" t="s">
        <v>77</v>
      </c>
      <c r="C981" s="7" t="str">
        <f t="shared" si="275"/>
        <v>Estação Topográfica 01</v>
      </c>
      <c r="D981" s="8">
        <f>D913</f>
        <v>46096</v>
      </c>
      <c r="E981" s="15"/>
      <c r="F981" s="15"/>
      <c r="G981" s="15">
        <f t="shared" si="276"/>
        <v>0</v>
      </c>
      <c r="H981" s="16"/>
      <c r="I981" s="10">
        <f t="shared" si="278"/>
        <v>116.66666666666667</v>
      </c>
      <c r="J981" s="16"/>
      <c r="K981" s="15">
        <v>0</v>
      </c>
      <c r="L981" s="15"/>
      <c r="M981" s="16"/>
      <c r="N981" s="8"/>
      <c r="O981" s="18">
        <f t="shared" si="279"/>
        <v>3500</v>
      </c>
      <c r="P981" s="9"/>
      <c r="Q981" s="9"/>
      <c r="R981" s="85">
        <v>0</v>
      </c>
      <c r="S981" s="10">
        <f t="shared" si="277"/>
        <v>116.66666666666667</v>
      </c>
    </row>
    <row r="982" spans="2:19" outlineLevel="1">
      <c r="B982" s="13" t="s">
        <v>77</v>
      </c>
      <c r="C982" s="7" t="str">
        <f t="shared" si="275"/>
        <v>Estação Topográfica 01</v>
      </c>
      <c r="D982" s="8">
        <f>D914</f>
        <v>46097</v>
      </c>
      <c r="E982" s="15"/>
      <c r="F982" s="15"/>
      <c r="G982" s="15">
        <f t="shared" si="276"/>
        <v>0</v>
      </c>
      <c r="H982" s="16"/>
      <c r="I982" s="10">
        <f t="shared" si="278"/>
        <v>116.66666666666667</v>
      </c>
      <c r="J982" s="16"/>
      <c r="K982" s="15">
        <v>0</v>
      </c>
      <c r="L982" s="15"/>
      <c r="M982" s="16"/>
      <c r="N982" s="8"/>
      <c r="O982" s="18">
        <f t="shared" si="279"/>
        <v>3500</v>
      </c>
      <c r="P982" s="9"/>
      <c r="Q982" s="9"/>
      <c r="R982" s="85">
        <v>0</v>
      </c>
      <c r="S982" s="10">
        <f t="shared" si="277"/>
        <v>116.66666666666667</v>
      </c>
    </row>
    <row r="983" spans="2:19" outlineLevel="1">
      <c r="B983" s="13" t="s">
        <v>77</v>
      </c>
      <c r="C983" s="7" t="str">
        <f t="shared" si="275"/>
        <v>Estação Topográfica 01</v>
      </c>
      <c r="D983" s="8">
        <f>D915</f>
        <v>46098</v>
      </c>
      <c r="E983" s="15"/>
      <c r="F983" s="15"/>
      <c r="G983" s="15">
        <f t="shared" si="276"/>
        <v>0</v>
      </c>
      <c r="H983" s="16"/>
      <c r="I983" s="10">
        <f t="shared" si="278"/>
        <v>116.66666666666667</v>
      </c>
      <c r="J983" s="16"/>
      <c r="K983" s="15">
        <v>0</v>
      </c>
      <c r="L983" s="15"/>
      <c r="M983" s="16"/>
      <c r="N983" s="8"/>
      <c r="O983" s="18">
        <f t="shared" si="279"/>
        <v>3500</v>
      </c>
      <c r="P983" s="9"/>
      <c r="Q983" s="9"/>
      <c r="R983" s="85">
        <v>0</v>
      </c>
      <c r="S983" s="10">
        <f t="shared" si="277"/>
        <v>116.66666666666667</v>
      </c>
    </row>
    <row r="984" spans="2:19" outlineLevel="1">
      <c r="B984" s="13" t="s">
        <v>77</v>
      </c>
      <c r="C984" s="7" t="str">
        <f t="shared" si="275"/>
        <v>Estação Topográfica 01</v>
      </c>
      <c r="D984" s="8">
        <f>D916</f>
        <v>46099</v>
      </c>
      <c r="E984" s="15"/>
      <c r="F984" s="15"/>
      <c r="G984" s="15">
        <f t="shared" si="276"/>
        <v>0</v>
      </c>
      <c r="H984" s="16"/>
      <c r="I984" s="10">
        <f t="shared" si="278"/>
        <v>116.66666666666667</v>
      </c>
      <c r="J984" s="16"/>
      <c r="K984" s="15">
        <v>0</v>
      </c>
      <c r="L984" s="15"/>
      <c r="M984" s="16"/>
      <c r="N984" s="8"/>
      <c r="O984" s="18">
        <f t="shared" si="279"/>
        <v>3500</v>
      </c>
      <c r="P984" s="9"/>
      <c r="Q984" s="9"/>
      <c r="R984" s="85">
        <v>0</v>
      </c>
      <c r="S984" s="10">
        <f t="shared" si="277"/>
        <v>116.66666666666667</v>
      </c>
    </row>
    <row r="985" spans="2:19" outlineLevel="1">
      <c r="B985" s="13" t="s">
        <v>77</v>
      </c>
      <c r="C985" s="7" t="str">
        <f t="shared" si="275"/>
        <v>Estação Topográfica 01</v>
      </c>
      <c r="D985" s="8">
        <f>D917</f>
        <v>46100</v>
      </c>
      <c r="E985" s="15"/>
      <c r="F985" s="15"/>
      <c r="G985" s="15">
        <f t="shared" si="276"/>
        <v>0</v>
      </c>
      <c r="H985" s="16"/>
      <c r="I985" s="10">
        <f t="shared" si="278"/>
        <v>116.66666666666667</v>
      </c>
      <c r="J985" s="16"/>
      <c r="K985" s="15">
        <v>0</v>
      </c>
      <c r="L985" s="15"/>
      <c r="M985" s="16"/>
      <c r="N985" s="8"/>
      <c r="O985" s="18">
        <f t="shared" si="279"/>
        <v>3500</v>
      </c>
      <c r="P985" s="9"/>
      <c r="Q985" s="9"/>
      <c r="R985" s="85">
        <v>0</v>
      </c>
      <c r="S985" s="10">
        <f t="shared" si="277"/>
        <v>116.66666666666667</v>
      </c>
    </row>
    <row r="986" spans="2:19" outlineLevel="1">
      <c r="B986" s="13" t="s">
        <v>77</v>
      </c>
      <c r="C986" s="7" t="str">
        <f t="shared" si="275"/>
        <v>Estação Topográfica 01</v>
      </c>
      <c r="D986" s="8">
        <f>D918</f>
        <v>46101</v>
      </c>
      <c r="E986" s="15"/>
      <c r="F986" s="15"/>
      <c r="G986" s="15">
        <f t="shared" si="276"/>
        <v>0</v>
      </c>
      <c r="H986" s="16"/>
      <c r="I986" s="10">
        <f t="shared" si="278"/>
        <v>116.66666666666667</v>
      </c>
      <c r="J986" s="16"/>
      <c r="K986" s="15">
        <v>0</v>
      </c>
      <c r="L986" s="15"/>
      <c r="M986" s="16"/>
      <c r="N986" s="8"/>
      <c r="O986" s="18">
        <f t="shared" si="279"/>
        <v>3500</v>
      </c>
      <c r="P986" s="9"/>
      <c r="Q986" s="9"/>
      <c r="R986" s="85">
        <v>0</v>
      </c>
      <c r="S986" s="10">
        <f t="shared" si="277"/>
        <v>116.66666666666667</v>
      </c>
    </row>
    <row r="987" spans="2:19" outlineLevel="1">
      <c r="B987" s="13" t="s">
        <v>77</v>
      </c>
      <c r="C987" s="7" t="str">
        <f t="shared" si="275"/>
        <v>Estação Topográfica 01</v>
      </c>
      <c r="D987" s="8">
        <f>D919</f>
        <v>46102</v>
      </c>
      <c r="E987" s="15"/>
      <c r="F987" s="15"/>
      <c r="G987" s="15">
        <f t="shared" si="276"/>
        <v>0</v>
      </c>
      <c r="H987" s="16"/>
      <c r="I987" s="10">
        <f t="shared" si="278"/>
        <v>116.66666666666667</v>
      </c>
      <c r="J987" s="16"/>
      <c r="K987" s="15">
        <v>0</v>
      </c>
      <c r="L987" s="15"/>
      <c r="M987" s="16"/>
      <c r="N987" s="8"/>
      <c r="O987" s="18">
        <f t="shared" si="279"/>
        <v>3500</v>
      </c>
      <c r="P987" s="9"/>
      <c r="Q987" s="9"/>
      <c r="R987" s="85">
        <v>0</v>
      </c>
      <c r="S987" s="10">
        <f t="shared" si="277"/>
        <v>116.66666666666667</v>
      </c>
    </row>
    <row r="988" spans="2:19" outlineLevel="1">
      <c r="B988" s="13" t="s">
        <v>77</v>
      </c>
      <c r="C988" s="7" t="str">
        <f t="shared" si="275"/>
        <v>Estação Topográfica 01</v>
      </c>
      <c r="D988" s="8">
        <f>D920</f>
        <v>46103</v>
      </c>
      <c r="E988" s="15"/>
      <c r="F988" s="15"/>
      <c r="G988" s="15">
        <f t="shared" si="276"/>
        <v>0</v>
      </c>
      <c r="H988" s="16"/>
      <c r="I988" s="10">
        <f t="shared" si="278"/>
        <v>116.66666666666667</v>
      </c>
      <c r="J988" s="16"/>
      <c r="K988" s="15">
        <v>0</v>
      </c>
      <c r="L988" s="15"/>
      <c r="M988" s="16"/>
      <c r="N988" s="8"/>
      <c r="O988" s="18">
        <f t="shared" si="279"/>
        <v>3500</v>
      </c>
      <c r="P988" s="9"/>
      <c r="Q988" s="9"/>
      <c r="R988" s="85">
        <v>0</v>
      </c>
      <c r="S988" s="10">
        <f t="shared" si="277"/>
        <v>116.66666666666667</v>
      </c>
    </row>
    <row r="989" spans="2:19" outlineLevel="1">
      <c r="B989" s="13" t="s">
        <v>77</v>
      </c>
      <c r="C989" s="7" t="str">
        <f t="shared" si="275"/>
        <v>Estação Topográfica 01</v>
      </c>
      <c r="D989" s="8">
        <f>D921</f>
        <v>46104</v>
      </c>
      <c r="E989" s="15"/>
      <c r="F989" s="15"/>
      <c r="G989" s="15">
        <f t="shared" si="276"/>
        <v>0</v>
      </c>
      <c r="H989" s="16"/>
      <c r="I989" s="10">
        <f t="shared" si="278"/>
        <v>116.66666666666667</v>
      </c>
      <c r="J989" s="16"/>
      <c r="K989" s="15">
        <v>0</v>
      </c>
      <c r="L989" s="15"/>
      <c r="M989" s="16"/>
      <c r="N989" s="8"/>
      <c r="O989" s="18">
        <f t="shared" si="279"/>
        <v>3500</v>
      </c>
      <c r="P989" s="9"/>
      <c r="Q989" s="9"/>
      <c r="R989" s="85">
        <v>0</v>
      </c>
      <c r="S989" s="10">
        <f t="shared" si="277"/>
        <v>116.66666666666667</v>
      </c>
    </row>
    <row r="990" spans="2:19" outlineLevel="1">
      <c r="B990" s="13" t="s">
        <v>77</v>
      </c>
      <c r="C990" s="7" t="str">
        <f t="shared" si="275"/>
        <v>Estação Topográfica 01</v>
      </c>
      <c r="D990" s="8">
        <f>D922</f>
        <v>46105</v>
      </c>
      <c r="E990" s="15"/>
      <c r="F990" s="15"/>
      <c r="G990" s="15">
        <f t="shared" si="276"/>
        <v>0</v>
      </c>
      <c r="H990" s="16"/>
      <c r="I990" s="10">
        <f t="shared" si="278"/>
        <v>116.66666666666667</v>
      </c>
      <c r="J990" s="16"/>
      <c r="K990" s="15">
        <v>0</v>
      </c>
      <c r="L990" s="15"/>
      <c r="M990" s="16"/>
      <c r="N990" s="8"/>
      <c r="O990" s="18">
        <f t="shared" si="279"/>
        <v>3500</v>
      </c>
      <c r="P990" s="9"/>
      <c r="Q990" s="9"/>
      <c r="R990" s="85">
        <v>0</v>
      </c>
      <c r="S990" s="10">
        <f t="shared" si="277"/>
        <v>116.66666666666667</v>
      </c>
    </row>
    <row r="991" spans="2:19" outlineLevel="1">
      <c r="B991" s="13" t="s">
        <v>77</v>
      </c>
      <c r="C991" s="7" t="str">
        <f t="shared" si="275"/>
        <v>Estação Topográfica 01</v>
      </c>
      <c r="D991" s="8">
        <f>D923</f>
        <v>46106</v>
      </c>
      <c r="E991" s="15"/>
      <c r="F991" s="15"/>
      <c r="G991" s="15">
        <f t="shared" si="276"/>
        <v>0</v>
      </c>
      <c r="H991" s="16"/>
      <c r="I991" s="10">
        <f t="shared" si="278"/>
        <v>116.66666666666667</v>
      </c>
      <c r="J991" s="16"/>
      <c r="K991" s="15">
        <v>0</v>
      </c>
      <c r="L991" s="15"/>
      <c r="M991" s="16"/>
      <c r="N991" s="8"/>
      <c r="O991" s="18">
        <f t="shared" si="279"/>
        <v>3500</v>
      </c>
      <c r="P991" s="9"/>
      <c r="Q991" s="9"/>
      <c r="R991" s="85">
        <v>0</v>
      </c>
      <c r="S991" s="10">
        <f t="shared" si="277"/>
        <v>116.66666666666667</v>
      </c>
    </row>
    <row r="992" spans="2:19" outlineLevel="1">
      <c r="B992" s="13" t="s">
        <v>77</v>
      </c>
      <c r="C992" s="7" t="str">
        <f t="shared" si="275"/>
        <v>Estação Topográfica 01</v>
      </c>
      <c r="D992" s="8">
        <f>D924</f>
        <v>46107</v>
      </c>
      <c r="E992" s="15"/>
      <c r="F992" s="15"/>
      <c r="G992" s="15">
        <f t="shared" si="276"/>
        <v>0</v>
      </c>
      <c r="H992" s="16"/>
      <c r="I992" s="10">
        <f t="shared" si="278"/>
        <v>116.66666666666667</v>
      </c>
      <c r="J992" s="16"/>
      <c r="K992" s="15">
        <v>0</v>
      </c>
      <c r="L992" s="15"/>
      <c r="M992" s="16"/>
      <c r="N992" s="8"/>
      <c r="O992" s="18">
        <f t="shared" si="279"/>
        <v>3500</v>
      </c>
      <c r="P992" s="9"/>
      <c r="Q992" s="9"/>
      <c r="R992" s="85">
        <v>0</v>
      </c>
      <c r="S992" s="10">
        <f t="shared" si="277"/>
        <v>116.66666666666667</v>
      </c>
    </row>
    <row r="993" spans="2:19" outlineLevel="1">
      <c r="B993" s="13" t="s">
        <v>77</v>
      </c>
      <c r="C993" s="7" t="str">
        <f t="shared" si="275"/>
        <v>Estação Topográfica 01</v>
      </c>
      <c r="D993" s="8">
        <f>D925</f>
        <v>46108</v>
      </c>
      <c r="E993" s="15"/>
      <c r="F993" s="15"/>
      <c r="G993" s="15">
        <f t="shared" si="276"/>
        <v>0</v>
      </c>
      <c r="H993" s="16"/>
      <c r="I993" s="10">
        <f t="shared" si="278"/>
        <v>116.66666666666667</v>
      </c>
      <c r="J993" s="16"/>
      <c r="K993" s="15">
        <v>0</v>
      </c>
      <c r="L993" s="15"/>
      <c r="M993" s="16"/>
      <c r="N993" s="8"/>
      <c r="O993" s="18">
        <f t="shared" si="279"/>
        <v>3500</v>
      </c>
      <c r="P993" s="9"/>
      <c r="Q993" s="9"/>
      <c r="R993" s="85">
        <v>0</v>
      </c>
      <c r="S993" s="10">
        <f t="shared" si="277"/>
        <v>116.66666666666667</v>
      </c>
    </row>
    <row r="994" spans="2:19" outlineLevel="1">
      <c r="B994" s="13" t="s">
        <v>77</v>
      </c>
      <c r="C994" s="7" t="str">
        <f t="shared" si="275"/>
        <v>Estação Topográfica 01</v>
      </c>
      <c r="D994" s="8">
        <f t="shared" ref="D994" si="280">D926</f>
        <v>46109</v>
      </c>
      <c r="E994" s="15"/>
      <c r="F994" s="15"/>
      <c r="G994" s="15">
        <f t="shared" ref="G994:G996" si="281">F994-E994</f>
        <v>0</v>
      </c>
      <c r="H994" s="16"/>
      <c r="I994" s="10">
        <f>I990</f>
        <v>116.66666666666667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82">SUM(R994+Q994+I994)</f>
        <v>116.66666666666667</v>
      </c>
    </row>
    <row r="995" spans="2:19" outlineLevel="1">
      <c r="B995" s="13" t="s">
        <v>77</v>
      </c>
      <c r="C995" s="7" t="str">
        <f t="shared" si="275"/>
        <v>Estação Topográfica 01</v>
      </c>
      <c r="D995" s="8">
        <f t="shared" ref="D995:D997" si="283">D927</f>
        <v>46110</v>
      </c>
      <c r="E995" s="15"/>
      <c r="F995" s="15"/>
      <c r="G995" s="15">
        <f t="shared" si="281"/>
        <v>0</v>
      </c>
      <c r="H995" s="16"/>
      <c r="I995" s="10">
        <f>I991</f>
        <v>116.66666666666667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82"/>
        <v>116.66666666666667</v>
      </c>
    </row>
    <row r="996" spans="2:19" outlineLevel="1">
      <c r="B996" s="13" t="s">
        <v>77</v>
      </c>
      <c r="C996" s="7" t="str">
        <f t="shared" si="275"/>
        <v>Estação Topográfica 01</v>
      </c>
      <c r="D996" s="8">
        <f t="shared" si="283"/>
        <v>46111</v>
      </c>
      <c r="E996" s="15"/>
      <c r="F996" s="15"/>
      <c r="G996" s="15">
        <f t="shared" si="281"/>
        <v>0</v>
      </c>
      <c r="H996" s="16"/>
      <c r="I996" s="10">
        <f>I992</f>
        <v>116.66666666666667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82"/>
        <v>116.66666666666667</v>
      </c>
    </row>
    <row r="997" spans="2:19" outlineLevel="1">
      <c r="B997" s="13" t="s">
        <v>77</v>
      </c>
      <c r="C997" s="7" t="str">
        <f t="shared" si="275"/>
        <v>Estação Topográfica 01</v>
      </c>
      <c r="D997" s="8">
        <f t="shared" si="283"/>
        <v>46112</v>
      </c>
      <c r="E997" s="15"/>
      <c r="F997" s="15"/>
      <c r="G997" s="15">
        <f t="shared" si="276"/>
        <v>0</v>
      </c>
      <c r="H997" s="16"/>
      <c r="I997" s="10">
        <f>I993</f>
        <v>116.66666666666667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7"/>
        <v>116.66666666666667</v>
      </c>
    </row>
    <row r="998" spans="2:19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5" t="str">
        <f>M$1</f>
        <v>BM JANEIRO 2026</v>
      </c>
      <c r="N999" s="135"/>
      <c r="O999" s="135"/>
      <c r="P999" s="19" t="s">
        <v>10</v>
      </c>
      <c r="Q999" s="136"/>
      <c r="R999" s="136"/>
      <c r="S999" s="136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outlineLevel="1">
      <c r="B1001" s="68" t="s">
        <v>79</v>
      </c>
      <c r="C1001" s="7" t="str">
        <f>C$999</f>
        <v>Estação Topográfica Sandic</v>
      </c>
      <c r="D1001" s="8">
        <f>D933</f>
        <v>46082</v>
      </c>
      <c r="E1001" s="15"/>
      <c r="F1001" s="15"/>
      <c r="G1001" s="15">
        <f>F1001-E1001</f>
        <v>0</v>
      </c>
      <c r="H1001" s="16"/>
      <c r="I1001" s="10">
        <f>P1001</f>
        <v>116.66666666666667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O1001/30</f>
        <v>116.66666666666667</v>
      </c>
      <c r="Q1001" s="9"/>
      <c r="R1001" s="85">
        <v>0</v>
      </c>
      <c r="S1001" s="10">
        <f>SUM(R1001+Q1001+I1001)</f>
        <v>116.66666666666667</v>
      </c>
    </row>
    <row r="1002" spans="2:19" outlineLevel="1">
      <c r="B1002" s="12" t="s">
        <v>0</v>
      </c>
      <c r="C1002" s="7" t="str">
        <f t="shared" ref="C1002:C1031" si="284">C$999</f>
        <v>Estação Topográfica Sandic</v>
      </c>
      <c r="D1002" s="8">
        <f>D934</f>
        <v>46083</v>
      </c>
      <c r="E1002" s="15"/>
      <c r="F1002" s="15"/>
      <c r="G1002" s="15">
        <f t="shared" ref="G1002:G1031" si="285">F1002-E1002</f>
        <v>0</v>
      </c>
      <c r="H1002" s="16"/>
      <c r="I1002" s="10">
        <f>I1001</f>
        <v>116.66666666666667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6">SUM(R1002+Q1002+I1002)</f>
        <v>116.66666666666667</v>
      </c>
    </row>
    <row r="1003" spans="2:19" outlineLevel="1">
      <c r="B1003" s="13" t="s">
        <v>79</v>
      </c>
      <c r="C1003" s="7" t="str">
        <f t="shared" si="284"/>
        <v>Estação Topográfica Sandic</v>
      </c>
      <c r="D1003" s="8">
        <f>D935</f>
        <v>46084</v>
      </c>
      <c r="E1003" s="15"/>
      <c r="F1003" s="15"/>
      <c r="G1003" s="15">
        <f t="shared" si="285"/>
        <v>0</v>
      </c>
      <c r="H1003" s="16"/>
      <c r="I1003" s="10">
        <f t="shared" ref="I1003:I1027" si="287">I1002</f>
        <v>116.66666666666667</v>
      </c>
      <c r="J1003" s="16"/>
      <c r="K1003" s="15">
        <v>0</v>
      </c>
      <c r="L1003" s="15"/>
      <c r="M1003" s="16"/>
      <c r="N1003" s="8"/>
      <c r="O1003" s="18">
        <f t="shared" ref="O1003:O1027" si="288">O1002</f>
        <v>3500</v>
      </c>
      <c r="P1003" s="9"/>
      <c r="Q1003" s="9"/>
      <c r="R1003" s="85">
        <v>0</v>
      </c>
      <c r="S1003" s="10">
        <f t="shared" si="286"/>
        <v>116.66666666666667</v>
      </c>
    </row>
    <row r="1004" spans="2:19" outlineLevel="1">
      <c r="B1004" s="13" t="s">
        <v>79</v>
      </c>
      <c r="C1004" s="7" t="str">
        <f t="shared" si="284"/>
        <v>Estação Topográfica Sandic</v>
      </c>
      <c r="D1004" s="8">
        <f>D936</f>
        <v>46085</v>
      </c>
      <c r="E1004" s="15"/>
      <c r="F1004" s="15"/>
      <c r="G1004" s="15">
        <f t="shared" si="285"/>
        <v>0</v>
      </c>
      <c r="H1004" s="16"/>
      <c r="I1004" s="10">
        <f t="shared" si="287"/>
        <v>116.66666666666667</v>
      </c>
      <c r="J1004" s="16"/>
      <c r="K1004" s="15">
        <v>0</v>
      </c>
      <c r="L1004" s="15"/>
      <c r="M1004" s="16"/>
      <c r="N1004" s="8"/>
      <c r="O1004" s="18">
        <f t="shared" si="288"/>
        <v>3500</v>
      </c>
      <c r="P1004" s="9"/>
      <c r="Q1004" s="9"/>
      <c r="R1004" s="85">
        <v>0</v>
      </c>
      <c r="S1004" s="10">
        <f t="shared" si="286"/>
        <v>116.66666666666667</v>
      </c>
    </row>
    <row r="1005" spans="2:19" outlineLevel="1">
      <c r="B1005" s="13" t="s">
        <v>79</v>
      </c>
      <c r="C1005" s="7" t="str">
        <f t="shared" si="284"/>
        <v>Estação Topográfica Sandic</v>
      </c>
      <c r="D1005" s="8">
        <f>D937</f>
        <v>46086</v>
      </c>
      <c r="E1005" s="15"/>
      <c r="F1005" s="15"/>
      <c r="G1005" s="15">
        <f t="shared" si="285"/>
        <v>0</v>
      </c>
      <c r="H1005" s="16"/>
      <c r="I1005" s="10">
        <f t="shared" si="287"/>
        <v>116.66666666666667</v>
      </c>
      <c r="J1005" s="16"/>
      <c r="K1005" s="15">
        <v>0</v>
      </c>
      <c r="L1005" s="15"/>
      <c r="M1005" s="16"/>
      <c r="N1005" s="8"/>
      <c r="O1005" s="18">
        <f t="shared" si="288"/>
        <v>3500</v>
      </c>
      <c r="P1005" s="9"/>
      <c r="Q1005" s="9"/>
      <c r="R1005" s="85">
        <v>0</v>
      </c>
      <c r="S1005" s="10">
        <f t="shared" si="286"/>
        <v>116.66666666666667</v>
      </c>
    </row>
    <row r="1006" spans="2:19" outlineLevel="1">
      <c r="B1006" s="13" t="s">
        <v>79</v>
      </c>
      <c r="C1006" s="7" t="str">
        <f t="shared" si="284"/>
        <v>Estação Topográfica Sandic</v>
      </c>
      <c r="D1006" s="8">
        <f>D938</f>
        <v>46087</v>
      </c>
      <c r="E1006" s="15"/>
      <c r="F1006" s="15"/>
      <c r="G1006" s="15">
        <f t="shared" si="285"/>
        <v>0</v>
      </c>
      <c r="H1006" s="16"/>
      <c r="I1006" s="10">
        <f t="shared" si="287"/>
        <v>116.66666666666667</v>
      </c>
      <c r="J1006" s="16"/>
      <c r="K1006" s="15">
        <v>0</v>
      </c>
      <c r="L1006" s="15"/>
      <c r="M1006" s="16"/>
      <c r="N1006" s="8"/>
      <c r="O1006" s="18">
        <f t="shared" si="288"/>
        <v>3500</v>
      </c>
      <c r="P1006" s="9"/>
      <c r="Q1006" s="9"/>
      <c r="R1006" s="85">
        <v>0</v>
      </c>
      <c r="S1006" s="10">
        <f t="shared" si="286"/>
        <v>116.66666666666667</v>
      </c>
    </row>
    <row r="1007" spans="2:19" outlineLevel="1">
      <c r="B1007" s="13" t="s">
        <v>79</v>
      </c>
      <c r="C1007" s="7" t="str">
        <f t="shared" si="284"/>
        <v>Estação Topográfica Sandic</v>
      </c>
      <c r="D1007" s="8">
        <f>D939</f>
        <v>46088</v>
      </c>
      <c r="E1007" s="15"/>
      <c r="F1007" s="15"/>
      <c r="G1007" s="15">
        <f t="shared" si="285"/>
        <v>0</v>
      </c>
      <c r="H1007" s="16"/>
      <c r="I1007" s="10">
        <f t="shared" si="287"/>
        <v>116.66666666666667</v>
      </c>
      <c r="J1007" s="16"/>
      <c r="K1007" s="15">
        <v>0</v>
      </c>
      <c r="L1007" s="15"/>
      <c r="M1007" s="16"/>
      <c r="N1007" s="8"/>
      <c r="O1007" s="18">
        <f t="shared" si="288"/>
        <v>3500</v>
      </c>
      <c r="P1007" s="9"/>
      <c r="Q1007" s="9"/>
      <c r="R1007" s="85">
        <v>0</v>
      </c>
      <c r="S1007" s="10">
        <f t="shared" si="286"/>
        <v>116.66666666666667</v>
      </c>
    </row>
    <row r="1008" spans="2:19" outlineLevel="1">
      <c r="B1008" s="13" t="s">
        <v>79</v>
      </c>
      <c r="C1008" s="7" t="str">
        <f t="shared" si="284"/>
        <v>Estação Topográfica Sandic</v>
      </c>
      <c r="D1008" s="8">
        <f>D940</f>
        <v>46089</v>
      </c>
      <c r="E1008" s="15"/>
      <c r="F1008" s="15"/>
      <c r="G1008" s="15">
        <f t="shared" si="285"/>
        <v>0</v>
      </c>
      <c r="H1008" s="16"/>
      <c r="I1008" s="10">
        <f t="shared" si="287"/>
        <v>116.66666666666667</v>
      </c>
      <c r="J1008" s="16"/>
      <c r="K1008" s="15">
        <v>0</v>
      </c>
      <c r="L1008" s="15"/>
      <c r="M1008" s="16"/>
      <c r="N1008" s="8"/>
      <c r="O1008" s="18">
        <f t="shared" si="288"/>
        <v>3500</v>
      </c>
      <c r="P1008" s="9"/>
      <c r="Q1008" s="9"/>
      <c r="R1008" s="85">
        <v>0</v>
      </c>
      <c r="S1008" s="10">
        <f t="shared" si="286"/>
        <v>116.66666666666667</v>
      </c>
    </row>
    <row r="1009" spans="2:19" outlineLevel="1">
      <c r="B1009" s="13" t="s">
        <v>79</v>
      </c>
      <c r="C1009" s="7" t="str">
        <f t="shared" si="284"/>
        <v>Estação Topográfica Sandic</v>
      </c>
      <c r="D1009" s="8">
        <f>D941</f>
        <v>46090</v>
      </c>
      <c r="E1009" s="15"/>
      <c r="F1009" s="15"/>
      <c r="G1009" s="15">
        <f t="shared" si="285"/>
        <v>0</v>
      </c>
      <c r="H1009" s="16"/>
      <c r="I1009" s="10">
        <f t="shared" si="287"/>
        <v>116.66666666666667</v>
      </c>
      <c r="J1009" s="16"/>
      <c r="K1009" s="15">
        <v>0</v>
      </c>
      <c r="L1009" s="15"/>
      <c r="M1009" s="16"/>
      <c r="N1009" s="8"/>
      <c r="O1009" s="18">
        <f t="shared" si="288"/>
        <v>3500</v>
      </c>
      <c r="P1009" s="9"/>
      <c r="Q1009" s="9"/>
      <c r="R1009" s="85">
        <v>0</v>
      </c>
      <c r="S1009" s="10">
        <f t="shared" si="286"/>
        <v>116.66666666666667</v>
      </c>
    </row>
    <row r="1010" spans="2:19" outlineLevel="1">
      <c r="B1010" s="13" t="s">
        <v>79</v>
      </c>
      <c r="C1010" s="7" t="str">
        <f t="shared" si="284"/>
        <v>Estação Topográfica Sandic</v>
      </c>
      <c r="D1010" s="8">
        <f>D942</f>
        <v>46091</v>
      </c>
      <c r="E1010" s="15"/>
      <c r="F1010" s="15"/>
      <c r="G1010" s="15">
        <f t="shared" si="285"/>
        <v>0</v>
      </c>
      <c r="H1010" s="16"/>
      <c r="I1010" s="10">
        <f t="shared" si="287"/>
        <v>116.66666666666667</v>
      </c>
      <c r="J1010" s="16"/>
      <c r="K1010" s="15">
        <v>0</v>
      </c>
      <c r="L1010" s="15"/>
      <c r="M1010" s="16"/>
      <c r="N1010" s="8"/>
      <c r="O1010" s="18">
        <f t="shared" si="288"/>
        <v>3500</v>
      </c>
      <c r="P1010" s="9"/>
      <c r="Q1010" s="9"/>
      <c r="R1010" s="85">
        <v>0</v>
      </c>
      <c r="S1010" s="10">
        <f t="shared" si="286"/>
        <v>116.66666666666667</v>
      </c>
    </row>
    <row r="1011" spans="2:19" outlineLevel="1">
      <c r="B1011" s="13" t="s">
        <v>79</v>
      </c>
      <c r="C1011" s="7" t="str">
        <f t="shared" si="284"/>
        <v>Estação Topográfica Sandic</v>
      </c>
      <c r="D1011" s="8">
        <f>D943</f>
        <v>46092</v>
      </c>
      <c r="E1011" s="15"/>
      <c r="F1011" s="15"/>
      <c r="G1011" s="15">
        <f t="shared" si="285"/>
        <v>0</v>
      </c>
      <c r="H1011" s="16"/>
      <c r="I1011" s="10">
        <f t="shared" si="287"/>
        <v>116.66666666666667</v>
      </c>
      <c r="J1011" s="16"/>
      <c r="K1011" s="15">
        <v>0</v>
      </c>
      <c r="L1011" s="15"/>
      <c r="M1011" s="16"/>
      <c r="N1011" s="8"/>
      <c r="O1011" s="18">
        <f t="shared" si="288"/>
        <v>3500</v>
      </c>
      <c r="P1011" s="9"/>
      <c r="Q1011" s="9"/>
      <c r="R1011" s="85">
        <v>0</v>
      </c>
      <c r="S1011" s="10">
        <f t="shared" si="286"/>
        <v>116.66666666666667</v>
      </c>
    </row>
    <row r="1012" spans="2:19" outlineLevel="1">
      <c r="B1012" s="13" t="s">
        <v>79</v>
      </c>
      <c r="C1012" s="7" t="str">
        <f t="shared" si="284"/>
        <v>Estação Topográfica Sandic</v>
      </c>
      <c r="D1012" s="8">
        <f>D944</f>
        <v>46093</v>
      </c>
      <c r="E1012" s="15"/>
      <c r="F1012" s="15"/>
      <c r="G1012" s="15">
        <f t="shared" si="285"/>
        <v>0</v>
      </c>
      <c r="H1012" s="16"/>
      <c r="I1012" s="10">
        <f t="shared" si="287"/>
        <v>116.66666666666667</v>
      </c>
      <c r="J1012" s="16"/>
      <c r="K1012" s="15">
        <v>0</v>
      </c>
      <c r="L1012" s="15"/>
      <c r="M1012" s="16"/>
      <c r="N1012" s="8"/>
      <c r="O1012" s="18">
        <f t="shared" si="288"/>
        <v>3500</v>
      </c>
      <c r="P1012" s="9"/>
      <c r="Q1012" s="9"/>
      <c r="R1012" s="85">
        <v>0</v>
      </c>
      <c r="S1012" s="10">
        <f t="shared" si="286"/>
        <v>116.66666666666667</v>
      </c>
    </row>
    <row r="1013" spans="2:19" outlineLevel="1">
      <c r="B1013" s="13" t="s">
        <v>79</v>
      </c>
      <c r="C1013" s="7" t="str">
        <f t="shared" si="284"/>
        <v>Estação Topográfica Sandic</v>
      </c>
      <c r="D1013" s="8">
        <f>D945</f>
        <v>46094</v>
      </c>
      <c r="E1013" s="15"/>
      <c r="F1013" s="15"/>
      <c r="G1013" s="15">
        <f t="shared" si="285"/>
        <v>0</v>
      </c>
      <c r="H1013" s="16"/>
      <c r="I1013" s="10">
        <f t="shared" si="287"/>
        <v>116.66666666666667</v>
      </c>
      <c r="J1013" s="16"/>
      <c r="K1013" s="15">
        <v>0</v>
      </c>
      <c r="L1013" s="15"/>
      <c r="M1013" s="16"/>
      <c r="N1013" s="8"/>
      <c r="O1013" s="18">
        <f t="shared" si="288"/>
        <v>3500</v>
      </c>
      <c r="P1013" s="9"/>
      <c r="Q1013" s="9"/>
      <c r="R1013" s="85">
        <v>0</v>
      </c>
      <c r="S1013" s="10">
        <f t="shared" si="286"/>
        <v>116.66666666666667</v>
      </c>
    </row>
    <row r="1014" spans="2:19" outlineLevel="1">
      <c r="B1014" s="13" t="s">
        <v>79</v>
      </c>
      <c r="C1014" s="7" t="str">
        <f t="shared" si="284"/>
        <v>Estação Topográfica Sandic</v>
      </c>
      <c r="D1014" s="8">
        <f>D946</f>
        <v>46095</v>
      </c>
      <c r="E1014" s="15"/>
      <c r="F1014" s="15"/>
      <c r="G1014" s="15">
        <f t="shared" si="285"/>
        <v>0</v>
      </c>
      <c r="H1014" s="16"/>
      <c r="I1014" s="10">
        <f t="shared" si="287"/>
        <v>116.66666666666667</v>
      </c>
      <c r="J1014" s="16"/>
      <c r="K1014" s="15">
        <v>0</v>
      </c>
      <c r="L1014" s="15"/>
      <c r="M1014" s="16"/>
      <c r="N1014" s="8"/>
      <c r="O1014" s="18">
        <f t="shared" si="288"/>
        <v>3500</v>
      </c>
      <c r="P1014" s="9"/>
      <c r="Q1014" s="9"/>
      <c r="R1014" s="85">
        <v>0</v>
      </c>
      <c r="S1014" s="10">
        <f t="shared" si="286"/>
        <v>116.66666666666667</v>
      </c>
    </row>
    <row r="1015" spans="2:19" outlineLevel="1">
      <c r="B1015" s="13" t="s">
        <v>79</v>
      </c>
      <c r="C1015" s="7" t="str">
        <f t="shared" si="284"/>
        <v>Estação Topográfica Sandic</v>
      </c>
      <c r="D1015" s="8">
        <f>D947</f>
        <v>46096</v>
      </c>
      <c r="E1015" s="15"/>
      <c r="F1015" s="15"/>
      <c r="G1015" s="15">
        <f t="shared" si="285"/>
        <v>0</v>
      </c>
      <c r="H1015" s="16"/>
      <c r="I1015" s="10">
        <f t="shared" si="287"/>
        <v>116.66666666666667</v>
      </c>
      <c r="J1015" s="16"/>
      <c r="K1015" s="15">
        <v>0</v>
      </c>
      <c r="L1015" s="15"/>
      <c r="M1015" s="16"/>
      <c r="N1015" s="8"/>
      <c r="O1015" s="18">
        <f t="shared" si="288"/>
        <v>3500</v>
      </c>
      <c r="P1015" s="9"/>
      <c r="Q1015" s="9"/>
      <c r="R1015" s="85">
        <v>0</v>
      </c>
      <c r="S1015" s="10">
        <f t="shared" si="286"/>
        <v>116.66666666666667</v>
      </c>
    </row>
    <row r="1016" spans="2:19" outlineLevel="1">
      <c r="B1016" s="13" t="s">
        <v>79</v>
      </c>
      <c r="C1016" s="7" t="str">
        <f t="shared" si="284"/>
        <v>Estação Topográfica Sandic</v>
      </c>
      <c r="D1016" s="8">
        <f>D948</f>
        <v>46097</v>
      </c>
      <c r="E1016" s="15"/>
      <c r="F1016" s="15"/>
      <c r="G1016" s="15">
        <f t="shared" si="285"/>
        <v>0</v>
      </c>
      <c r="H1016" s="16"/>
      <c r="I1016" s="10">
        <f t="shared" si="287"/>
        <v>116.66666666666667</v>
      </c>
      <c r="J1016" s="16"/>
      <c r="K1016" s="15">
        <v>0</v>
      </c>
      <c r="L1016" s="15"/>
      <c r="M1016" s="16"/>
      <c r="N1016" s="8"/>
      <c r="O1016" s="18">
        <f t="shared" si="288"/>
        <v>3500</v>
      </c>
      <c r="P1016" s="9"/>
      <c r="Q1016" s="9"/>
      <c r="R1016" s="85">
        <v>0</v>
      </c>
      <c r="S1016" s="10">
        <f t="shared" si="286"/>
        <v>116.66666666666667</v>
      </c>
    </row>
    <row r="1017" spans="2:19" outlineLevel="1">
      <c r="B1017" s="13" t="s">
        <v>79</v>
      </c>
      <c r="C1017" s="7" t="str">
        <f t="shared" si="284"/>
        <v>Estação Topográfica Sandic</v>
      </c>
      <c r="D1017" s="8">
        <f>D949</f>
        <v>46098</v>
      </c>
      <c r="E1017" s="15"/>
      <c r="F1017" s="15"/>
      <c r="G1017" s="15">
        <f t="shared" si="285"/>
        <v>0</v>
      </c>
      <c r="H1017" s="16"/>
      <c r="I1017" s="10">
        <f t="shared" si="287"/>
        <v>116.66666666666667</v>
      </c>
      <c r="J1017" s="16"/>
      <c r="K1017" s="15">
        <v>0</v>
      </c>
      <c r="L1017" s="15"/>
      <c r="M1017" s="16"/>
      <c r="N1017" s="8"/>
      <c r="O1017" s="18">
        <f t="shared" si="288"/>
        <v>3500</v>
      </c>
      <c r="P1017" s="9"/>
      <c r="Q1017" s="9"/>
      <c r="R1017" s="85">
        <v>0</v>
      </c>
      <c r="S1017" s="10">
        <f t="shared" si="286"/>
        <v>116.66666666666667</v>
      </c>
    </row>
    <row r="1018" spans="2:19" outlineLevel="1">
      <c r="B1018" s="13" t="s">
        <v>79</v>
      </c>
      <c r="C1018" s="7" t="str">
        <f t="shared" si="284"/>
        <v>Estação Topográfica Sandic</v>
      </c>
      <c r="D1018" s="8">
        <f>D950</f>
        <v>46099</v>
      </c>
      <c r="E1018" s="15"/>
      <c r="F1018" s="15"/>
      <c r="G1018" s="15">
        <f t="shared" si="285"/>
        <v>0</v>
      </c>
      <c r="H1018" s="16"/>
      <c r="I1018" s="10">
        <f t="shared" si="287"/>
        <v>116.66666666666667</v>
      </c>
      <c r="J1018" s="16"/>
      <c r="K1018" s="15">
        <v>0</v>
      </c>
      <c r="L1018" s="15"/>
      <c r="M1018" s="16"/>
      <c r="N1018" s="8"/>
      <c r="O1018" s="18">
        <f t="shared" si="288"/>
        <v>3500</v>
      </c>
      <c r="P1018" s="9"/>
      <c r="Q1018" s="9"/>
      <c r="R1018" s="85">
        <v>0</v>
      </c>
      <c r="S1018" s="10">
        <f t="shared" si="286"/>
        <v>116.66666666666667</v>
      </c>
    </row>
    <row r="1019" spans="2:19" outlineLevel="1">
      <c r="B1019" s="13" t="s">
        <v>79</v>
      </c>
      <c r="C1019" s="7" t="str">
        <f t="shared" si="284"/>
        <v>Estação Topográfica Sandic</v>
      </c>
      <c r="D1019" s="8">
        <f>D951</f>
        <v>46100</v>
      </c>
      <c r="E1019" s="15"/>
      <c r="F1019" s="15"/>
      <c r="G1019" s="15">
        <f t="shared" si="285"/>
        <v>0</v>
      </c>
      <c r="H1019" s="16"/>
      <c r="I1019" s="10">
        <f t="shared" si="287"/>
        <v>116.66666666666667</v>
      </c>
      <c r="J1019" s="16"/>
      <c r="K1019" s="15">
        <v>0</v>
      </c>
      <c r="L1019" s="15"/>
      <c r="M1019" s="16"/>
      <c r="N1019" s="8"/>
      <c r="O1019" s="18">
        <f t="shared" si="288"/>
        <v>3500</v>
      </c>
      <c r="P1019" s="9"/>
      <c r="Q1019" s="9"/>
      <c r="R1019" s="85">
        <v>0</v>
      </c>
      <c r="S1019" s="10">
        <f t="shared" si="286"/>
        <v>116.66666666666667</v>
      </c>
    </row>
    <row r="1020" spans="2:19" outlineLevel="1">
      <c r="B1020" s="13" t="s">
        <v>79</v>
      </c>
      <c r="C1020" s="7" t="str">
        <f t="shared" si="284"/>
        <v>Estação Topográfica Sandic</v>
      </c>
      <c r="D1020" s="8">
        <f>D952</f>
        <v>46101</v>
      </c>
      <c r="E1020" s="15"/>
      <c r="F1020" s="15"/>
      <c r="G1020" s="15">
        <f t="shared" si="285"/>
        <v>0</v>
      </c>
      <c r="H1020" s="16"/>
      <c r="I1020" s="10">
        <f t="shared" si="287"/>
        <v>116.66666666666667</v>
      </c>
      <c r="J1020" s="16"/>
      <c r="K1020" s="15">
        <v>0</v>
      </c>
      <c r="L1020" s="15"/>
      <c r="M1020" s="16"/>
      <c r="N1020" s="8"/>
      <c r="O1020" s="18">
        <f t="shared" si="288"/>
        <v>3500</v>
      </c>
      <c r="P1020" s="9"/>
      <c r="Q1020" s="9"/>
      <c r="R1020" s="85">
        <v>0</v>
      </c>
      <c r="S1020" s="10">
        <f t="shared" si="286"/>
        <v>116.66666666666667</v>
      </c>
    </row>
    <row r="1021" spans="2:19" outlineLevel="1">
      <c r="B1021" s="13" t="s">
        <v>79</v>
      </c>
      <c r="C1021" s="7" t="str">
        <f t="shared" si="284"/>
        <v>Estação Topográfica Sandic</v>
      </c>
      <c r="D1021" s="8">
        <f>D953</f>
        <v>46102</v>
      </c>
      <c r="E1021" s="15"/>
      <c r="F1021" s="15"/>
      <c r="G1021" s="15">
        <f t="shared" si="285"/>
        <v>0</v>
      </c>
      <c r="H1021" s="16"/>
      <c r="I1021" s="10">
        <f t="shared" si="287"/>
        <v>116.66666666666667</v>
      </c>
      <c r="J1021" s="16"/>
      <c r="K1021" s="15">
        <v>0</v>
      </c>
      <c r="L1021" s="15"/>
      <c r="M1021" s="16"/>
      <c r="N1021" s="8"/>
      <c r="O1021" s="18">
        <f t="shared" si="288"/>
        <v>3500</v>
      </c>
      <c r="P1021" s="9"/>
      <c r="Q1021" s="9"/>
      <c r="R1021" s="85">
        <v>0</v>
      </c>
      <c r="S1021" s="10">
        <f t="shared" si="286"/>
        <v>116.66666666666667</v>
      </c>
    </row>
    <row r="1022" spans="2:19" outlineLevel="1">
      <c r="B1022" s="13" t="s">
        <v>79</v>
      </c>
      <c r="C1022" s="7" t="str">
        <f t="shared" si="284"/>
        <v>Estação Topográfica Sandic</v>
      </c>
      <c r="D1022" s="8">
        <f>D954</f>
        <v>46103</v>
      </c>
      <c r="E1022" s="15"/>
      <c r="F1022" s="15"/>
      <c r="G1022" s="15">
        <f t="shared" si="285"/>
        <v>0</v>
      </c>
      <c r="H1022" s="16"/>
      <c r="I1022" s="10">
        <f t="shared" si="287"/>
        <v>116.66666666666667</v>
      </c>
      <c r="J1022" s="16"/>
      <c r="K1022" s="15">
        <v>0</v>
      </c>
      <c r="L1022" s="15"/>
      <c r="M1022" s="16"/>
      <c r="N1022" s="8"/>
      <c r="O1022" s="18">
        <f t="shared" si="288"/>
        <v>3500</v>
      </c>
      <c r="P1022" s="9"/>
      <c r="Q1022" s="9"/>
      <c r="R1022" s="85">
        <v>0</v>
      </c>
      <c r="S1022" s="10">
        <f t="shared" si="286"/>
        <v>116.66666666666667</v>
      </c>
    </row>
    <row r="1023" spans="2:19" outlineLevel="1">
      <c r="B1023" s="13" t="s">
        <v>79</v>
      </c>
      <c r="C1023" s="7" t="str">
        <f t="shared" si="284"/>
        <v>Estação Topográfica Sandic</v>
      </c>
      <c r="D1023" s="8">
        <f>D955</f>
        <v>46104</v>
      </c>
      <c r="E1023" s="15"/>
      <c r="F1023" s="15"/>
      <c r="G1023" s="15">
        <f t="shared" si="285"/>
        <v>0</v>
      </c>
      <c r="H1023" s="16"/>
      <c r="I1023" s="10">
        <f t="shared" si="287"/>
        <v>116.66666666666667</v>
      </c>
      <c r="J1023" s="16"/>
      <c r="K1023" s="15">
        <v>0</v>
      </c>
      <c r="L1023" s="15"/>
      <c r="M1023" s="16"/>
      <c r="N1023" s="8"/>
      <c r="O1023" s="18">
        <f t="shared" si="288"/>
        <v>3500</v>
      </c>
      <c r="P1023" s="9"/>
      <c r="Q1023" s="9"/>
      <c r="R1023" s="85">
        <v>0</v>
      </c>
      <c r="S1023" s="10">
        <f t="shared" si="286"/>
        <v>116.66666666666667</v>
      </c>
    </row>
    <row r="1024" spans="2:19" outlineLevel="1">
      <c r="B1024" s="13" t="s">
        <v>79</v>
      </c>
      <c r="C1024" s="7" t="str">
        <f t="shared" si="284"/>
        <v>Estação Topográfica Sandic</v>
      </c>
      <c r="D1024" s="8">
        <f>D956</f>
        <v>46105</v>
      </c>
      <c r="E1024" s="15"/>
      <c r="F1024" s="15"/>
      <c r="G1024" s="15">
        <f t="shared" si="285"/>
        <v>0</v>
      </c>
      <c r="H1024" s="16"/>
      <c r="I1024" s="10">
        <f t="shared" si="287"/>
        <v>116.66666666666667</v>
      </c>
      <c r="J1024" s="16"/>
      <c r="K1024" s="15">
        <v>0</v>
      </c>
      <c r="L1024" s="15"/>
      <c r="M1024" s="16"/>
      <c r="N1024" s="8"/>
      <c r="O1024" s="18">
        <f t="shared" si="288"/>
        <v>3500</v>
      </c>
      <c r="P1024" s="9"/>
      <c r="Q1024" s="9"/>
      <c r="R1024" s="85">
        <v>0</v>
      </c>
      <c r="S1024" s="10">
        <f t="shared" si="286"/>
        <v>116.66666666666667</v>
      </c>
    </row>
    <row r="1025" spans="2:19" outlineLevel="1">
      <c r="B1025" s="13" t="s">
        <v>79</v>
      </c>
      <c r="C1025" s="7" t="str">
        <f t="shared" si="284"/>
        <v>Estação Topográfica Sandic</v>
      </c>
      <c r="D1025" s="8">
        <f>D957</f>
        <v>46106</v>
      </c>
      <c r="E1025" s="15"/>
      <c r="F1025" s="15"/>
      <c r="G1025" s="15">
        <f t="shared" si="285"/>
        <v>0</v>
      </c>
      <c r="H1025" s="16"/>
      <c r="I1025" s="10">
        <f t="shared" si="287"/>
        <v>116.66666666666667</v>
      </c>
      <c r="J1025" s="16"/>
      <c r="K1025" s="15">
        <v>0</v>
      </c>
      <c r="L1025" s="15"/>
      <c r="M1025" s="16"/>
      <c r="N1025" s="8"/>
      <c r="O1025" s="18">
        <f t="shared" si="288"/>
        <v>3500</v>
      </c>
      <c r="P1025" s="9"/>
      <c r="Q1025" s="9"/>
      <c r="R1025" s="85">
        <v>0</v>
      </c>
      <c r="S1025" s="10">
        <f t="shared" si="286"/>
        <v>116.66666666666667</v>
      </c>
    </row>
    <row r="1026" spans="2:19" outlineLevel="1">
      <c r="B1026" s="13" t="s">
        <v>79</v>
      </c>
      <c r="C1026" s="7" t="str">
        <f t="shared" si="284"/>
        <v>Estação Topográfica Sandic</v>
      </c>
      <c r="D1026" s="8">
        <f>D958</f>
        <v>46107</v>
      </c>
      <c r="E1026" s="15"/>
      <c r="F1026" s="15"/>
      <c r="G1026" s="15">
        <f t="shared" si="285"/>
        <v>0</v>
      </c>
      <c r="H1026" s="16"/>
      <c r="I1026" s="10">
        <f t="shared" si="287"/>
        <v>116.66666666666667</v>
      </c>
      <c r="J1026" s="16"/>
      <c r="K1026" s="15">
        <v>0</v>
      </c>
      <c r="L1026" s="15"/>
      <c r="M1026" s="16"/>
      <c r="N1026" s="8"/>
      <c r="O1026" s="18">
        <f t="shared" si="288"/>
        <v>3500</v>
      </c>
      <c r="P1026" s="9"/>
      <c r="Q1026" s="9"/>
      <c r="R1026" s="85">
        <v>0</v>
      </c>
      <c r="S1026" s="10">
        <f t="shared" si="286"/>
        <v>116.66666666666667</v>
      </c>
    </row>
    <row r="1027" spans="2:19" outlineLevel="1">
      <c r="B1027" s="13" t="s">
        <v>79</v>
      </c>
      <c r="C1027" s="7" t="str">
        <f t="shared" si="284"/>
        <v>Estação Topográfica Sandic</v>
      </c>
      <c r="D1027" s="8">
        <f>D959</f>
        <v>46108</v>
      </c>
      <c r="E1027" s="15"/>
      <c r="F1027" s="15"/>
      <c r="G1027" s="15">
        <f t="shared" si="285"/>
        <v>0</v>
      </c>
      <c r="H1027" s="16"/>
      <c r="I1027" s="10">
        <f t="shared" si="287"/>
        <v>116.66666666666667</v>
      </c>
      <c r="J1027" s="16"/>
      <c r="K1027" s="15">
        <v>0</v>
      </c>
      <c r="L1027" s="15"/>
      <c r="M1027" s="16"/>
      <c r="N1027" s="8"/>
      <c r="O1027" s="18">
        <f t="shared" si="288"/>
        <v>3500</v>
      </c>
      <c r="P1027" s="9"/>
      <c r="Q1027" s="9"/>
      <c r="R1027" s="85">
        <v>0</v>
      </c>
      <c r="S1027" s="10">
        <f t="shared" si="286"/>
        <v>116.66666666666667</v>
      </c>
    </row>
    <row r="1028" spans="2:19" outlineLevel="1">
      <c r="B1028" s="13" t="s">
        <v>79</v>
      </c>
      <c r="C1028" s="7" t="str">
        <f t="shared" si="284"/>
        <v>Estação Topográfica Sandic</v>
      </c>
      <c r="D1028" s="8">
        <f t="shared" ref="D1028" si="289">D960</f>
        <v>46109</v>
      </c>
      <c r="E1028" s="15"/>
      <c r="F1028" s="15"/>
      <c r="G1028" s="15">
        <f t="shared" ref="G1028:G1030" si="290">F1028-E1028</f>
        <v>0</v>
      </c>
      <c r="H1028" s="16"/>
      <c r="I1028" s="10">
        <f>I1024</f>
        <v>116.66666666666667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91">SUM(R1028+Q1028+I1028)</f>
        <v>116.66666666666667</v>
      </c>
    </row>
    <row r="1029" spans="2:19" outlineLevel="1">
      <c r="B1029" s="13" t="s">
        <v>79</v>
      </c>
      <c r="C1029" s="7" t="str">
        <f t="shared" si="284"/>
        <v>Estação Topográfica Sandic</v>
      </c>
      <c r="D1029" s="8">
        <f t="shared" ref="D1029:D1031" si="292">D961</f>
        <v>46110</v>
      </c>
      <c r="E1029" s="15"/>
      <c r="F1029" s="15"/>
      <c r="G1029" s="15">
        <f t="shared" si="290"/>
        <v>0</v>
      </c>
      <c r="H1029" s="16"/>
      <c r="I1029" s="10">
        <f>I1025</f>
        <v>116.66666666666667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91"/>
        <v>116.66666666666667</v>
      </c>
    </row>
    <row r="1030" spans="2:19" outlineLevel="1">
      <c r="B1030" s="13" t="s">
        <v>79</v>
      </c>
      <c r="C1030" s="7" t="str">
        <f t="shared" si="284"/>
        <v>Estação Topográfica Sandic</v>
      </c>
      <c r="D1030" s="8">
        <f t="shared" si="292"/>
        <v>46111</v>
      </c>
      <c r="E1030" s="15"/>
      <c r="F1030" s="15"/>
      <c r="G1030" s="15">
        <f t="shared" si="290"/>
        <v>0</v>
      </c>
      <c r="H1030" s="16"/>
      <c r="I1030" s="10">
        <f>I1026</f>
        <v>116.66666666666667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91"/>
        <v>116.66666666666667</v>
      </c>
    </row>
    <row r="1031" spans="2:19" outlineLevel="1">
      <c r="B1031" s="13" t="s">
        <v>79</v>
      </c>
      <c r="C1031" s="7" t="str">
        <f t="shared" si="284"/>
        <v>Estação Topográfica Sandic</v>
      </c>
      <c r="D1031" s="8">
        <f t="shared" si="292"/>
        <v>46112</v>
      </c>
      <c r="E1031" s="15"/>
      <c r="F1031" s="15"/>
      <c r="G1031" s="15">
        <f t="shared" si="285"/>
        <v>0</v>
      </c>
      <c r="H1031" s="16"/>
      <c r="I1031" s="10">
        <f>I1027</f>
        <v>116.66666666666667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6"/>
        <v>116.66666666666667</v>
      </c>
    </row>
    <row r="1032" spans="2:19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5" t="str">
        <f>M$1</f>
        <v>BM JANEIRO 2026</v>
      </c>
      <c r="N1033" s="135"/>
      <c r="O1033" s="135"/>
      <c r="P1033" s="19" t="s">
        <v>10</v>
      </c>
      <c r="Q1033" s="136"/>
      <c r="R1033" s="136"/>
      <c r="S1033" s="136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outlineLevel="1">
      <c r="B1035" s="70" t="s">
        <v>81</v>
      </c>
      <c r="C1035" s="7" t="str">
        <f>C$1033</f>
        <v>SPREDY EMMAQ</v>
      </c>
      <c r="D1035" s="8">
        <f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178.57142857142858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O1035/28</f>
        <v>178.57142857142858</v>
      </c>
      <c r="Q1035" s="9"/>
      <c r="R1035" s="9"/>
      <c r="S1035" s="10">
        <f>SUM(R1035+Q1035+I1035)</f>
        <v>178.57142857142858</v>
      </c>
    </row>
    <row r="1036" spans="2:19" outlineLevel="1">
      <c r="B1036" s="12" t="s">
        <v>0</v>
      </c>
      <c r="C1036" s="7" t="str">
        <f t="shared" ref="C1036:C1065" si="293">C$1033</f>
        <v>SPREDY EMMAQ</v>
      </c>
      <c r="D1036" s="8">
        <f>D968</f>
        <v>46083</v>
      </c>
      <c r="E1036" s="15"/>
      <c r="F1036" s="15"/>
      <c r="G1036" s="15">
        <f t="shared" ref="G1036:G1065" si="294">F1036-E1036</f>
        <v>0</v>
      </c>
      <c r="H1036" s="16" t="s">
        <v>6</v>
      </c>
      <c r="I1036" s="10">
        <f>I1035</f>
        <v>178.57142857142858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5">SUM(R1036+Q1036+I1036)</f>
        <v>178.57142857142858</v>
      </c>
    </row>
    <row r="1037" spans="2:19" outlineLevel="1">
      <c r="B1037" s="13" t="s">
        <v>81</v>
      </c>
      <c r="C1037" s="7" t="str">
        <f t="shared" si="293"/>
        <v>SPREDY EMMAQ</v>
      </c>
      <c r="D1037" s="8">
        <f>D969</f>
        <v>46084</v>
      </c>
      <c r="E1037" s="15"/>
      <c r="F1037" s="15"/>
      <c r="G1037" s="15">
        <f t="shared" si="294"/>
        <v>0</v>
      </c>
      <c r="H1037" s="16" t="s">
        <v>6</v>
      </c>
      <c r="I1037" s="10">
        <f t="shared" ref="I1037:I1061" si="296">I1036</f>
        <v>178.57142857142858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5"/>
        <v>178.57142857142858</v>
      </c>
    </row>
    <row r="1038" spans="2:19" outlineLevel="1">
      <c r="B1038" s="13" t="s">
        <v>81</v>
      </c>
      <c r="C1038" s="7" t="str">
        <f t="shared" si="293"/>
        <v>SPREDY EMMAQ</v>
      </c>
      <c r="D1038" s="8">
        <f>D970</f>
        <v>46085</v>
      </c>
      <c r="E1038" s="15"/>
      <c r="F1038" s="15"/>
      <c r="G1038" s="15">
        <f t="shared" si="294"/>
        <v>0</v>
      </c>
      <c r="H1038" s="16" t="s">
        <v>6</v>
      </c>
      <c r="I1038" s="10">
        <f t="shared" si="296"/>
        <v>178.57142857142858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5"/>
        <v>178.57142857142858</v>
      </c>
    </row>
    <row r="1039" spans="2:19" outlineLevel="1">
      <c r="B1039" s="13" t="s">
        <v>81</v>
      </c>
      <c r="C1039" s="7" t="str">
        <f t="shared" si="293"/>
        <v>SPREDY EMMAQ</v>
      </c>
      <c r="D1039" s="8">
        <f>D971</f>
        <v>46086</v>
      </c>
      <c r="E1039" s="15"/>
      <c r="F1039" s="15"/>
      <c r="G1039" s="15">
        <f t="shared" si="294"/>
        <v>0</v>
      </c>
      <c r="H1039" s="16" t="s">
        <v>6</v>
      </c>
      <c r="I1039" s="10">
        <f t="shared" si="296"/>
        <v>178.57142857142858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5"/>
        <v>178.57142857142858</v>
      </c>
    </row>
    <row r="1040" spans="2:19" outlineLevel="1">
      <c r="B1040" s="13" t="s">
        <v>81</v>
      </c>
      <c r="C1040" s="7" t="str">
        <f t="shared" si="293"/>
        <v>SPREDY EMMAQ</v>
      </c>
      <c r="D1040" s="8">
        <f>D972</f>
        <v>46087</v>
      </c>
      <c r="E1040" s="15"/>
      <c r="F1040" s="15"/>
      <c r="G1040" s="15">
        <f t="shared" si="294"/>
        <v>0</v>
      </c>
      <c r="H1040" s="16" t="s">
        <v>6</v>
      </c>
      <c r="I1040" s="10">
        <f t="shared" si="296"/>
        <v>178.57142857142858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5"/>
        <v>178.57142857142858</v>
      </c>
    </row>
    <row r="1041" spans="2:19" outlineLevel="1">
      <c r="B1041" s="13" t="s">
        <v>81</v>
      </c>
      <c r="C1041" s="7" t="str">
        <f t="shared" si="293"/>
        <v>SPREDY EMMAQ</v>
      </c>
      <c r="D1041" s="8">
        <f>D973</f>
        <v>46088</v>
      </c>
      <c r="E1041" s="15"/>
      <c r="F1041" s="15"/>
      <c r="G1041" s="15">
        <f t="shared" si="294"/>
        <v>0</v>
      </c>
      <c r="H1041" s="16" t="s">
        <v>6</v>
      </c>
      <c r="I1041" s="10">
        <f t="shared" si="296"/>
        <v>178.57142857142858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5"/>
        <v>178.57142857142858</v>
      </c>
    </row>
    <row r="1042" spans="2:19" outlineLevel="1">
      <c r="B1042" s="13" t="s">
        <v>81</v>
      </c>
      <c r="C1042" s="7" t="str">
        <f t="shared" si="293"/>
        <v>SPREDY EMMAQ</v>
      </c>
      <c r="D1042" s="8">
        <f>D974</f>
        <v>46089</v>
      </c>
      <c r="E1042" s="15"/>
      <c r="F1042" s="15"/>
      <c r="G1042" s="15">
        <f t="shared" si="294"/>
        <v>0</v>
      </c>
      <c r="H1042" s="16" t="s">
        <v>6</v>
      </c>
      <c r="I1042" s="10">
        <f t="shared" si="296"/>
        <v>178.57142857142858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5"/>
        <v>178.57142857142858</v>
      </c>
    </row>
    <row r="1043" spans="2:19" outlineLevel="1">
      <c r="B1043" s="13" t="s">
        <v>81</v>
      </c>
      <c r="C1043" s="7" t="str">
        <f t="shared" si="293"/>
        <v>SPREDY EMMAQ</v>
      </c>
      <c r="D1043" s="8">
        <f>D975</f>
        <v>46090</v>
      </c>
      <c r="E1043" s="15"/>
      <c r="F1043" s="15"/>
      <c r="G1043" s="15">
        <f t="shared" si="294"/>
        <v>0</v>
      </c>
      <c r="H1043" s="16" t="s">
        <v>6</v>
      </c>
      <c r="I1043" s="10">
        <f t="shared" si="296"/>
        <v>178.57142857142858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7">O1042</f>
        <v>0</v>
      </c>
      <c r="P1043" s="9"/>
      <c r="Q1043" s="9"/>
      <c r="R1043" s="9"/>
      <c r="S1043" s="10">
        <f t="shared" si="295"/>
        <v>178.57142857142858</v>
      </c>
    </row>
    <row r="1044" spans="2:19" outlineLevel="1">
      <c r="B1044" s="13" t="s">
        <v>81</v>
      </c>
      <c r="C1044" s="7" t="str">
        <f t="shared" si="293"/>
        <v>SPREDY EMMAQ</v>
      </c>
      <c r="D1044" s="8">
        <f>D976</f>
        <v>46091</v>
      </c>
      <c r="E1044" s="15"/>
      <c r="F1044" s="15"/>
      <c r="G1044" s="15">
        <f t="shared" si="294"/>
        <v>0</v>
      </c>
      <c r="H1044" s="16" t="s">
        <v>6</v>
      </c>
      <c r="I1044" s="10">
        <f t="shared" si="296"/>
        <v>178.57142857142858</v>
      </c>
      <c r="J1044" s="16" t="s">
        <v>201</v>
      </c>
      <c r="K1044" s="15">
        <v>0</v>
      </c>
      <c r="L1044" s="15"/>
      <c r="M1044" s="16"/>
      <c r="N1044" s="8"/>
      <c r="O1044" s="18">
        <f t="shared" si="297"/>
        <v>0</v>
      </c>
      <c r="P1044" s="9"/>
      <c r="Q1044" s="9"/>
      <c r="R1044" s="9"/>
      <c r="S1044" s="10">
        <f t="shared" si="295"/>
        <v>178.57142857142858</v>
      </c>
    </row>
    <row r="1045" spans="2:19" outlineLevel="1">
      <c r="B1045" s="13" t="s">
        <v>81</v>
      </c>
      <c r="C1045" s="7" t="str">
        <f t="shared" si="293"/>
        <v>SPREDY EMMAQ</v>
      </c>
      <c r="D1045" s="8">
        <f>D977</f>
        <v>46092</v>
      </c>
      <c r="E1045" s="15"/>
      <c r="F1045" s="15"/>
      <c r="G1045" s="15">
        <f t="shared" si="294"/>
        <v>0</v>
      </c>
      <c r="H1045" s="16" t="s">
        <v>6</v>
      </c>
      <c r="I1045" s="10">
        <f t="shared" si="296"/>
        <v>178.57142857142858</v>
      </c>
      <c r="J1045" s="16" t="s">
        <v>201</v>
      </c>
      <c r="K1045" s="15">
        <v>0</v>
      </c>
      <c r="L1045" s="15"/>
      <c r="M1045" s="16"/>
      <c r="N1045" s="8"/>
      <c r="O1045" s="18">
        <f t="shared" si="297"/>
        <v>0</v>
      </c>
      <c r="P1045" s="9"/>
      <c r="Q1045" s="9"/>
      <c r="R1045" s="9"/>
      <c r="S1045" s="10">
        <f t="shared" si="295"/>
        <v>178.57142857142858</v>
      </c>
    </row>
    <row r="1046" spans="2:19" outlineLevel="1">
      <c r="B1046" s="13" t="s">
        <v>81</v>
      </c>
      <c r="C1046" s="7" t="str">
        <f t="shared" si="293"/>
        <v>SPREDY EMMAQ</v>
      </c>
      <c r="D1046" s="8">
        <f>D978</f>
        <v>46093</v>
      </c>
      <c r="E1046" s="15"/>
      <c r="F1046" s="15"/>
      <c r="G1046" s="15">
        <f t="shared" si="294"/>
        <v>0</v>
      </c>
      <c r="H1046" s="16" t="s">
        <v>6</v>
      </c>
      <c r="I1046" s="10">
        <f t="shared" si="296"/>
        <v>178.57142857142858</v>
      </c>
      <c r="J1046" s="16" t="s">
        <v>201</v>
      </c>
      <c r="K1046" s="15">
        <v>0</v>
      </c>
      <c r="L1046" s="15"/>
      <c r="M1046" s="16"/>
      <c r="N1046" s="8"/>
      <c r="O1046" s="18">
        <f t="shared" si="297"/>
        <v>0</v>
      </c>
      <c r="P1046" s="9"/>
      <c r="Q1046" s="9"/>
      <c r="R1046" s="9"/>
      <c r="S1046" s="10">
        <f t="shared" si="295"/>
        <v>178.57142857142858</v>
      </c>
    </row>
    <row r="1047" spans="2:19" outlineLevel="1">
      <c r="B1047" s="13" t="s">
        <v>81</v>
      </c>
      <c r="C1047" s="7" t="str">
        <f t="shared" si="293"/>
        <v>SPREDY EMMAQ</v>
      </c>
      <c r="D1047" s="8">
        <f>D979</f>
        <v>46094</v>
      </c>
      <c r="E1047" s="15"/>
      <c r="F1047" s="15"/>
      <c r="G1047" s="15">
        <f t="shared" si="294"/>
        <v>0</v>
      </c>
      <c r="H1047" s="16" t="s">
        <v>6</v>
      </c>
      <c r="I1047" s="10">
        <f t="shared" si="296"/>
        <v>178.57142857142858</v>
      </c>
      <c r="J1047" s="16" t="s">
        <v>201</v>
      </c>
      <c r="K1047" s="15">
        <v>0</v>
      </c>
      <c r="L1047" s="15"/>
      <c r="M1047" s="16"/>
      <c r="N1047" s="8"/>
      <c r="O1047" s="18">
        <f t="shared" si="297"/>
        <v>0</v>
      </c>
      <c r="P1047" s="9"/>
      <c r="Q1047" s="9"/>
      <c r="R1047" s="9"/>
      <c r="S1047" s="10">
        <f t="shared" si="295"/>
        <v>178.57142857142858</v>
      </c>
    </row>
    <row r="1048" spans="2:19" outlineLevel="1">
      <c r="B1048" s="13" t="s">
        <v>81</v>
      </c>
      <c r="C1048" s="7" t="str">
        <f t="shared" si="293"/>
        <v>SPREDY EMMAQ</v>
      </c>
      <c r="D1048" s="8">
        <f>D980</f>
        <v>46095</v>
      </c>
      <c r="E1048" s="15"/>
      <c r="F1048" s="15"/>
      <c r="G1048" s="15">
        <f t="shared" si="294"/>
        <v>0</v>
      </c>
      <c r="H1048" s="16" t="s">
        <v>6</v>
      </c>
      <c r="I1048" s="10">
        <f t="shared" si="296"/>
        <v>178.57142857142858</v>
      </c>
      <c r="J1048" s="16" t="s">
        <v>201</v>
      </c>
      <c r="K1048" s="15">
        <v>0</v>
      </c>
      <c r="L1048" s="15"/>
      <c r="M1048" s="16"/>
      <c r="N1048" s="8"/>
      <c r="O1048" s="18">
        <f t="shared" si="297"/>
        <v>0</v>
      </c>
      <c r="P1048" s="9"/>
      <c r="Q1048" s="9"/>
      <c r="R1048" s="9"/>
      <c r="S1048" s="10">
        <f t="shared" si="295"/>
        <v>178.57142857142858</v>
      </c>
    </row>
    <row r="1049" spans="2:19" outlineLevel="1">
      <c r="B1049" s="13" t="s">
        <v>81</v>
      </c>
      <c r="C1049" s="7" t="str">
        <f t="shared" si="293"/>
        <v>SPREDY EMMAQ</v>
      </c>
      <c r="D1049" s="8">
        <f>D981</f>
        <v>46096</v>
      </c>
      <c r="E1049" s="15"/>
      <c r="F1049" s="15"/>
      <c r="G1049" s="15">
        <f t="shared" si="294"/>
        <v>0</v>
      </c>
      <c r="H1049" s="16" t="s">
        <v>6</v>
      </c>
      <c r="I1049" s="10">
        <f t="shared" si="296"/>
        <v>178.57142857142858</v>
      </c>
      <c r="J1049" s="16" t="s">
        <v>201</v>
      </c>
      <c r="K1049" s="15">
        <v>0</v>
      </c>
      <c r="L1049" s="15"/>
      <c r="M1049" s="16"/>
      <c r="N1049" s="8"/>
      <c r="O1049" s="18">
        <f t="shared" si="297"/>
        <v>0</v>
      </c>
      <c r="P1049" s="9"/>
      <c r="Q1049" s="9"/>
      <c r="R1049" s="9"/>
      <c r="S1049" s="10">
        <f t="shared" si="295"/>
        <v>178.57142857142858</v>
      </c>
    </row>
    <row r="1050" spans="2:19" outlineLevel="1">
      <c r="B1050" s="13" t="s">
        <v>81</v>
      </c>
      <c r="C1050" s="7" t="str">
        <f t="shared" si="293"/>
        <v>SPREDY EMMAQ</v>
      </c>
      <c r="D1050" s="8">
        <f>D982</f>
        <v>46097</v>
      </c>
      <c r="E1050" s="15"/>
      <c r="F1050" s="15"/>
      <c r="G1050" s="15">
        <f t="shared" si="294"/>
        <v>0</v>
      </c>
      <c r="H1050" s="16" t="s">
        <v>6</v>
      </c>
      <c r="I1050" s="10">
        <f t="shared" si="296"/>
        <v>178.57142857142858</v>
      </c>
      <c r="J1050" s="16" t="s">
        <v>201</v>
      </c>
      <c r="K1050" s="15">
        <v>0</v>
      </c>
      <c r="L1050" s="15"/>
      <c r="M1050" s="16"/>
      <c r="N1050" s="8"/>
      <c r="O1050" s="18">
        <f t="shared" si="297"/>
        <v>0</v>
      </c>
      <c r="P1050" s="9"/>
      <c r="Q1050" s="9"/>
      <c r="R1050" s="9"/>
      <c r="S1050" s="10">
        <f t="shared" si="295"/>
        <v>178.57142857142858</v>
      </c>
    </row>
    <row r="1051" spans="2:19" outlineLevel="1">
      <c r="B1051" s="13" t="s">
        <v>81</v>
      </c>
      <c r="C1051" s="7" t="str">
        <f t="shared" si="293"/>
        <v>SPREDY EMMAQ</v>
      </c>
      <c r="D1051" s="8">
        <f>D983</f>
        <v>46098</v>
      </c>
      <c r="E1051" s="15"/>
      <c r="F1051" s="15"/>
      <c r="G1051" s="15">
        <f t="shared" si="294"/>
        <v>0</v>
      </c>
      <c r="H1051" s="16" t="s">
        <v>6</v>
      </c>
      <c r="I1051" s="10">
        <f t="shared" si="296"/>
        <v>178.57142857142858</v>
      </c>
      <c r="J1051" s="16" t="s">
        <v>201</v>
      </c>
      <c r="K1051" s="15">
        <v>0</v>
      </c>
      <c r="L1051" s="15"/>
      <c r="M1051" s="16"/>
      <c r="N1051" s="8"/>
      <c r="O1051" s="18">
        <f t="shared" si="297"/>
        <v>0</v>
      </c>
      <c r="P1051" s="9"/>
      <c r="Q1051" s="9"/>
      <c r="R1051" s="9"/>
      <c r="S1051" s="10">
        <f t="shared" si="295"/>
        <v>178.57142857142858</v>
      </c>
    </row>
    <row r="1052" spans="2:19" outlineLevel="1">
      <c r="B1052" s="13" t="s">
        <v>81</v>
      </c>
      <c r="C1052" s="7" t="str">
        <f t="shared" si="293"/>
        <v>SPREDY EMMAQ</v>
      </c>
      <c r="D1052" s="8">
        <f>D984</f>
        <v>46099</v>
      </c>
      <c r="E1052" s="15"/>
      <c r="F1052" s="15"/>
      <c r="G1052" s="15">
        <f t="shared" si="294"/>
        <v>0</v>
      </c>
      <c r="H1052" s="16" t="s">
        <v>6</v>
      </c>
      <c r="I1052" s="10">
        <f t="shared" si="296"/>
        <v>178.57142857142858</v>
      </c>
      <c r="J1052" s="16" t="s">
        <v>201</v>
      </c>
      <c r="K1052" s="15">
        <v>0</v>
      </c>
      <c r="L1052" s="15"/>
      <c r="M1052" s="16"/>
      <c r="N1052" s="8"/>
      <c r="O1052" s="18">
        <f t="shared" si="297"/>
        <v>0</v>
      </c>
      <c r="P1052" s="9"/>
      <c r="Q1052" s="9"/>
      <c r="R1052" s="9"/>
      <c r="S1052" s="10">
        <f t="shared" si="295"/>
        <v>178.57142857142858</v>
      </c>
    </row>
    <row r="1053" spans="2:19" outlineLevel="1">
      <c r="B1053" s="13" t="s">
        <v>81</v>
      </c>
      <c r="C1053" s="7" t="str">
        <f t="shared" si="293"/>
        <v>SPREDY EMMAQ</v>
      </c>
      <c r="D1053" s="8">
        <f>D985</f>
        <v>46100</v>
      </c>
      <c r="E1053" s="15"/>
      <c r="F1053" s="15"/>
      <c r="G1053" s="15">
        <f t="shared" si="294"/>
        <v>0</v>
      </c>
      <c r="H1053" s="16" t="s">
        <v>6</v>
      </c>
      <c r="I1053" s="10">
        <f t="shared" si="296"/>
        <v>178.57142857142858</v>
      </c>
      <c r="J1053" s="16" t="s">
        <v>201</v>
      </c>
      <c r="K1053" s="15">
        <v>0</v>
      </c>
      <c r="L1053" s="15"/>
      <c r="M1053" s="16"/>
      <c r="N1053" s="8"/>
      <c r="O1053" s="18">
        <f t="shared" si="297"/>
        <v>0</v>
      </c>
      <c r="P1053" s="9"/>
      <c r="Q1053" s="9"/>
      <c r="R1053" s="9"/>
      <c r="S1053" s="10">
        <f t="shared" si="295"/>
        <v>178.57142857142858</v>
      </c>
    </row>
    <row r="1054" spans="2:19" outlineLevel="1">
      <c r="B1054" s="13" t="s">
        <v>81</v>
      </c>
      <c r="C1054" s="7" t="str">
        <f t="shared" si="293"/>
        <v>SPREDY EMMAQ</v>
      </c>
      <c r="D1054" s="8">
        <f>D986</f>
        <v>46101</v>
      </c>
      <c r="E1054" s="15"/>
      <c r="F1054" s="15"/>
      <c r="G1054" s="15">
        <f t="shared" si="294"/>
        <v>0</v>
      </c>
      <c r="H1054" s="16" t="s">
        <v>6</v>
      </c>
      <c r="I1054" s="10">
        <f t="shared" si="296"/>
        <v>178.57142857142858</v>
      </c>
      <c r="J1054" s="16" t="s">
        <v>201</v>
      </c>
      <c r="K1054" s="15">
        <v>0</v>
      </c>
      <c r="L1054" s="15"/>
      <c r="M1054" s="16"/>
      <c r="N1054" s="8"/>
      <c r="O1054" s="18">
        <f t="shared" si="297"/>
        <v>0</v>
      </c>
      <c r="P1054" s="9"/>
      <c r="Q1054" s="9"/>
      <c r="R1054" s="9"/>
      <c r="S1054" s="10">
        <f t="shared" si="295"/>
        <v>178.57142857142858</v>
      </c>
    </row>
    <row r="1055" spans="2:19" outlineLevel="1">
      <c r="B1055" s="13" t="s">
        <v>81</v>
      </c>
      <c r="C1055" s="7" t="str">
        <f t="shared" si="293"/>
        <v>SPREDY EMMAQ</v>
      </c>
      <c r="D1055" s="8">
        <f>D987</f>
        <v>46102</v>
      </c>
      <c r="E1055" s="15"/>
      <c r="F1055" s="15"/>
      <c r="G1055" s="15">
        <f t="shared" si="294"/>
        <v>0</v>
      </c>
      <c r="H1055" s="16" t="s">
        <v>6</v>
      </c>
      <c r="I1055" s="10">
        <f t="shared" si="296"/>
        <v>178.57142857142858</v>
      </c>
      <c r="J1055" s="16" t="s">
        <v>201</v>
      </c>
      <c r="K1055" s="15">
        <v>0</v>
      </c>
      <c r="L1055" s="15"/>
      <c r="M1055" s="16"/>
      <c r="N1055" s="8"/>
      <c r="O1055" s="18">
        <f t="shared" si="297"/>
        <v>0</v>
      </c>
      <c r="P1055" s="9"/>
      <c r="Q1055" s="9"/>
      <c r="R1055" s="9"/>
      <c r="S1055" s="10">
        <f t="shared" si="295"/>
        <v>178.57142857142858</v>
      </c>
    </row>
    <row r="1056" spans="2:19" outlineLevel="1">
      <c r="B1056" s="13" t="s">
        <v>81</v>
      </c>
      <c r="C1056" s="7" t="str">
        <f t="shared" si="293"/>
        <v>SPREDY EMMAQ</v>
      </c>
      <c r="D1056" s="8">
        <f>D988</f>
        <v>46103</v>
      </c>
      <c r="E1056" s="15"/>
      <c r="F1056" s="15"/>
      <c r="G1056" s="15">
        <f t="shared" si="294"/>
        <v>0</v>
      </c>
      <c r="H1056" s="16" t="s">
        <v>6</v>
      </c>
      <c r="I1056" s="10">
        <f t="shared" si="296"/>
        <v>178.57142857142858</v>
      </c>
      <c r="J1056" s="16" t="s">
        <v>201</v>
      </c>
      <c r="K1056" s="15">
        <v>0</v>
      </c>
      <c r="L1056" s="15"/>
      <c r="M1056" s="16"/>
      <c r="N1056" s="8"/>
      <c r="O1056" s="18">
        <f t="shared" si="297"/>
        <v>0</v>
      </c>
      <c r="P1056" s="9"/>
      <c r="Q1056" s="9"/>
      <c r="R1056" s="9"/>
      <c r="S1056" s="10">
        <f t="shared" si="295"/>
        <v>178.57142857142858</v>
      </c>
    </row>
    <row r="1057" spans="2:19" outlineLevel="1">
      <c r="B1057" s="13" t="s">
        <v>81</v>
      </c>
      <c r="C1057" s="7" t="str">
        <f t="shared" si="293"/>
        <v>SPREDY EMMAQ</v>
      </c>
      <c r="D1057" s="8">
        <f>D989</f>
        <v>46104</v>
      </c>
      <c r="E1057" s="15"/>
      <c r="F1057" s="15"/>
      <c r="G1057" s="15">
        <f t="shared" si="294"/>
        <v>0</v>
      </c>
      <c r="H1057" s="16" t="s">
        <v>6</v>
      </c>
      <c r="I1057" s="10">
        <f t="shared" si="296"/>
        <v>178.57142857142858</v>
      </c>
      <c r="J1057" s="16" t="s">
        <v>201</v>
      </c>
      <c r="K1057" s="15">
        <v>0</v>
      </c>
      <c r="L1057" s="15"/>
      <c r="M1057" s="16"/>
      <c r="N1057" s="8"/>
      <c r="O1057" s="18">
        <f t="shared" si="297"/>
        <v>0</v>
      </c>
      <c r="P1057" s="9"/>
      <c r="Q1057" s="9"/>
      <c r="R1057" s="9"/>
      <c r="S1057" s="10">
        <f t="shared" si="295"/>
        <v>178.57142857142858</v>
      </c>
    </row>
    <row r="1058" spans="2:19" outlineLevel="1">
      <c r="B1058" s="13" t="s">
        <v>81</v>
      </c>
      <c r="C1058" s="7" t="str">
        <f t="shared" si="293"/>
        <v>SPREDY EMMAQ</v>
      </c>
      <c r="D1058" s="8">
        <f>D990</f>
        <v>46105</v>
      </c>
      <c r="E1058" s="15"/>
      <c r="F1058" s="15"/>
      <c r="G1058" s="15">
        <f t="shared" si="294"/>
        <v>0</v>
      </c>
      <c r="H1058" s="16" t="s">
        <v>6</v>
      </c>
      <c r="I1058" s="10">
        <f t="shared" si="296"/>
        <v>178.57142857142858</v>
      </c>
      <c r="J1058" s="16" t="s">
        <v>201</v>
      </c>
      <c r="K1058" s="15">
        <v>0</v>
      </c>
      <c r="L1058" s="15"/>
      <c r="M1058" s="16"/>
      <c r="N1058" s="8"/>
      <c r="O1058" s="18">
        <f t="shared" si="297"/>
        <v>0</v>
      </c>
      <c r="P1058" s="9"/>
      <c r="Q1058" s="9"/>
      <c r="R1058" s="9"/>
      <c r="S1058" s="10">
        <f t="shared" si="295"/>
        <v>178.57142857142858</v>
      </c>
    </row>
    <row r="1059" spans="2:19" outlineLevel="1">
      <c r="B1059" s="13" t="s">
        <v>81</v>
      </c>
      <c r="C1059" s="7" t="str">
        <f t="shared" si="293"/>
        <v>SPREDY EMMAQ</v>
      </c>
      <c r="D1059" s="8">
        <f>D991</f>
        <v>46106</v>
      </c>
      <c r="E1059" s="15"/>
      <c r="F1059" s="15"/>
      <c r="G1059" s="15">
        <f t="shared" si="294"/>
        <v>0</v>
      </c>
      <c r="H1059" s="16" t="s">
        <v>6</v>
      </c>
      <c r="I1059" s="10">
        <f t="shared" si="296"/>
        <v>178.57142857142858</v>
      </c>
      <c r="J1059" s="16" t="s">
        <v>201</v>
      </c>
      <c r="K1059" s="15">
        <v>0</v>
      </c>
      <c r="L1059" s="15"/>
      <c r="M1059" s="16"/>
      <c r="N1059" s="8"/>
      <c r="O1059" s="18">
        <f t="shared" si="297"/>
        <v>0</v>
      </c>
      <c r="P1059" s="9"/>
      <c r="Q1059" s="9"/>
      <c r="R1059" s="9"/>
      <c r="S1059" s="10">
        <f t="shared" si="295"/>
        <v>178.57142857142858</v>
      </c>
    </row>
    <row r="1060" spans="2:19" outlineLevel="1">
      <c r="B1060" s="13" t="s">
        <v>81</v>
      </c>
      <c r="C1060" s="7" t="str">
        <f t="shared" si="293"/>
        <v>SPREDY EMMAQ</v>
      </c>
      <c r="D1060" s="8">
        <f>D992</f>
        <v>46107</v>
      </c>
      <c r="E1060" s="15"/>
      <c r="F1060" s="15"/>
      <c r="G1060" s="15">
        <f t="shared" si="294"/>
        <v>0</v>
      </c>
      <c r="H1060" s="16" t="s">
        <v>6</v>
      </c>
      <c r="I1060" s="10">
        <f t="shared" si="296"/>
        <v>178.57142857142858</v>
      </c>
      <c r="J1060" s="16" t="s">
        <v>201</v>
      </c>
      <c r="K1060" s="15">
        <v>0</v>
      </c>
      <c r="L1060" s="15"/>
      <c r="M1060" s="16"/>
      <c r="N1060" s="8"/>
      <c r="O1060" s="18">
        <f t="shared" si="297"/>
        <v>0</v>
      </c>
      <c r="P1060" s="9"/>
      <c r="Q1060" s="9"/>
      <c r="R1060" s="9"/>
      <c r="S1060" s="10">
        <f t="shared" si="295"/>
        <v>178.57142857142858</v>
      </c>
    </row>
    <row r="1061" spans="2:19" outlineLevel="1">
      <c r="B1061" s="13" t="s">
        <v>81</v>
      </c>
      <c r="C1061" s="7" t="str">
        <f t="shared" si="293"/>
        <v>SPREDY EMMAQ</v>
      </c>
      <c r="D1061" s="8">
        <f>D993</f>
        <v>46108</v>
      </c>
      <c r="E1061" s="15"/>
      <c r="F1061" s="15"/>
      <c r="G1061" s="15">
        <f t="shared" si="294"/>
        <v>0</v>
      </c>
      <c r="H1061" s="16" t="s">
        <v>6</v>
      </c>
      <c r="I1061" s="10">
        <f t="shared" si="296"/>
        <v>178.57142857142858</v>
      </c>
      <c r="J1061" s="16" t="s">
        <v>201</v>
      </c>
      <c r="K1061" s="15">
        <v>0</v>
      </c>
      <c r="L1061" s="15"/>
      <c r="M1061" s="16"/>
      <c r="N1061" s="8"/>
      <c r="O1061" s="18">
        <f t="shared" si="297"/>
        <v>0</v>
      </c>
      <c r="P1061" s="9"/>
      <c r="Q1061" s="9"/>
      <c r="R1061" s="9"/>
      <c r="S1061" s="10">
        <f t="shared" si="295"/>
        <v>178.57142857142858</v>
      </c>
    </row>
    <row r="1062" spans="2:19" outlineLevel="1">
      <c r="B1062" s="13" t="s">
        <v>81</v>
      </c>
      <c r="C1062" s="7" t="str">
        <f t="shared" si="293"/>
        <v>SPREDY EMMAQ</v>
      </c>
      <c r="D1062" s="8">
        <f t="shared" ref="D1062" si="298">D994</f>
        <v>46109</v>
      </c>
      <c r="E1062" s="15"/>
      <c r="F1062" s="15"/>
      <c r="G1062" s="15">
        <f t="shared" ref="G1062:G1064" si="299">F1062-E1062</f>
        <v>0</v>
      </c>
      <c r="H1062" s="16" t="s">
        <v>6</v>
      </c>
      <c r="I1062" s="10">
        <f>I1058</f>
        <v>178.57142857142858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300">SUM(R1062+Q1062+I1062)</f>
        <v>178.57142857142858</v>
      </c>
    </row>
    <row r="1063" spans="2:19" outlineLevel="1">
      <c r="B1063" s="13" t="s">
        <v>81</v>
      </c>
      <c r="C1063" s="7" t="str">
        <f t="shared" si="293"/>
        <v>SPREDY EMMAQ</v>
      </c>
      <c r="D1063" s="8">
        <f t="shared" ref="D1063:D1065" si="301">D995</f>
        <v>46110</v>
      </c>
      <c r="E1063" s="15"/>
      <c r="F1063" s="15"/>
      <c r="G1063" s="15">
        <f t="shared" si="299"/>
        <v>0</v>
      </c>
      <c r="H1063" s="16" t="s">
        <v>6</v>
      </c>
      <c r="I1063" s="10">
        <f>I1059</f>
        <v>178.57142857142858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300"/>
        <v>178.57142857142858</v>
      </c>
    </row>
    <row r="1064" spans="2:19" outlineLevel="1">
      <c r="B1064" s="13" t="s">
        <v>81</v>
      </c>
      <c r="C1064" s="7" t="str">
        <f t="shared" si="293"/>
        <v>SPREDY EMMAQ</v>
      </c>
      <c r="D1064" s="8">
        <f t="shared" si="301"/>
        <v>46111</v>
      </c>
      <c r="E1064" s="15"/>
      <c r="F1064" s="15"/>
      <c r="G1064" s="15">
        <f t="shared" si="299"/>
        <v>0</v>
      </c>
      <c r="H1064" s="16" t="s">
        <v>6</v>
      </c>
      <c r="I1064" s="10">
        <f>I1060</f>
        <v>178.57142857142858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300"/>
        <v>178.57142857142858</v>
      </c>
    </row>
    <row r="1065" spans="2:19" outlineLevel="1">
      <c r="B1065" s="13" t="s">
        <v>81</v>
      </c>
      <c r="C1065" s="7" t="str">
        <f t="shared" si="293"/>
        <v>SPREDY EMMAQ</v>
      </c>
      <c r="D1065" s="8">
        <f t="shared" si="301"/>
        <v>46112</v>
      </c>
      <c r="E1065" s="15"/>
      <c r="F1065" s="15"/>
      <c r="G1065" s="15">
        <f t="shared" si="294"/>
        <v>0</v>
      </c>
      <c r="H1065" s="16" t="s">
        <v>6</v>
      </c>
      <c r="I1065" s="10">
        <f>I1061</f>
        <v>178.57142857142858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5"/>
        <v>178.57142857142858</v>
      </c>
    </row>
    <row r="1066" spans="2:19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5" t="str">
        <f>M$1</f>
        <v>BM JANEIRO 2026</v>
      </c>
      <c r="N1067" s="135"/>
      <c r="O1067" s="135"/>
      <c r="P1067" s="19" t="s">
        <v>10</v>
      </c>
      <c r="Q1067" s="136" t="s">
        <v>275</v>
      </c>
      <c r="R1067" s="136"/>
      <c r="S1067" s="136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27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outlineLevel="1">
      <c r="B1069" s="11" t="s">
        <v>83</v>
      </c>
      <c r="C1069" s="7" t="str">
        <f>C$1067</f>
        <v>CAÇAMBA VOLVO 330 PL QRR 4G34 POTY</v>
      </c>
      <c r="D1069" s="8">
        <f>D1001</f>
        <v>46082</v>
      </c>
      <c r="E1069" s="15"/>
      <c r="F1069" s="15"/>
      <c r="G1069" s="15">
        <f>F1069-E1069</f>
        <v>0</v>
      </c>
      <c r="H1069" s="16" t="s">
        <v>274</v>
      </c>
      <c r="I1069" s="10">
        <f>P1069</f>
        <v>428.57142857142856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O1069/28</f>
        <v>428.57142857142856</v>
      </c>
      <c r="Q1069" s="9"/>
      <c r="R1069" s="72"/>
      <c r="S1069" s="10">
        <f>SUM(R1069+Q1069+I1069)</f>
        <v>428.57142857142856</v>
      </c>
    </row>
    <row r="1070" spans="2:19" outlineLevel="1">
      <c r="B1070" s="12" t="s">
        <v>0</v>
      </c>
      <c r="C1070" s="7" t="str">
        <f t="shared" ref="C1070:C1099" si="302">C$1067</f>
        <v>CAÇAMBA VOLVO 330 PL QRR 4G34 POTY</v>
      </c>
      <c r="D1070" s="8">
        <f>D1002</f>
        <v>46083</v>
      </c>
      <c r="E1070" s="15">
        <v>185341</v>
      </c>
      <c r="F1070" s="15">
        <v>185366</v>
      </c>
      <c r="G1070" s="15">
        <f t="shared" ref="G1070:G1099" si="303">F1070-E1070</f>
        <v>25</v>
      </c>
      <c r="H1070" s="16" t="s">
        <v>274</v>
      </c>
      <c r="I1070" s="10">
        <f>I1069</f>
        <v>428.57142857142856</v>
      </c>
      <c r="J1070" s="16"/>
      <c r="K1070" s="15">
        <v>1</v>
      </c>
      <c r="L1070" s="15"/>
      <c r="M1070" s="17"/>
      <c r="N1070" s="9"/>
      <c r="O1070" s="9"/>
      <c r="P1070" s="9"/>
      <c r="Q1070" s="9"/>
      <c r="R1070" s="72"/>
      <c r="S1070" s="10">
        <f t="shared" ref="S1070:S1099" si="304">SUM(R1070+Q1070+I1070)</f>
        <v>428.57142857142856</v>
      </c>
    </row>
    <row r="1071" spans="2:19" outlineLevel="1">
      <c r="B1071" s="13" t="s">
        <v>83</v>
      </c>
      <c r="C1071" s="7" t="str">
        <f t="shared" si="302"/>
        <v>CAÇAMBA VOLVO 330 PL QRR 4G34 POTY</v>
      </c>
      <c r="D1071" s="8">
        <f>D1003</f>
        <v>46084</v>
      </c>
      <c r="E1071" s="15">
        <v>185366</v>
      </c>
      <c r="F1071" s="15">
        <v>185383</v>
      </c>
      <c r="G1071" s="15">
        <f t="shared" si="303"/>
        <v>17</v>
      </c>
      <c r="H1071" s="16" t="s">
        <v>274</v>
      </c>
      <c r="I1071" s="10">
        <f t="shared" ref="I1071:I1095" si="305">I1070</f>
        <v>428.57142857142856</v>
      </c>
      <c r="J1071" s="16"/>
      <c r="K1071" s="15">
        <v>1</v>
      </c>
      <c r="L1071" s="15"/>
      <c r="M1071" s="17"/>
      <c r="N1071" s="9"/>
      <c r="O1071" s="9"/>
      <c r="P1071" s="9"/>
      <c r="Q1071" s="9"/>
      <c r="R1071" s="72"/>
      <c r="S1071" s="10">
        <f t="shared" si="304"/>
        <v>428.57142857142856</v>
      </c>
    </row>
    <row r="1072" spans="2:19" outlineLevel="1">
      <c r="B1072" s="13" t="s">
        <v>83</v>
      </c>
      <c r="C1072" s="7" t="str">
        <f t="shared" si="302"/>
        <v>CAÇAMBA VOLVO 330 PL QRR 4G34 POTY</v>
      </c>
      <c r="D1072" s="8">
        <f>D1004</f>
        <v>46085</v>
      </c>
      <c r="E1072" s="15">
        <v>185383</v>
      </c>
      <c r="F1072" s="15">
        <v>185465</v>
      </c>
      <c r="G1072" s="15">
        <f t="shared" si="303"/>
        <v>82</v>
      </c>
      <c r="H1072" s="16" t="s">
        <v>274</v>
      </c>
      <c r="I1072" s="10">
        <f t="shared" si="305"/>
        <v>428.57142857142856</v>
      </c>
      <c r="J1072" s="16"/>
      <c r="K1072" s="15">
        <v>1</v>
      </c>
      <c r="L1072" s="15"/>
      <c r="M1072" s="17"/>
      <c r="N1072" s="9"/>
      <c r="O1072" s="9"/>
      <c r="P1072" s="9"/>
      <c r="Q1072" s="9"/>
      <c r="R1072" s="72"/>
      <c r="S1072" s="10">
        <f t="shared" si="304"/>
        <v>428.57142857142856</v>
      </c>
    </row>
    <row r="1073" spans="2:19" outlineLevel="1">
      <c r="B1073" s="13" t="s">
        <v>83</v>
      </c>
      <c r="C1073" s="7" t="str">
        <f t="shared" si="302"/>
        <v>CAÇAMBA VOLVO 330 PL QRR 4G34 POTY</v>
      </c>
      <c r="D1073" s="8">
        <f>D1005</f>
        <v>46086</v>
      </c>
      <c r="E1073" s="15"/>
      <c r="F1073" s="15"/>
      <c r="G1073" s="15"/>
      <c r="H1073" s="16" t="s">
        <v>274</v>
      </c>
      <c r="I1073" s="10">
        <f t="shared" si="305"/>
        <v>428.57142857142856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304"/>
        <v>428.57142857142856</v>
      </c>
    </row>
    <row r="1074" spans="2:19" outlineLevel="1">
      <c r="B1074" s="13" t="s">
        <v>83</v>
      </c>
      <c r="C1074" s="7" t="str">
        <f t="shared" si="302"/>
        <v>CAÇAMBA VOLVO 330 PL QRR 4G34 POTY</v>
      </c>
      <c r="D1074" s="114">
        <f>D1006</f>
        <v>46087</v>
      </c>
      <c r="E1074" s="15">
        <v>185465</v>
      </c>
      <c r="F1074" s="15">
        <v>185505</v>
      </c>
      <c r="G1074" s="15">
        <f t="shared" si="303"/>
        <v>40</v>
      </c>
      <c r="H1074" s="16" t="s">
        <v>274</v>
      </c>
      <c r="I1074" s="10">
        <f t="shared" si="305"/>
        <v>428.57142857142856</v>
      </c>
      <c r="J1074" s="16"/>
      <c r="K1074" s="15">
        <v>1</v>
      </c>
      <c r="L1074" s="15"/>
      <c r="M1074" s="17"/>
      <c r="N1074" s="118"/>
      <c r="O1074" s="118"/>
      <c r="P1074" s="118"/>
      <c r="Q1074" s="118"/>
      <c r="R1074" s="18"/>
      <c r="S1074" s="10">
        <f t="shared" si="304"/>
        <v>428.57142857142856</v>
      </c>
    </row>
    <row r="1075" spans="2:19" outlineLevel="1">
      <c r="B1075" s="13" t="s">
        <v>83</v>
      </c>
      <c r="C1075" s="7" t="str">
        <f t="shared" si="302"/>
        <v>CAÇAMBA VOLVO 330 PL QRR 4G34 POTY</v>
      </c>
      <c r="D1075" s="8">
        <f>D1007</f>
        <v>46088</v>
      </c>
      <c r="E1075" s="15"/>
      <c r="F1075" s="15"/>
      <c r="G1075" s="15">
        <f t="shared" si="303"/>
        <v>0</v>
      </c>
      <c r="H1075" s="16" t="s">
        <v>274</v>
      </c>
      <c r="I1075" s="10">
        <f t="shared" si="305"/>
        <v>428.57142857142856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304"/>
        <v>428.57142857142856</v>
      </c>
    </row>
    <row r="1076" spans="2:19" outlineLevel="1">
      <c r="B1076" s="13" t="s">
        <v>83</v>
      </c>
      <c r="C1076" s="7" t="str">
        <f t="shared" si="302"/>
        <v>CAÇAMBA VOLVO 330 PL QRR 4G34 POTY</v>
      </c>
      <c r="D1076" s="8">
        <f>D1008</f>
        <v>46089</v>
      </c>
      <c r="E1076" s="15"/>
      <c r="F1076" s="15"/>
      <c r="G1076" s="15">
        <f t="shared" si="303"/>
        <v>0</v>
      </c>
      <c r="H1076" s="16" t="s">
        <v>274</v>
      </c>
      <c r="I1076" s="10">
        <f t="shared" si="305"/>
        <v>428.57142857142856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4"/>
        <v>428.57142857142856</v>
      </c>
    </row>
    <row r="1077" spans="2:19" outlineLevel="1">
      <c r="B1077" s="13" t="s">
        <v>83</v>
      </c>
      <c r="C1077" s="7" t="str">
        <f t="shared" si="302"/>
        <v>CAÇAMBA VOLVO 330 PL QRR 4G34 POTY</v>
      </c>
      <c r="D1077" s="8">
        <f>D1009</f>
        <v>46090</v>
      </c>
      <c r="E1077" s="15"/>
      <c r="F1077" s="15"/>
      <c r="G1077" s="15">
        <f t="shared" si="303"/>
        <v>0</v>
      </c>
      <c r="H1077" s="16" t="s">
        <v>274</v>
      </c>
      <c r="I1077" s="10">
        <f t="shared" si="305"/>
        <v>428.57142857142856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4"/>
        <v>428.57142857142856</v>
      </c>
    </row>
    <row r="1078" spans="2:19" outlineLevel="1">
      <c r="B1078" s="13" t="s">
        <v>83</v>
      </c>
      <c r="C1078" s="7" t="str">
        <f t="shared" si="302"/>
        <v>CAÇAMBA VOLVO 330 PL QRR 4G34 POTY</v>
      </c>
      <c r="D1078" s="8">
        <f>D1010</f>
        <v>46091</v>
      </c>
      <c r="E1078" s="15"/>
      <c r="F1078" s="15"/>
      <c r="G1078" s="15">
        <f t="shared" si="303"/>
        <v>0</v>
      </c>
      <c r="H1078" s="16" t="s">
        <v>274</v>
      </c>
      <c r="I1078" s="10">
        <f t="shared" si="305"/>
        <v>428.57142857142856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304"/>
        <v>428.57142857142856</v>
      </c>
    </row>
    <row r="1079" spans="2:19" outlineLevel="1">
      <c r="B1079" s="13" t="s">
        <v>83</v>
      </c>
      <c r="C1079" s="7" t="str">
        <f t="shared" si="302"/>
        <v>CAÇAMBA VOLVO 330 PL QRR 4G34 POTY</v>
      </c>
      <c r="D1079" s="8">
        <f>D1011</f>
        <v>46092</v>
      </c>
      <c r="E1079" s="15"/>
      <c r="F1079" s="15"/>
      <c r="G1079" s="15">
        <f t="shared" si="303"/>
        <v>0</v>
      </c>
      <c r="H1079" s="16" t="s">
        <v>274</v>
      </c>
      <c r="I1079" s="10">
        <f t="shared" si="305"/>
        <v>428.57142857142856</v>
      </c>
      <c r="J1079" s="16" t="s">
        <v>16</v>
      </c>
      <c r="K1079" s="15"/>
      <c r="L1079" s="15"/>
      <c r="M1079" s="17"/>
      <c r="N1079" s="9"/>
      <c r="O1079" s="18">
        <f t="shared" ref="O1079:O1095" si="306">O1078</f>
        <v>0</v>
      </c>
      <c r="P1079" s="9"/>
      <c r="Q1079" s="9"/>
      <c r="R1079" s="72"/>
      <c r="S1079" s="10">
        <f t="shared" si="304"/>
        <v>428.57142857142856</v>
      </c>
    </row>
    <row r="1080" spans="2:19" outlineLevel="1">
      <c r="B1080" s="13" t="s">
        <v>83</v>
      </c>
      <c r="C1080" s="7" t="str">
        <f t="shared" si="302"/>
        <v>CAÇAMBA VOLVO 330 PL QRR 4G34 POTY</v>
      </c>
      <c r="D1080" s="8">
        <f>D1012</f>
        <v>46093</v>
      </c>
      <c r="E1080" s="15"/>
      <c r="F1080" s="15"/>
      <c r="G1080" s="15">
        <f t="shared" si="303"/>
        <v>0</v>
      </c>
      <c r="H1080" s="16" t="s">
        <v>274</v>
      </c>
      <c r="I1080" s="10">
        <f t="shared" si="305"/>
        <v>428.57142857142856</v>
      </c>
      <c r="J1080" s="16" t="s">
        <v>16</v>
      </c>
      <c r="K1080" s="15"/>
      <c r="L1080" s="15"/>
      <c r="M1080" s="17"/>
      <c r="N1080" s="9"/>
      <c r="O1080" s="18">
        <f t="shared" si="306"/>
        <v>0</v>
      </c>
      <c r="P1080" s="9"/>
      <c r="Q1080" s="9"/>
      <c r="R1080" s="72"/>
      <c r="S1080" s="10">
        <f t="shared" si="304"/>
        <v>428.57142857142856</v>
      </c>
    </row>
    <row r="1081" spans="2:19" outlineLevel="1">
      <c r="B1081" s="13" t="s">
        <v>83</v>
      </c>
      <c r="C1081" s="7" t="str">
        <f t="shared" si="302"/>
        <v>CAÇAMBA VOLVO 330 PL QRR 4G34 POTY</v>
      </c>
      <c r="D1081" s="8">
        <f>D1013</f>
        <v>46094</v>
      </c>
      <c r="E1081" s="15"/>
      <c r="F1081" s="15"/>
      <c r="G1081" s="15">
        <f t="shared" si="303"/>
        <v>0</v>
      </c>
      <c r="H1081" s="16" t="s">
        <v>274</v>
      </c>
      <c r="I1081" s="10">
        <f t="shared" si="305"/>
        <v>428.57142857142856</v>
      </c>
      <c r="J1081" s="16" t="s">
        <v>16</v>
      </c>
      <c r="K1081" s="15"/>
      <c r="L1081" s="15"/>
      <c r="M1081" s="17"/>
      <c r="N1081" s="9"/>
      <c r="O1081" s="18">
        <f t="shared" si="306"/>
        <v>0</v>
      </c>
      <c r="P1081" s="9"/>
      <c r="Q1081" s="9"/>
      <c r="R1081" s="72"/>
      <c r="S1081" s="10">
        <f t="shared" si="304"/>
        <v>428.57142857142856</v>
      </c>
    </row>
    <row r="1082" spans="2:19" outlineLevel="1">
      <c r="B1082" s="13" t="s">
        <v>83</v>
      </c>
      <c r="C1082" s="7" t="str">
        <f t="shared" si="302"/>
        <v>CAÇAMBA VOLVO 330 PL QRR 4G34 POTY</v>
      </c>
      <c r="D1082" s="8">
        <f>D1014</f>
        <v>46095</v>
      </c>
      <c r="E1082" s="15"/>
      <c r="F1082" s="15"/>
      <c r="G1082" s="15">
        <f t="shared" si="303"/>
        <v>0</v>
      </c>
      <c r="H1082" s="16" t="s">
        <v>274</v>
      </c>
      <c r="I1082" s="10">
        <f t="shared" si="305"/>
        <v>428.57142857142856</v>
      </c>
      <c r="J1082" s="16" t="s">
        <v>16</v>
      </c>
      <c r="K1082" s="15"/>
      <c r="L1082" s="15"/>
      <c r="M1082" s="17"/>
      <c r="N1082" s="9"/>
      <c r="O1082" s="18">
        <f t="shared" si="306"/>
        <v>0</v>
      </c>
      <c r="P1082" s="9"/>
      <c r="Q1082" s="9"/>
      <c r="R1082" s="72"/>
      <c r="S1082" s="10">
        <f t="shared" si="304"/>
        <v>428.57142857142856</v>
      </c>
    </row>
    <row r="1083" spans="2:19" outlineLevel="1">
      <c r="B1083" s="13" t="s">
        <v>83</v>
      </c>
      <c r="C1083" s="7" t="str">
        <f t="shared" si="302"/>
        <v>CAÇAMBA VOLVO 330 PL QRR 4G34 POTY</v>
      </c>
      <c r="D1083" s="8">
        <f>D1015</f>
        <v>46096</v>
      </c>
      <c r="E1083" s="15"/>
      <c r="F1083" s="15"/>
      <c r="G1083" s="15">
        <f t="shared" si="303"/>
        <v>0</v>
      </c>
      <c r="H1083" s="16" t="s">
        <v>274</v>
      </c>
      <c r="I1083" s="10">
        <f t="shared" si="305"/>
        <v>428.57142857142856</v>
      </c>
      <c r="J1083" s="16" t="s">
        <v>16</v>
      </c>
      <c r="K1083" s="15"/>
      <c r="L1083" s="15"/>
      <c r="M1083" s="17"/>
      <c r="N1083" s="9"/>
      <c r="O1083" s="18">
        <f t="shared" si="306"/>
        <v>0</v>
      </c>
      <c r="P1083" s="9"/>
      <c r="Q1083" s="9"/>
      <c r="R1083" s="72"/>
      <c r="S1083" s="10">
        <f t="shared" si="304"/>
        <v>428.57142857142856</v>
      </c>
    </row>
    <row r="1084" spans="2:19" outlineLevel="1">
      <c r="B1084" s="13" t="s">
        <v>83</v>
      </c>
      <c r="C1084" s="7" t="str">
        <f t="shared" si="302"/>
        <v>CAÇAMBA VOLVO 330 PL QRR 4G34 POTY</v>
      </c>
      <c r="D1084" s="8">
        <f>D1016</f>
        <v>46097</v>
      </c>
      <c r="E1084" s="15"/>
      <c r="F1084" s="15"/>
      <c r="G1084" s="15">
        <f t="shared" si="303"/>
        <v>0</v>
      </c>
      <c r="H1084" s="16" t="s">
        <v>274</v>
      </c>
      <c r="I1084" s="10">
        <f t="shared" si="305"/>
        <v>428.57142857142856</v>
      </c>
      <c r="J1084" s="16" t="s">
        <v>16</v>
      </c>
      <c r="K1084" s="15"/>
      <c r="L1084" s="15"/>
      <c r="M1084" s="17"/>
      <c r="N1084" s="9"/>
      <c r="O1084" s="18">
        <f t="shared" si="306"/>
        <v>0</v>
      </c>
      <c r="P1084" s="9"/>
      <c r="Q1084" s="9"/>
      <c r="R1084" s="72"/>
      <c r="S1084" s="10">
        <f t="shared" si="304"/>
        <v>428.57142857142856</v>
      </c>
    </row>
    <row r="1085" spans="2:19" outlineLevel="1">
      <c r="B1085" s="13" t="s">
        <v>83</v>
      </c>
      <c r="C1085" s="7" t="str">
        <f t="shared" si="302"/>
        <v>CAÇAMBA VOLVO 330 PL QRR 4G34 POTY</v>
      </c>
      <c r="D1085" s="8">
        <f>D1017</f>
        <v>46098</v>
      </c>
      <c r="E1085" s="15"/>
      <c r="F1085" s="15"/>
      <c r="G1085" s="15">
        <f t="shared" si="303"/>
        <v>0</v>
      </c>
      <c r="H1085" s="16" t="s">
        <v>274</v>
      </c>
      <c r="I1085" s="10">
        <f t="shared" si="305"/>
        <v>428.57142857142856</v>
      </c>
      <c r="J1085" s="16" t="s">
        <v>16</v>
      </c>
      <c r="K1085" s="15"/>
      <c r="L1085" s="15"/>
      <c r="M1085" s="17"/>
      <c r="N1085" s="9"/>
      <c r="O1085" s="18">
        <f t="shared" si="306"/>
        <v>0</v>
      </c>
      <c r="P1085" s="9"/>
      <c r="Q1085" s="9"/>
      <c r="R1085" s="72"/>
      <c r="S1085" s="10">
        <f t="shared" si="304"/>
        <v>428.57142857142856</v>
      </c>
    </row>
    <row r="1086" spans="2:19" outlineLevel="1">
      <c r="B1086" s="13" t="s">
        <v>83</v>
      </c>
      <c r="C1086" s="7" t="str">
        <f t="shared" si="302"/>
        <v>CAÇAMBA VOLVO 330 PL QRR 4G34 POTY</v>
      </c>
      <c r="D1086" s="8">
        <f>D1018</f>
        <v>46099</v>
      </c>
      <c r="E1086" s="15"/>
      <c r="F1086" s="15"/>
      <c r="G1086" s="15">
        <f t="shared" si="303"/>
        <v>0</v>
      </c>
      <c r="H1086" s="16" t="s">
        <v>274</v>
      </c>
      <c r="I1086" s="10">
        <f t="shared" si="305"/>
        <v>428.57142857142856</v>
      </c>
      <c r="J1086" s="16" t="s">
        <v>16</v>
      </c>
      <c r="K1086" s="15"/>
      <c r="L1086" s="15"/>
      <c r="M1086" s="17"/>
      <c r="N1086" s="9"/>
      <c r="O1086" s="18">
        <f t="shared" si="306"/>
        <v>0</v>
      </c>
      <c r="P1086" s="9"/>
      <c r="Q1086" s="9"/>
      <c r="R1086" s="72"/>
      <c r="S1086" s="10">
        <f t="shared" si="304"/>
        <v>428.57142857142856</v>
      </c>
    </row>
    <row r="1087" spans="2:19" outlineLevel="1">
      <c r="B1087" s="13" t="s">
        <v>83</v>
      </c>
      <c r="C1087" s="7" t="str">
        <f t="shared" si="302"/>
        <v>CAÇAMBA VOLVO 330 PL QRR 4G34 POTY</v>
      </c>
      <c r="D1087" s="8">
        <f>D1019</f>
        <v>46100</v>
      </c>
      <c r="E1087" s="15"/>
      <c r="F1087" s="15"/>
      <c r="G1087" s="15">
        <f>F1087-E1087</f>
        <v>0</v>
      </c>
      <c r="H1087" s="16" t="s">
        <v>274</v>
      </c>
      <c r="I1087" s="10">
        <f t="shared" si="305"/>
        <v>428.57142857142856</v>
      </c>
      <c r="J1087" s="16" t="s">
        <v>16</v>
      </c>
      <c r="K1087" s="15"/>
      <c r="L1087" s="15"/>
      <c r="M1087" s="17"/>
      <c r="N1087" s="9"/>
      <c r="O1087" s="18">
        <f t="shared" si="306"/>
        <v>0</v>
      </c>
      <c r="P1087" s="9"/>
      <c r="Q1087" s="9"/>
      <c r="R1087" s="72"/>
      <c r="S1087" s="10">
        <f t="shared" si="304"/>
        <v>428.57142857142856</v>
      </c>
    </row>
    <row r="1088" spans="2:19" outlineLevel="1">
      <c r="B1088" s="13" t="s">
        <v>83</v>
      </c>
      <c r="C1088" s="7" t="str">
        <f t="shared" si="302"/>
        <v>CAÇAMBA VOLVO 330 PL QRR 4G34 POTY</v>
      </c>
      <c r="D1088" s="8">
        <f>D1020</f>
        <v>46101</v>
      </c>
      <c r="E1088" s="15"/>
      <c r="F1088" s="15"/>
      <c r="G1088" s="15">
        <f>F1088-E1088</f>
        <v>0</v>
      </c>
      <c r="H1088" s="16" t="s">
        <v>274</v>
      </c>
      <c r="I1088" s="10">
        <f t="shared" si="305"/>
        <v>428.57142857142856</v>
      </c>
      <c r="J1088" s="16" t="s">
        <v>16</v>
      </c>
      <c r="K1088" s="15"/>
      <c r="L1088" s="15"/>
      <c r="M1088" s="17"/>
      <c r="N1088" s="9"/>
      <c r="O1088" s="18">
        <f t="shared" si="306"/>
        <v>0</v>
      </c>
      <c r="P1088" s="9"/>
      <c r="Q1088" s="9"/>
      <c r="R1088" s="72"/>
      <c r="S1088" s="10">
        <f t="shared" si="304"/>
        <v>428.57142857142856</v>
      </c>
    </row>
    <row r="1089" spans="2:19" outlineLevel="1">
      <c r="B1089" s="13" t="s">
        <v>83</v>
      </c>
      <c r="C1089" s="7" t="str">
        <f t="shared" si="302"/>
        <v>CAÇAMBA VOLVO 330 PL QRR 4G34 POTY</v>
      </c>
      <c r="D1089" s="8">
        <f>D1021</f>
        <v>46102</v>
      </c>
      <c r="E1089" s="15"/>
      <c r="F1089" s="15"/>
      <c r="G1089" s="15">
        <f t="shared" si="303"/>
        <v>0</v>
      </c>
      <c r="H1089" s="16" t="s">
        <v>274</v>
      </c>
      <c r="I1089" s="10">
        <f t="shared" si="305"/>
        <v>428.57142857142856</v>
      </c>
      <c r="J1089" s="16" t="s">
        <v>16</v>
      </c>
      <c r="K1089" s="15"/>
      <c r="L1089" s="15"/>
      <c r="M1089" s="17"/>
      <c r="N1089" s="9"/>
      <c r="O1089" s="18">
        <f t="shared" si="306"/>
        <v>0</v>
      </c>
      <c r="P1089" s="9"/>
      <c r="Q1089" s="9"/>
      <c r="R1089" s="72"/>
      <c r="S1089" s="10">
        <f t="shared" si="304"/>
        <v>428.57142857142856</v>
      </c>
    </row>
    <row r="1090" spans="2:19" outlineLevel="1">
      <c r="B1090" s="13" t="s">
        <v>83</v>
      </c>
      <c r="C1090" s="7" t="str">
        <f t="shared" si="302"/>
        <v>CAÇAMBA VOLVO 330 PL QRR 4G34 POTY</v>
      </c>
      <c r="D1090" s="8">
        <f>D1022</f>
        <v>46103</v>
      </c>
      <c r="E1090" s="15"/>
      <c r="F1090" s="15"/>
      <c r="G1090" s="15">
        <f t="shared" si="303"/>
        <v>0</v>
      </c>
      <c r="H1090" s="16" t="s">
        <v>274</v>
      </c>
      <c r="I1090" s="10">
        <f t="shared" si="305"/>
        <v>428.57142857142856</v>
      </c>
      <c r="J1090" s="16" t="s">
        <v>16</v>
      </c>
      <c r="K1090" s="15"/>
      <c r="L1090" s="15"/>
      <c r="M1090" s="17"/>
      <c r="N1090" s="9"/>
      <c r="O1090" s="18">
        <f t="shared" si="306"/>
        <v>0</v>
      </c>
      <c r="P1090" s="9"/>
      <c r="Q1090" s="9"/>
      <c r="R1090" s="72"/>
      <c r="S1090" s="10">
        <f t="shared" si="304"/>
        <v>428.57142857142856</v>
      </c>
    </row>
    <row r="1091" spans="2:19" outlineLevel="1">
      <c r="B1091" s="13" t="s">
        <v>83</v>
      </c>
      <c r="C1091" s="7" t="str">
        <f t="shared" si="302"/>
        <v>CAÇAMBA VOLVO 330 PL QRR 4G34 POTY</v>
      </c>
      <c r="D1091" s="8">
        <f>D1023</f>
        <v>46104</v>
      </c>
      <c r="E1091" s="15"/>
      <c r="F1091" s="15"/>
      <c r="G1091" s="15">
        <f t="shared" si="303"/>
        <v>0</v>
      </c>
      <c r="H1091" s="16" t="s">
        <v>274</v>
      </c>
      <c r="I1091" s="10">
        <f t="shared" si="305"/>
        <v>428.57142857142856</v>
      </c>
      <c r="J1091" s="16" t="s">
        <v>16</v>
      </c>
      <c r="K1091" s="15"/>
      <c r="L1091" s="15"/>
      <c r="M1091" s="17"/>
      <c r="N1091" s="9"/>
      <c r="O1091" s="18">
        <f t="shared" si="306"/>
        <v>0</v>
      </c>
      <c r="P1091" s="9"/>
      <c r="Q1091" s="9"/>
      <c r="R1091" s="72"/>
      <c r="S1091" s="10">
        <f t="shared" si="304"/>
        <v>428.57142857142856</v>
      </c>
    </row>
    <row r="1092" spans="2:19" outlineLevel="1">
      <c r="B1092" s="13" t="s">
        <v>83</v>
      </c>
      <c r="C1092" s="7" t="str">
        <f t="shared" si="302"/>
        <v>CAÇAMBA VOLVO 330 PL QRR 4G34 POTY</v>
      </c>
      <c r="D1092" s="8">
        <f>D1024</f>
        <v>46105</v>
      </c>
      <c r="E1092" s="15"/>
      <c r="F1092" s="15"/>
      <c r="G1092" s="15">
        <f t="shared" si="303"/>
        <v>0</v>
      </c>
      <c r="H1092" s="16" t="s">
        <v>274</v>
      </c>
      <c r="I1092" s="10">
        <f t="shared" si="305"/>
        <v>428.57142857142856</v>
      </c>
      <c r="J1092" s="16" t="s">
        <v>16</v>
      </c>
      <c r="K1092" s="15"/>
      <c r="L1092" s="15"/>
      <c r="M1092" s="17"/>
      <c r="N1092" s="9"/>
      <c r="O1092" s="18">
        <f t="shared" si="306"/>
        <v>0</v>
      </c>
      <c r="P1092" s="9"/>
      <c r="Q1092" s="9"/>
      <c r="R1092" s="72"/>
      <c r="S1092" s="10">
        <f t="shared" si="304"/>
        <v>428.57142857142856</v>
      </c>
    </row>
    <row r="1093" spans="2:19" outlineLevel="1">
      <c r="B1093" s="13" t="s">
        <v>83</v>
      </c>
      <c r="C1093" s="7" t="str">
        <f t="shared" si="302"/>
        <v>CAÇAMBA VOLVO 330 PL QRR 4G34 POTY</v>
      </c>
      <c r="D1093" s="8">
        <f>D1025</f>
        <v>46106</v>
      </c>
      <c r="E1093" s="15"/>
      <c r="F1093" s="15"/>
      <c r="G1093" s="15">
        <f t="shared" si="303"/>
        <v>0</v>
      </c>
      <c r="H1093" s="16" t="s">
        <v>274</v>
      </c>
      <c r="I1093" s="10">
        <f t="shared" si="305"/>
        <v>428.57142857142856</v>
      </c>
      <c r="J1093" s="16" t="s">
        <v>16</v>
      </c>
      <c r="K1093" s="15"/>
      <c r="L1093" s="15"/>
      <c r="M1093" s="17"/>
      <c r="N1093" s="9"/>
      <c r="O1093" s="18">
        <f t="shared" si="306"/>
        <v>0</v>
      </c>
      <c r="P1093" s="9"/>
      <c r="Q1093" s="9"/>
      <c r="R1093" s="72"/>
      <c r="S1093" s="10">
        <f t="shared" si="304"/>
        <v>428.57142857142856</v>
      </c>
    </row>
    <row r="1094" spans="2:19" outlineLevel="1">
      <c r="B1094" s="13" t="s">
        <v>83</v>
      </c>
      <c r="C1094" s="7" t="str">
        <f t="shared" si="302"/>
        <v>CAÇAMBA VOLVO 330 PL QRR 4G34 POTY</v>
      </c>
      <c r="D1094" s="8">
        <f>D1026</f>
        <v>46107</v>
      </c>
      <c r="E1094" s="15"/>
      <c r="F1094" s="15"/>
      <c r="G1094" s="15">
        <f t="shared" si="303"/>
        <v>0</v>
      </c>
      <c r="H1094" s="16" t="s">
        <v>274</v>
      </c>
      <c r="I1094" s="10">
        <f t="shared" si="305"/>
        <v>428.57142857142856</v>
      </c>
      <c r="J1094" s="16" t="s">
        <v>16</v>
      </c>
      <c r="K1094" s="15"/>
      <c r="L1094" s="15"/>
      <c r="M1094" s="17"/>
      <c r="N1094" s="9"/>
      <c r="O1094" s="18">
        <f t="shared" si="306"/>
        <v>0</v>
      </c>
      <c r="P1094" s="9"/>
      <c r="Q1094" s="9"/>
      <c r="R1094" s="72"/>
      <c r="S1094" s="10">
        <f t="shared" si="304"/>
        <v>428.57142857142856</v>
      </c>
    </row>
    <row r="1095" spans="2:19" outlineLevel="1">
      <c r="B1095" s="13" t="s">
        <v>83</v>
      </c>
      <c r="C1095" s="7" t="str">
        <f t="shared" si="302"/>
        <v>CAÇAMBA VOLVO 330 PL QRR 4G34 POTY</v>
      </c>
      <c r="D1095" s="8">
        <f>D1027</f>
        <v>46108</v>
      </c>
      <c r="E1095" s="15"/>
      <c r="F1095" s="15"/>
      <c r="G1095" s="15">
        <f t="shared" si="303"/>
        <v>0</v>
      </c>
      <c r="H1095" s="16" t="s">
        <v>274</v>
      </c>
      <c r="I1095" s="10">
        <f t="shared" si="305"/>
        <v>428.57142857142856</v>
      </c>
      <c r="J1095" s="16" t="s">
        <v>16</v>
      </c>
      <c r="K1095" s="15"/>
      <c r="L1095" s="15"/>
      <c r="M1095" s="17"/>
      <c r="N1095" s="9"/>
      <c r="O1095" s="18">
        <f t="shared" si="306"/>
        <v>0</v>
      </c>
      <c r="P1095" s="9"/>
      <c r="Q1095" s="9"/>
      <c r="R1095" s="72"/>
      <c r="S1095" s="10">
        <f t="shared" si="304"/>
        <v>428.57142857142856</v>
      </c>
    </row>
    <row r="1096" spans="2:19" outlineLevel="1">
      <c r="B1096" s="13" t="s">
        <v>83</v>
      </c>
      <c r="C1096" s="7" t="str">
        <f t="shared" si="302"/>
        <v>CAÇAMBA VOLVO 330 PL QRR 4G34 POTY</v>
      </c>
      <c r="D1096" s="8">
        <f t="shared" ref="D1096" si="307">D1028</f>
        <v>46109</v>
      </c>
      <c r="E1096" s="15"/>
      <c r="F1096" s="15"/>
      <c r="G1096" s="15">
        <f t="shared" ref="G1096:G1098" si="308">F1096-E1096</f>
        <v>0</v>
      </c>
      <c r="H1096" s="16" t="s">
        <v>274</v>
      </c>
      <c r="I1096" s="10">
        <f>I1092</f>
        <v>428.57142857142856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09">SUM(R1096+Q1096+I1096)</f>
        <v>428.57142857142856</v>
      </c>
    </row>
    <row r="1097" spans="2:19" outlineLevel="1">
      <c r="B1097" s="13" t="s">
        <v>83</v>
      </c>
      <c r="C1097" s="7" t="str">
        <f t="shared" si="302"/>
        <v>CAÇAMBA VOLVO 330 PL QRR 4G34 POTY</v>
      </c>
      <c r="D1097" s="8">
        <f t="shared" ref="D1097:D1099" si="310">D1029</f>
        <v>46110</v>
      </c>
      <c r="E1097" s="15"/>
      <c r="F1097" s="15"/>
      <c r="G1097" s="15">
        <f t="shared" si="308"/>
        <v>0</v>
      </c>
      <c r="H1097" s="16" t="s">
        <v>274</v>
      </c>
      <c r="I1097" s="10">
        <f>I1093</f>
        <v>428.57142857142856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9"/>
        <v>428.57142857142856</v>
      </c>
    </row>
    <row r="1098" spans="2:19" outlineLevel="1">
      <c r="B1098" s="13" t="s">
        <v>83</v>
      </c>
      <c r="C1098" s="7" t="str">
        <f t="shared" si="302"/>
        <v>CAÇAMBA VOLVO 330 PL QRR 4G34 POTY</v>
      </c>
      <c r="D1098" s="8">
        <f t="shared" si="310"/>
        <v>46111</v>
      </c>
      <c r="E1098" s="15"/>
      <c r="F1098" s="15"/>
      <c r="G1098" s="15">
        <f t="shared" si="308"/>
        <v>0</v>
      </c>
      <c r="H1098" s="16" t="s">
        <v>274</v>
      </c>
      <c r="I1098" s="10">
        <f>I1094</f>
        <v>428.57142857142856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9"/>
        <v>428.57142857142856</v>
      </c>
    </row>
    <row r="1099" spans="2:19" outlineLevel="1">
      <c r="B1099" s="13" t="s">
        <v>83</v>
      </c>
      <c r="C1099" s="7" t="str">
        <f t="shared" si="302"/>
        <v>CAÇAMBA VOLVO 330 PL QRR 4G34 POTY</v>
      </c>
      <c r="D1099" s="8">
        <f t="shared" si="310"/>
        <v>46112</v>
      </c>
      <c r="E1099" s="15"/>
      <c r="F1099" s="15"/>
      <c r="G1099" s="15">
        <f t="shared" si="303"/>
        <v>0</v>
      </c>
      <c r="H1099" s="16" t="s">
        <v>274</v>
      </c>
      <c r="I1099" s="10">
        <f>I1095</f>
        <v>428.57142857142856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304"/>
        <v>428.57142857142856</v>
      </c>
    </row>
    <row r="1100" spans="2:19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5" t="str">
        <f>M$1</f>
        <v>BM JANEIRO 2026</v>
      </c>
      <c r="N1101" s="135"/>
      <c r="O1101" s="135"/>
      <c r="P1101" s="19" t="s">
        <v>10</v>
      </c>
      <c r="Q1101" s="136"/>
      <c r="R1101" s="136"/>
      <c r="S1101" s="136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outlineLevel="1">
      <c r="B1103" s="70" t="s">
        <v>85</v>
      </c>
      <c r="C1103" s="7" t="str">
        <f>C$1101</f>
        <v>CAÇAMBA VOLVO 270 PL PIZ 3804 POTY</v>
      </c>
      <c r="D1103" s="8">
        <f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428.57142857142856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O1103/28</f>
        <v>428.57142857142856</v>
      </c>
      <c r="Q1103" s="9"/>
      <c r="R1103" s="9"/>
      <c r="S1103" s="10">
        <f>SUM(R1103+Q1103+I1103)</f>
        <v>428.57142857142856</v>
      </c>
    </row>
    <row r="1104" spans="2:19" outlineLevel="1">
      <c r="B1104" s="12" t="s">
        <v>0</v>
      </c>
      <c r="C1104" s="7" t="str">
        <f t="shared" ref="C1104:C1133" si="311">C$1101</f>
        <v>CAÇAMBA VOLVO 270 PL PIZ 3804 POTY</v>
      </c>
      <c r="D1104" s="8">
        <f>D1036</f>
        <v>46083</v>
      </c>
      <c r="E1104" s="15"/>
      <c r="F1104" s="15"/>
      <c r="G1104" s="15">
        <f t="shared" ref="G1104:G1133" si="312">F1104-E1104</f>
        <v>0</v>
      </c>
      <c r="H1104" s="16" t="s">
        <v>6</v>
      </c>
      <c r="I1104" s="10">
        <f>I1103</f>
        <v>428.57142857142856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13">SUM(R1104+Q1104+I1104)</f>
        <v>428.57142857142856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>D1037</f>
        <v>46084</v>
      </c>
      <c r="E1105" s="15"/>
      <c r="F1105" s="15"/>
      <c r="G1105" s="15">
        <f t="shared" si="312"/>
        <v>0</v>
      </c>
      <c r="H1105" s="16" t="s">
        <v>6</v>
      </c>
      <c r="I1105" s="10">
        <f t="shared" ref="I1105:I1129" si="314">I1104</f>
        <v>428.57142857142856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428.57142857142856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>D1038</f>
        <v>46085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428.57142857142856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428.57142857142856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>D1039</f>
        <v>46086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428.57142857142856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428.57142857142856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>D1040</f>
        <v>46087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428.57142857142856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13"/>
        <v>428.57142857142856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>D1041</f>
        <v>46088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428.57142857142856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428.57142857142856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>D1042</f>
        <v>46089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428.57142857142856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428.57142857142856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>D1043</f>
        <v>46090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428.57142857142856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428.57142857142856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>D1044</f>
        <v>46091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428.57142857142856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13"/>
        <v>428.57142857142856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>D1045</f>
        <v>46092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428.57142857142856</v>
      </c>
      <c r="J1113" s="16" t="s">
        <v>201</v>
      </c>
      <c r="K1113" s="15"/>
      <c r="L1113" s="15"/>
      <c r="M1113" s="17"/>
      <c r="N1113" s="9"/>
      <c r="O1113" s="18">
        <f t="shared" ref="O1113:O1129" si="315">O1112</f>
        <v>0</v>
      </c>
      <c r="P1113" s="9"/>
      <c r="Q1113" s="9"/>
      <c r="R1113" s="9"/>
      <c r="S1113" s="10">
        <f t="shared" si="313"/>
        <v>428.57142857142856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>D1046</f>
        <v>46093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428.57142857142856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428.57142857142856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>D1047</f>
        <v>46094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428.57142857142856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428.57142857142856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>D1048</f>
        <v>46095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428.57142857142856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428.57142857142856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>D1049</f>
        <v>46096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428.57142857142856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428.57142857142856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>D1050</f>
        <v>46097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428.57142857142856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428.57142857142856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>D1051</f>
        <v>46098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428.57142857142856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428.57142857142856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>D1052</f>
        <v>46099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428.57142857142856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428.57142857142856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>D1053</f>
        <v>46100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428.57142857142856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428.57142857142856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>D1054</f>
        <v>46101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428.57142857142856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428.57142857142856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>D1055</f>
        <v>46102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428.57142857142856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428.57142857142856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>D1056</f>
        <v>46103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428.57142857142856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428.57142857142856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>D1057</f>
        <v>46104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428.57142857142856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428.57142857142856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>D1058</f>
        <v>46105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428.57142857142856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428.57142857142856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>D1059</f>
        <v>46106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428.57142857142856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428.57142857142856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>D1060</f>
        <v>46107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428.57142857142856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428.57142857142856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>D1061</f>
        <v>46108</v>
      </c>
      <c r="E1129" s="15"/>
      <c r="F1129" s="15"/>
      <c r="G1129" s="15">
        <f t="shared" si="312"/>
        <v>0</v>
      </c>
      <c r="H1129" s="16" t="s">
        <v>6</v>
      </c>
      <c r="I1129" s="10">
        <f t="shared" si="314"/>
        <v>428.57142857142856</v>
      </c>
      <c r="J1129" s="16" t="s">
        <v>201</v>
      </c>
      <c r="K1129" s="15"/>
      <c r="L1129" s="15"/>
      <c r="M1129" s="17"/>
      <c r="N1129" s="9"/>
      <c r="O1129" s="18">
        <f t="shared" si="315"/>
        <v>0</v>
      </c>
      <c r="P1129" s="9"/>
      <c r="Q1129" s="9"/>
      <c r="R1129" s="9"/>
      <c r="S1129" s="10">
        <f t="shared" si="313"/>
        <v>428.57142857142856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" si="316">D1062</f>
        <v>46109</v>
      </c>
      <c r="E1130" s="15"/>
      <c r="F1130" s="15"/>
      <c r="G1130" s="15">
        <f t="shared" ref="G1130:G1132" si="317">F1130-E1130</f>
        <v>0</v>
      </c>
      <c r="H1130" s="16" t="s">
        <v>6</v>
      </c>
      <c r="I1130" s="10">
        <f>I1126</f>
        <v>428.57142857142856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18">SUM(R1130+Q1130+I1130)</f>
        <v>428.57142857142856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ref="D1131:D1133" si="319">D1063</f>
        <v>46110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428.57142857142856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428.57142857142856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46111</v>
      </c>
      <c r="E1132" s="15"/>
      <c r="F1132" s="15"/>
      <c r="G1132" s="15">
        <f t="shared" si="317"/>
        <v>0</v>
      </c>
      <c r="H1132" s="16" t="s">
        <v>6</v>
      </c>
      <c r="I1132" s="10">
        <f>I1128</f>
        <v>428.57142857142856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8"/>
        <v>428.57142857142856</v>
      </c>
    </row>
    <row r="1133" spans="2:19" outlineLevel="1">
      <c r="B1133" s="13" t="s">
        <v>85</v>
      </c>
      <c r="C1133" s="7" t="str">
        <f t="shared" si="311"/>
        <v>CAÇAMBA VOLVO 270 PL PIZ 3804 POTY</v>
      </c>
      <c r="D1133" s="8">
        <f t="shared" si="319"/>
        <v>46112</v>
      </c>
      <c r="E1133" s="15"/>
      <c r="F1133" s="15"/>
      <c r="G1133" s="15">
        <f t="shared" si="312"/>
        <v>0</v>
      </c>
      <c r="H1133" s="16" t="s">
        <v>6</v>
      </c>
      <c r="I1133" s="10">
        <f>I1129</f>
        <v>428.57142857142856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13"/>
        <v>428.57142857142856</v>
      </c>
    </row>
    <row r="1134" spans="2:19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5" t="str">
        <f>M$1</f>
        <v>BM JANEIRO 2026</v>
      </c>
      <c r="N1135" s="135"/>
      <c r="O1135" s="135"/>
      <c r="P1135" s="19" t="s">
        <v>10</v>
      </c>
      <c r="Q1135" s="136" t="s">
        <v>188</v>
      </c>
      <c r="R1135" s="136"/>
      <c r="S1135" s="136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outlineLevel="1">
      <c r="B1137" s="121" t="s">
        <v>87</v>
      </c>
      <c r="C1137" s="7" t="str">
        <f>C$1135</f>
        <v>CAÇAMBA VOLVO 270 PL PIZ 3i14 POTY</v>
      </c>
      <c r="D1137" s="8">
        <f>D1069</f>
        <v>46082</v>
      </c>
      <c r="E1137" s="15"/>
      <c r="F1137" s="15"/>
      <c r="G1137" s="15">
        <f>F1137-E1137</f>
        <v>0</v>
      </c>
      <c r="H1137" s="16" t="s">
        <v>274</v>
      </c>
      <c r="I1137" s="10">
        <f>P$1137</f>
        <v>428.57142857142856</v>
      </c>
      <c r="J1137" s="16" t="s">
        <v>16</v>
      </c>
      <c r="K1137" s="15"/>
      <c r="L1137" s="15"/>
      <c r="M1137" s="17"/>
      <c r="N1137" s="9"/>
      <c r="O1137" s="9">
        <v>12000</v>
      </c>
      <c r="P1137" s="9">
        <f>O1137/28</f>
        <v>428.57142857142856</v>
      </c>
      <c r="Q1137" s="9">
        <f>SUM(1000/5)</f>
        <v>200</v>
      </c>
      <c r="R1137" s="72">
        <f>SUM(250/5)</f>
        <v>50</v>
      </c>
      <c r="S1137" s="10">
        <f>SUM(R1137+Q1137+I1137)</f>
        <v>678.57142857142856</v>
      </c>
    </row>
    <row r="1138" spans="2:19" outlineLevel="1">
      <c r="B1138" s="12" t="s">
        <v>0</v>
      </c>
      <c r="C1138" s="7" t="str">
        <f t="shared" ref="C1138:C1167" si="320">C$1135</f>
        <v>CAÇAMBA VOLVO 270 PL PIZ 3i14 POTY</v>
      </c>
      <c r="D1138" s="8">
        <f>D1070</f>
        <v>46083</v>
      </c>
      <c r="E1138" s="15"/>
      <c r="F1138" s="15"/>
      <c r="G1138" s="15">
        <f t="shared" ref="G1138:G1167" si="321">F1138-E1138</f>
        <v>0</v>
      </c>
      <c r="H1138" s="16" t="s">
        <v>274</v>
      </c>
      <c r="I1138" s="10">
        <f t="shared" ref="I1138:I1141" si="322">P$1137</f>
        <v>428.57142857142856</v>
      </c>
      <c r="J1138" s="16" t="s">
        <v>16</v>
      </c>
      <c r="K1138" s="15"/>
      <c r="L1138" s="15"/>
      <c r="M1138" s="17"/>
      <c r="N1138" s="9"/>
      <c r="O1138" s="9"/>
      <c r="P1138" s="9"/>
      <c r="Q1138" s="9">
        <f t="shared" ref="Q1138:Q1141" si="323">SUM(1000/5)</f>
        <v>200</v>
      </c>
      <c r="R1138" s="72">
        <f t="shared" ref="R1138:R1141" si="324">SUM(250/5)</f>
        <v>50</v>
      </c>
      <c r="S1138" s="10">
        <f t="shared" ref="S1138:S1167" si="325">SUM(R1138+Q1138+I1138)</f>
        <v>678.57142857142856</v>
      </c>
    </row>
    <row r="1139" spans="2:19" outlineLevel="1">
      <c r="B1139" s="13" t="s">
        <v>87</v>
      </c>
      <c r="C1139" s="7" t="str">
        <f t="shared" si="320"/>
        <v>CAÇAMBA VOLVO 270 PL PIZ 3i14 POTY</v>
      </c>
      <c r="D1139" s="8">
        <f>D1071</f>
        <v>46084</v>
      </c>
      <c r="E1139" s="15">
        <v>239014</v>
      </c>
      <c r="F1139" s="15">
        <v>239050</v>
      </c>
      <c r="G1139" s="15">
        <f t="shared" si="321"/>
        <v>36</v>
      </c>
      <c r="H1139" s="16" t="s">
        <v>274</v>
      </c>
      <c r="I1139" s="10">
        <f t="shared" si="322"/>
        <v>428.57142857142856</v>
      </c>
      <c r="J1139" s="16"/>
      <c r="K1139" s="15">
        <v>1</v>
      </c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678.57142857142856</v>
      </c>
    </row>
    <row r="1140" spans="2:19" outlineLevel="1">
      <c r="B1140" s="13" t="s">
        <v>87</v>
      </c>
      <c r="C1140" s="7" t="str">
        <f t="shared" si="320"/>
        <v>CAÇAMBA VOLVO 270 PL PIZ 3i14 POTY</v>
      </c>
      <c r="D1140" s="8">
        <f>D1072</f>
        <v>46085</v>
      </c>
      <c r="E1140" s="15"/>
      <c r="F1140" s="15"/>
      <c r="G1140" s="15">
        <f t="shared" si="321"/>
        <v>0</v>
      </c>
      <c r="H1140" s="16" t="s">
        <v>274</v>
      </c>
      <c r="I1140" s="10">
        <f t="shared" si="322"/>
        <v>428.57142857142856</v>
      </c>
      <c r="J1140" s="16" t="s">
        <v>16</v>
      </c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678.57142857142856</v>
      </c>
    </row>
    <row r="1141" spans="2:19" outlineLevel="1">
      <c r="B1141" s="13" t="s">
        <v>87</v>
      </c>
      <c r="C1141" s="7" t="str">
        <f t="shared" si="320"/>
        <v>CAÇAMBA VOLVO 270 PL PIZ 3i14 POTY</v>
      </c>
      <c r="D1141" s="8">
        <f>D1073</f>
        <v>46086</v>
      </c>
      <c r="E1141" s="15">
        <v>239050</v>
      </c>
      <c r="F1141" s="15">
        <v>239078</v>
      </c>
      <c r="G1141" s="15">
        <f t="shared" si="321"/>
        <v>28</v>
      </c>
      <c r="H1141" s="16" t="s">
        <v>274</v>
      </c>
      <c r="I1141" s="10">
        <f t="shared" si="322"/>
        <v>428.57142857142856</v>
      </c>
      <c r="J1141" s="16"/>
      <c r="K1141" s="15">
        <v>1</v>
      </c>
      <c r="L1141" s="15"/>
      <c r="M1141" s="17"/>
      <c r="N1141" s="9"/>
      <c r="O1141" s="9"/>
      <c r="P1141" s="9"/>
      <c r="Q1141" s="9">
        <f t="shared" si="323"/>
        <v>200</v>
      </c>
      <c r="R1141" s="72">
        <f t="shared" si="324"/>
        <v>50</v>
      </c>
      <c r="S1141" s="10">
        <f t="shared" si="325"/>
        <v>678.57142857142856</v>
      </c>
    </row>
    <row r="1142" spans="2:19" outlineLevel="1">
      <c r="B1142" s="13" t="s">
        <v>87</v>
      </c>
      <c r="C1142" s="7" t="str">
        <f t="shared" si="320"/>
        <v>CAÇAMBA VOLVO 270 PL PIZ 3i14 POTY</v>
      </c>
      <c r="D1142" s="8">
        <f>D1074</f>
        <v>46087</v>
      </c>
      <c r="E1142" s="15"/>
      <c r="F1142" s="15"/>
      <c r="G1142" s="15">
        <f t="shared" si="321"/>
        <v>0</v>
      </c>
      <c r="H1142" s="16" t="s">
        <v>201</v>
      </c>
      <c r="I1142" s="10"/>
      <c r="J1142" s="16"/>
      <c r="K1142" s="15">
        <v>1</v>
      </c>
      <c r="L1142" s="15"/>
      <c r="M1142" s="17"/>
      <c r="N1142" s="9"/>
      <c r="O1142" s="9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0"/>
        <v>CAÇAMBA VOLVO 270 PL PIZ 3i14 POTY</v>
      </c>
      <c r="D1143" s="8">
        <f>D1075</f>
        <v>46088</v>
      </c>
      <c r="E1143" s="15"/>
      <c r="F1143" s="15"/>
      <c r="G1143" s="15">
        <f t="shared" si="321"/>
        <v>0</v>
      </c>
      <c r="H1143" s="16" t="s">
        <v>201</v>
      </c>
      <c r="I1143" s="10"/>
      <c r="J1143" s="16"/>
      <c r="K1143" s="15">
        <v>1</v>
      </c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0"/>
        <v>CAÇAMBA VOLVO 270 PL PIZ 3i14 POTY</v>
      </c>
      <c r="D1144" s="8">
        <f>D1076</f>
        <v>46089</v>
      </c>
      <c r="E1144" s="15"/>
      <c r="F1144" s="15"/>
      <c r="G1144" s="15">
        <f t="shared" si="321"/>
        <v>0</v>
      </c>
      <c r="H1144" s="16" t="s">
        <v>201</v>
      </c>
      <c r="I1144" s="10"/>
      <c r="J1144" s="16"/>
      <c r="K1144" s="15">
        <v>1</v>
      </c>
      <c r="L1144" s="15"/>
      <c r="M1144" s="17"/>
      <c r="N1144" s="9"/>
      <c r="O1144" s="18"/>
      <c r="P1144" s="9"/>
      <c r="Q1144" s="9"/>
      <c r="R1144" s="72"/>
      <c r="S1144" s="10">
        <f t="shared" si="325"/>
        <v>0</v>
      </c>
    </row>
    <row r="1145" spans="2:19" outlineLevel="1">
      <c r="B1145" s="13" t="s">
        <v>87</v>
      </c>
      <c r="C1145" s="7" t="str">
        <f t="shared" si="320"/>
        <v>CAÇAMBA VOLVO 270 PL PIZ 3i14 POTY</v>
      </c>
      <c r="D1145" s="8">
        <f>D1077</f>
        <v>46090</v>
      </c>
      <c r="E1145" s="15"/>
      <c r="F1145" s="15"/>
      <c r="G1145" s="15">
        <f t="shared" si="321"/>
        <v>0</v>
      </c>
      <c r="H1145" s="16" t="s">
        <v>274</v>
      </c>
      <c r="I1145" s="10">
        <f t="shared" ref="I1145:I1157" si="326">P$1137</f>
        <v>428.57142857142856</v>
      </c>
      <c r="J1145" s="16"/>
      <c r="K1145" s="15">
        <v>1</v>
      </c>
      <c r="L1145" s="15"/>
      <c r="M1145" s="17"/>
      <c r="N1145" s="9"/>
      <c r="O1145" s="18"/>
      <c r="P1145" s="9"/>
      <c r="Q1145" s="9"/>
      <c r="R1145" s="72"/>
      <c r="S1145" s="10">
        <f t="shared" si="325"/>
        <v>428.57142857142856</v>
      </c>
    </row>
    <row r="1146" spans="2:19" outlineLevel="1">
      <c r="B1146" s="13" t="s">
        <v>87</v>
      </c>
      <c r="C1146" s="7" t="str">
        <f t="shared" si="320"/>
        <v>CAÇAMBA VOLVO 270 PL PIZ 3i14 POTY</v>
      </c>
      <c r="D1146" s="8">
        <f>D1078</f>
        <v>46091</v>
      </c>
      <c r="E1146" s="15"/>
      <c r="F1146" s="15"/>
      <c r="G1146" s="15">
        <f t="shared" si="321"/>
        <v>0</v>
      </c>
      <c r="H1146" s="16" t="s">
        <v>274</v>
      </c>
      <c r="I1146" s="10">
        <f t="shared" si="326"/>
        <v>428.57142857142856</v>
      </c>
      <c r="J1146" s="16"/>
      <c r="K1146" s="15">
        <v>1</v>
      </c>
      <c r="L1146" s="15"/>
      <c r="M1146" s="17"/>
      <c r="N1146" s="9"/>
      <c r="O1146" s="18"/>
      <c r="P1146" s="9"/>
      <c r="Q1146" s="9"/>
      <c r="R1146" s="72"/>
      <c r="S1146" s="10">
        <f t="shared" si="325"/>
        <v>428.57142857142856</v>
      </c>
    </row>
    <row r="1147" spans="2:19" outlineLevel="1">
      <c r="B1147" s="13" t="s">
        <v>87</v>
      </c>
      <c r="C1147" s="7" t="str">
        <f t="shared" si="320"/>
        <v>CAÇAMBA VOLVO 270 PL PIZ 3i14 POTY</v>
      </c>
      <c r="D1147" s="8">
        <f>D1079</f>
        <v>46092</v>
      </c>
      <c r="E1147" s="15"/>
      <c r="F1147" s="15"/>
      <c r="G1147" s="15">
        <f t="shared" si="321"/>
        <v>0</v>
      </c>
      <c r="H1147" s="16" t="s">
        <v>274</v>
      </c>
      <c r="I1147" s="10">
        <f t="shared" si="326"/>
        <v>428.57142857142856</v>
      </c>
      <c r="J1147" s="16"/>
      <c r="K1147" s="15">
        <v>1</v>
      </c>
      <c r="L1147" s="15"/>
      <c r="M1147" s="17"/>
      <c r="N1147" s="9"/>
      <c r="O1147" s="18">
        <f t="shared" ref="O1147:O1163" si="327">O1146</f>
        <v>0</v>
      </c>
      <c r="P1147" s="9"/>
      <c r="Q1147" s="9"/>
      <c r="R1147" s="72"/>
      <c r="S1147" s="10">
        <f t="shared" si="325"/>
        <v>428.57142857142856</v>
      </c>
    </row>
    <row r="1148" spans="2:19" outlineLevel="1">
      <c r="B1148" s="13" t="s">
        <v>87</v>
      </c>
      <c r="C1148" s="7" t="str">
        <f t="shared" si="320"/>
        <v>CAÇAMBA VOLVO 270 PL PIZ 3i14 POTY</v>
      </c>
      <c r="D1148" s="8">
        <f>D1080</f>
        <v>46093</v>
      </c>
      <c r="E1148" s="15"/>
      <c r="F1148" s="15"/>
      <c r="G1148" s="15">
        <f t="shared" si="321"/>
        <v>0</v>
      </c>
      <c r="H1148" s="16" t="s">
        <v>274</v>
      </c>
      <c r="I1148" s="10">
        <f t="shared" si="326"/>
        <v>428.57142857142856</v>
      </c>
      <c r="J1148" s="16"/>
      <c r="K1148" s="15">
        <v>1</v>
      </c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428.57142857142856</v>
      </c>
    </row>
    <row r="1149" spans="2:19" outlineLevel="1">
      <c r="B1149" s="13" t="s">
        <v>87</v>
      </c>
      <c r="C1149" s="7" t="str">
        <f t="shared" si="320"/>
        <v>CAÇAMBA VOLVO 270 PL PIZ 3i14 POTY</v>
      </c>
      <c r="D1149" s="8">
        <f>D1081</f>
        <v>46094</v>
      </c>
      <c r="E1149" s="15"/>
      <c r="F1149" s="15"/>
      <c r="G1149" s="15">
        <f t="shared" si="321"/>
        <v>0</v>
      </c>
      <c r="H1149" s="16" t="s">
        <v>274</v>
      </c>
      <c r="I1149" s="10">
        <f t="shared" si="326"/>
        <v>428.57142857142856</v>
      </c>
      <c r="J1149" s="16"/>
      <c r="K1149" s="15">
        <v>1</v>
      </c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428.57142857142856</v>
      </c>
    </row>
    <row r="1150" spans="2:19" outlineLevel="1">
      <c r="B1150" s="13" t="s">
        <v>87</v>
      </c>
      <c r="C1150" s="7" t="str">
        <f t="shared" si="320"/>
        <v>CAÇAMBA VOLVO 270 PL PIZ 3i14 POTY</v>
      </c>
      <c r="D1150" s="8">
        <f>D1082</f>
        <v>46095</v>
      </c>
      <c r="E1150" s="15"/>
      <c r="F1150" s="15"/>
      <c r="G1150" s="15">
        <f t="shared" si="321"/>
        <v>0</v>
      </c>
      <c r="H1150" s="16" t="s">
        <v>274</v>
      </c>
      <c r="I1150" s="10">
        <f t="shared" si="326"/>
        <v>428.57142857142856</v>
      </c>
      <c r="J1150" s="16"/>
      <c r="K1150" s="15">
        <v>1</v>
      </c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428.57142857142856</v>
      </c>
    </row>
    <row r="1151" spans="2:19" outlineLevel="1">
      <c r="B1151" s="13" t="s">
        <v>87</v>
      </c>
      <c r="C1151" s="7" t="str">
        <f t="shared" si="320"/>
        <v>CAÇAMBA VOLVO 270 PL PIZ 3i14 POTY</v>
      </c>
      <c r="D1151" s="8">
        <f>D1083</f>
        <v>46096</v>
      </c>
      <c r="E1151" s="15"/>
      <c r="F1151" s="15"/>
      <c r="G1151" s="15">
        <f t="shared" si="321"/>
        <v>0</v>
      </c>
      <c r="H1151" s="16" t="s">
        <v>274</v>
      </c>
      <c r="I1151" s="10">
        <f t="shared" si="326"/>
        <v>428.57142857142856</v>
      </c>
      <c r="J1151" s="16"/>
      <c r="K1151" s="15">
        <v>1</v>
      </c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428.57142857142856</v>
      </c>
    </row>
    <row r="1152" spans="2:19" outlineLevel="1">
      <c r="B1152" s="13" t="s">
        <v>87</v>
      </c>
      <c r="C1152" s="7" t="str">
        <f t="shared" si="320"/>
        <v>CAÇAMBA VOLVO 270 PL PIZ 3i14 POTY</v>
      </c>
      <c r="D1152" s="8">
        <f>D1084</f>
        <v>46097</v>
      </c>
      <c r="E1152" s="15"/>
      <c r="F1152" s="15"/>
      <c r="G1152" s="15">
        <f t="shared" si="321"/>
        <v>0</v>
      </c>
      <c r="H1152" s="16" t="s">
        <v>274</v>
      </c>
      <c r="I1152" s="10">
        <f t="shared" si="326"/>
        <v>428.57142857142856</v>
      </c>
      <c r="J1152" s="16"/>
      <c r="K1152" s="15">
        <v>1</v>
      </c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428.57142857142856</v>
      </c>
    </row>
    <row r="1153" spans="2:19" outlineLevel="1">
      <c r="B1153" s="13" t="s">
        <v>87</v>
      </c>
      <c r="C1153" s="7" t="str">
        <f t="shared" si="320"/>
        <v>CAÇAMBA VOLVO 270 PL PIZ 3i14 POTY</v>
      </c>
      <c r="D1153" s="8">
        <f>D1085</f>
        <v>46098</v>
      </c>
      <c r="E1153" s="15"/>
      <c r="F1153" s="15"/>
      <c r="G1153" s="15">
        <f t="shared" si="321"/>
        <v>0</v>
      </c>
      <c r="H1153" s="16" t="s">
        <v>274</v>
      </c>
      <c r="I1153" s="10">
        <f t="shared" si="326"/>
        <v>428.57142857142856</v>
      </c>
      <c r="J1153" s="16" t="s">
        <v>16</v>
      </c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428.57142857142856</v>
      </c>
    </row>
    <row r="1154" spans="2:19" outlineLevel="1">
      <c r="B1154" s="13" t="s">
        <v>87</v>
      </c>
      <c r="C1154" s="7" t="str">
        <f t="shared" si="320"/>
        <v>CAÇAMBA VOLVO 270 PL PIZ 3i14 POTY</v>
      </c>
      <c r="D1154" s="8">
        <f>D1086</f>
        <v>46099</v>
      </c>
      <c r="E1154" s="15"/>
      <c r="F1154" s="15"/>
      <c r="G1154" s="15">
        <f t="shared" si="321"/>
        <v>0</v>
      </c>
      <c r="H1154" s="16" t="s">
        <v>274</v>
      </c>
      <c r="I1154" s="10">
        <f t="shared" si="326"/>
        <v>428.57142857142856</v>
      </c>
      <c r="J1154" s="16" t="s">
        <v>16</v>
      </c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428.57142857142856</v>
      </c>
    </row>
    <row r="1155" spans="2:19" outlineLevel="1">
      <c r="B1155" s="13" t="s">
        <v>87</v>
      </c>
      <c r="C1155" s="7" t="str">
        <f t="shared" si="320"/>
        <v>CAÇAMBA VOLVO 270 PL PIZ 3i14 POTY</v>
      </c>
      <c r="D1155" s="8">
        <f>D1087</f>
        <v>46100</v>
      </c>
      <c r="E1155" s="15"/>
      <c r="F1155" s="15"/>
      <c r="G1155" s="15">
        <f t="shared" si="321"/>
        <v>0</v>
      </c>
      <c r="H1155" s="16" t="s">
        <v>274</v>
      </c>
      <c r="I1155" s="10">
        <f t="shared" si="326"/>
        <v>428.57142857142856</v>
      </c>
      <c r="J1155" s="16" t="s">
        <v>16</v>
      </c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428.57142857142856</v>
      </c>
    </row>
    <row r="1156" spans="2:19" outlineLevel="1">
      <c r="B1156" s="13" t="s">
        <v>87</v>
      </c>
      <c r="C1156" s="7" t="str">
        <f t="shared" si="320"/>
        <v>CAÇAMBA VOLVO 270 PL PIZ 3i14 POTY</v>
      </c>
      <c r="D1156" s="8">
        <f>D1088</f>
        <v>46101</v>
      </c>
      <c r="E1156" s="15"/>
      <c r="F1156" s="15"/>
      <c r="G1156" s="15">
        <f t="shared" si="321"/>
        <v>0</v>
      </c>
      <c r="H1156" s="16" t="s">
        <v>274</v>
      </c>
      <c r="I1156" s="10">
        <f t="shared" si="326"/>
        <v>428.57142857142856</v>
      </c>
      <c r="J1156" s="16" t="s">
        <v>16</v>
      </c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428.57142857142856</v>
      </c>
    </row>
    <row r="1157" spans="2:19" outlineLevel="1">
      <c r="B1157" s="13" t="s">
        <v>87</v>
      </c>
      <c r="C1157" s="7" t="str">
        <f t="shared" si="320"/>
        <v>CAÇAMBA VOLVO 270 PL PIZ 3i14 POTY</v>
      </c>
      <c r="D1157" s="8">
        <f>D1089</f>
        <v>46102</v>
      </c>
      <c r="E1157" s="15"/>
      <c r="F1157" s="15"/>
      <c r="G1157" s="15">
        <f t="shared" si="321"/>
        <v>0</v>
      </c>
      <c r="H1157" s="16" t="s">
        <v>274</v>
      </c>
      <c r="I1157" s="10">
        <f t="shared" si="326"/>
        <v>428.57142857142856</v>
      </c>
      <c r="J1157" s="16" t="s">
        <v>16</v>
      </c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428.57142857142856</v>
      </c>
    </row>
    <row r="1158" spans="2:19" outlineLevel="1">
      <c r="B1158" s="13" t="s">
        <v>87</v>
      </c>
      <c r="C1158" s="7" t="str">
        <f t="shared" si="320"/>
        <v>CAÇAMBA VOLVO 270 PL PIZ 3i14 POTY</v>
      </c>
      <c r="D1158" s="8">
        <f>D1090</f>
        <v>46103</v>
      </c>
      <c r="E1158" s="15"/>
      <c r="F1158" s="15"/>
      <c r="G1158" s="15">
        <f t="shared" si="321"/>
        <v>0</v>
      </c>
      <c r="H1158" s="16" t="s">
        <v>274</v>
      </c>
      <c r="I1158" s="10">
        <f t="shared" ref="I1158:I1163" si="328">P$1137</f>
        <v>428.57142857142856</v>
      </c>
      <c r="J1158" s="16"/>
      <c r="K1158" s="15">
        <v>1</v>
      </c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428.57142857142856</v>
      </c>
    </row>
    <row r="1159" spans="2:19" outlineLevel="1">
      <c r="B1159" s="13" t="s">
        <v>87</v>
      </c>
      <c r="C1159" s="7" t="str">
        <f t="shared" si="320"/>
        <v>CAÇAMBA VOLVO 270 PL PIZ 3i14 POTY</v>
      </c>
      <c r="D1159" s="8">
        <f>D1091</f>
        <v>46104</v>
      </c>
      <c r="E1159" s="15"/>
      <c r="F1159" s="15"/>
      <c r="G1159" s="15">
        <f t="shared" si="321"/>
        <v>0</v>
      </c>
      <c r="H1159" s="16" t="s">
        <v>274</v>
      </c>
      <c r="I1159" s="10">
        <f t="shared" si="328"/>
        <v>428.57142857142856</v>
      </c>
      <c r="J1159" s="16"/>
      <c r="K1159" s="15">
        <v>1</v>
      </c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428.57142857142856</v>
      </c>
    </row>
    <row r="1160" spans="2:19" outlineLevel="1">
      <c r="B1160" s="13" t="s">
        <v>87</v>
      </c>
      <c r="C1160" s="7" t="str">
        <f t="shared" si="320"/>
        <v>CAÇAMBA VOLVO 270 PL PIZ 3i14 POTY</v>
      </c>
      <c r="D1160" s="8">
        <f>D1092</f>
        <v>46105</v>
      </c>
      <c r="E1160" s="15"/>
      <c r="F1160" s="15"/>
      <c r="G1160" s="15">
        <f t="shared" si="321"/>
        <v>0</v>
      </c>
      <c r="H1160" s="16" t="s">
        <v>274</v>
      </c>
      <c r="I1160" s="10">
        <f t="shared" si="328"/>
        <v>428.57142857142856</v>
      </c>
      <c r="J1160" s="16"/>
      <c r="K1160" s="15">
        <v>1</v>
      </c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428.57142857142856</v>
      </c>
    </row>
    <row r="1161" spans="2:19" outlineLevel="1">
      <c r="B1161" s="13" t="s">
        <v>87</v>
      </c>
      <c r="C1161" s="7" t="str">
        <f t="shared" si="320"/>
        <v>CAÇAMBA VOLVO 270 PL PIZ 3i14 POTY</v>
      </c>
      <c r="D1161" s="8">
        <f>D1093</f>
        <v>46106</v>
      </c>
      <c r="E1161" s="15"/>
      <c r="F1161" s="15"/>
      <c r="G1161" s="15">
        <f t="shared" si="321"/>
        <v>0</v>
      </c>
      <c r="H1161" s="16" t="s">
        <v>274</v>
      </c>
      <c r="I1161" s="10">
        <f t="shared" si="328"/>
        <v>428.57142857142856</v>
      </c>
      <c r="J1161" s="16"/>
      <c r="K1161" s="15">
        <v>1</v>
      </c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428.57142857142856</v>
      </c>
    </row>
    <row r="1162" spans="2:19" outlineLevel="1">
      <c r="B1162" s="13" t="s">
        <v>87</v>
      </c>
      <c r="C1162" s="7" t="str">
        <f t="shared" si="320"/>
        <v>CAÇAMBA VOLVO 270 PL PIZ 3i14 POTY</v>
      </c>
      <c r="D1162" s="8">
        <f>D1094</f>
        <v>46107</v>
      </c>
      <c r="E1162" s="15"/>
      <c r="F1162" s="15"/>
      <c r="G1162" s="15">
        <f t="shared" si="321"/>
        <v>0</v>
      </c>
      <c r="H1162" s="16" t="s">
        <v>274</v>
      </c>
      <c r="I1162" s="10">
        <f t="shared" si="328"/>
        <v>428.57142857142856</v>
      </c>
      <c r="J1162" s="16"/>
      <c r="K1162" s="15">
        <v>1</v>
      </c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428.57142857142856</v>
      </c>
    </row>
    <row r="1163" spans="2:19" outlineLevel="1">
      <c r="B1163" s="13" t="s">
        <v>87</v>
      </c>
      <c r="C1163" s="7" t="str">
        <f t="shared" si="320"/>
        <v>CAÇAMBA VOLVO 270 PL PIZ 3i14 POTY</v>
      </c>
      <c r="D1163" s="8">
        <f>D1095</f>
        <v>46108</v>
      </c>
      <c r="E1163" s="15"/>
      <c r="F1163" s="15"/>
      <c r="G1163" s="15">
        <f t="shared" si="321"/>
        <v>0</v>
      </c>
      <c r="H1163" s="16" t="s">
        <v>274</v>
      </c>
      <c r="I1163" s="10">
        <f t="shared" si="328"/>
        <v>428.57142857142856</v>
      </c>
      <c r="J1163" s="16" t="s">
        <v>16</v>
      </c>
      <c r="K1163" s="15"/>
      <c r="L1163" s="15"/>
      <c r="M1163" s="17"/>
      <c r="N1163" s="9"/>
      <c r="O1163" s="18">
        <f t="shared" si="327"/>
        <v>0</v>
      </c>
      <c r="P1163" s="9"/>
      <c r="Q1163" s="9"/>
      <c r="R1163" s="72"/>
      <c r="S1163" s="10">
        <f t="shared" si="325"/>
        <v>428.57142857142856</v>
      </c>
    </row>
    <row r="1164" spans="2:19" outlineLevel="1">
      <c r="B1164" s="13" t="s">
        <v>87</v>
      </c>
      <c r="C1164" s="7" t="str">
        <f t="shared" si="320"/>
        <v>CAÇAMBA VOLVO 270 PL PIZ 3i14 POTY</v>
      </c>
      <c r="D1164" s="8">
        <f t="shared" ref="D1164" si="329">D1096</f>
        <v>46109</v>
      </c>
      <c r="E1164" s="15"/>
      <c r="F1164" s="15"/>
      <c r="G1164" s="15">
        <f t="shared" ref="G1164:G1166" si="330">F1164-E1164</f>
        <v>0</v>
      </c>
      <c r="H1164" s="16" t="s">
        <v>201</v>
      </c>
      <c r="I1164" s="10"/>
      <c r="J1164" s="16"/>
      <c r="K1164" s="15">
        <v>1</v>
      </c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31">SUM(R1164+Q1164+I1164)</f>
        <v>0</v>
      </c>
    </row>
    <row r="1165" spans="2:19" outlineLevel="1">
      <c r="B1165" s="13" t="s">
        <v>87</v>
      </c>
      <c r="C1165" s="7" t="str">
        <f t="shared" si="320"/>
        <v>CAÇAMBA VOLVO 270 PL PIZ 3i14 POTY</v>
      </c>
      <c r="D1165" s="8">
        <f t="shared" ref="D1165:D1167" si="332">D1097</f>
        <v>46110</v>
      </c>
      <c r="E1165" s="15"/>
      <c r="F1165" s="15"/>
      <c r="G1165" s="15">
        <f t="shared" si="330"/>
        <v>0</v>
      </c>
      <c r="H1165" s="16" t="s">
        <v>201</v>
      </c>
      <c r="I1165" s="10"/>
      <c r="J1165" s="16"/>
      <c r="K1165" s="15">
        <v>1</v>
      </c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1"/>
        <v>0</v>
      </c>
    </row>
    <row r="1166" spans="2:19" outlineLevel="1">
      <c r="B1166" s="13" t="s">
        <v>87</v>
      </c>
      <c r="C1166" s="7" t="str">
        <f t="shared" si="320"/>
        <v>CAÇAMBA VOLVO 270 PL PIZ 3i14 POTY</v>
      </c>
      <c r="D1166" s="8">
        <f t="shared" si="332"/>
        <v>46111</v>
      </c>
      <c r="E1166" s="15"/>
      <c r="F1166" s="15"/>
      <c r="G1166" s="15">
        <f t="shared" si="330"/>
        <v>0</v>
      </c>
      <c r="H1166" s="16" t="s">
        <v>201</v>
      </c>
      <c r="I1166" s="10"/>
      <c r="J1166" s="16"/>
      <c r="K1166" s="15">
        <v>1</v>
      </c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31"/>
        <v>0</v>
      </c>
    </row>
    <row r="1167" spans="2:19" outlineLevel="1">
      <c r="B1167" s="13" t="s">
        <v>87</v>
      </c>
      <c r="C1167" s="7" t="str">
        <f t="shared" si="320"/>
        <v>CAÇAMBA VOLVO 270 PL PIZ 3i14 POTY</v>
      </c>
      <c r="D1167" s="8">
        <f t="shared" si="332"/>
        <v>46112</v>
      </c>
      <c r="E1167" s="15"/>
      <c r="F1167" s="15"/>
      <c r="G1167" s="15">
        <f t="shared" si="321"/>
        <v>0</v>
      </c>
      <c r="H1167" s="16" t="s">
        <v>201</v>
      </c>
      <c r="I1167" s="10"/>
      <c r="J1167" s="16"/>
      <c r="K1167" s="15">
        <v>1</v>
      </c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5"/>
        <v>0</v>
      </c>
    </row>
    <row r="1168" spans="2:19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5" t="str">
        <f>M$1</f>
        <v>BM JANEIRO 2026</v>
      </c>
      <c r="N1169" s="135"/>
      <c r="O1169" s="135"/>
      <c r="P1169" s="19" t="s">
        <v>10</v>
      </c>
      <c r="Q1169" s="136" t="s">
        <v>209</v>
      </c>
      <c r="R1169" s="136"/>
      <c r="S1169" s="136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outlineLevel="1">
      <c r="B1171" s="68" t="s">
        <v>89</v>
      </c>
      <c r="C1171" s="7" t="str">
        <f>C$1169</f>
        <v>CAÇAMBA IVECO 28260 PL PIG 5304 POTY</v>
      </c>
      <c r="D1171" s="8">
        <f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400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O1171/30</f>
        <v>400</v>
      </c>
      <c r="Q1171" s="9"/>
      <c r="R1171" s="9"/>
      <c r="S1171" s="10">
        <f>SUM(R1171+Q1171+I1171)</f>
        <v>400</v>
      </c>
    </row>
    <row r="1172" spans="2:19" outlineLevel="1">
      <c r="B1172" s="12" t="s">
        <v>0</v>
      </c>
      <c r="C1172" s="7" t="str">
        <f t="shared" ref="C1172:C1201" si="333">C$1169</f>
        <v>CAÇAMBA IVECO 28260 PL PIG 5304 POTY</v>
      </c>
      <c r="D1172" s="8">
        <f>D1104</f>
        <v>46083</v>
      </c>
      <c r="E1172" s="15"/>
      <c r="F1172" s="15"/>
      <c r="G1172" s="15">
        <f t="shared" ref="G1172:G1201" si="334">F1172-E1172</f>
        <v>0</v>
      </c>
      <c r="H1172" s="16" t="s">
        <v>6</v>
      </c>
      <c r="I1172" s="10">
        <f>I1171</f>
        <v>400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35">SUM(R1172+Q1172+I1172)</f>
        <v>400</v>
      </c>
    </row>
    <row r="1173" spans="2:19" outlineLevel="1">
      <c r="B1173" s="13" t="s">
        <v>89</v>
      </c>
      <c r="C1173" s="7" t="str">
        <f t="shared" si="333"/>
        <v>CAÇAMBA IVECO 28260 PL PIG 5304 POTY</v>
      </c>
      <c r="D1173" s="8">
        <f>D1105</f>
        <v>46084</v>
      </c>
      <c r="E1173" s="15"/>
      <c r="F1173" s="15"/>
      <c r="G1173" s="15">
        <f t="shared" si="334"/>
        <v>0</v>
      </c>
      <c r="H1173" s="16" t="s">
        <v>6</v>
      </c>
      <c r="I1173" s="10">
        <f t="shared" ref="I1173:I1197" si="336">I1172</f>
        <v>400</v>
      </c>
      <c r="J1173" s="16" t="s">
        <v>204</v>
      </c>
      <c r="K1173" s="15"/>
      <c r="L1173" s="15"/>
      <c r="M1173" s="17"/>
      <c r="N1173" s="8"/>
      <c r="O1173" s="18">
        <f t="shared" ref="O1173:O1197" si="337">O1172</f>
        <v>12000</v>
      </c>
      <c r="P1173" s="9"/>
      <c r="Q1173" s="9"/>
      <c r="R1173" s="9"/>
      <c r="S1173" s="10">
        <f t="shared" si="335"/>
        <v>400</v>
      </c>
    </row>
    <row r="1174" spans="2:19" outlineLevel="1">
      <c r="B1174" s="13" t="s">
        <v>89</v>
      </c>
      <c r="C1174" s="7" t="str">
        <f t="shared" si="333"/>
        <v>CAÇAMBA IVECO 28260 PL PIG 5304 POTY</v>
      </c>
      <c r="D1174" s="8">
        <f>D1106</f>
        <v>46085</v>
      </c>
      <c r="E1174" s="15"/>
      <c r="F1174" s="15"/>
      <c r="G1174" s="15">
        <f t="shared" si="334"/>
        <v>0</v>
      </c>
      <c r="H1174" s="16" t="s">
        <v>6</v>
      </c>
      <c r="I1174" s="10">
        <f t="shared" si="336"/>
        <v>400</v>
      </c>
      <c r="J1174" s="16" t="s">
        <v>204</v>
      </c>
      <c r="K1174" s="15"/>
      <c r="L1174" s="15"/>
      <c r="M1174" s="17"/>
      <c r="N1174" s="8"/>
      <c r="O1174" s="18">
        <f t="shared" si="337"/>
        <v>12000</v>
      </c>
      <c r="P1174" s="9"/>
      <c r="Q1174" s="9"/>
      <c r="R1174" s="9"/>
      <c r="S1174" s="10">
        <f t="shared" si="335"/>
        <v>400</v>
      </c>
    </row>
    <row r="1175" spans="2:19" outlineLevel="1">
      <c r="B1175" s="13" t="s">
        <v>89</v>
      </c>
      <c r="C1175" s="7" t="str">
        <f t="shared" si="333"/>
        <v>CAÇAMBA IVECO 28260 PL PIG 5304 POTY</v>
      </c>
      <c r="D1175" s="8">
        <f>D1107</f>
        <v>46086</v>
      </c>
      <c r="E1175" s="15"/>
      <c r="F1175" s="15"/>
      <c r="G1175" s="15">
        <f t="shared" si="334"/>
        <v>0</v>
      </c>
      <c r="H1175" s="16" t="s">
        <v>6</v>
      </c>
      <c r="I1175" s="10">
        <f t="shared" si="336"/>
        <v>400</v>
      </c>
      <c r="J1175" s="16" t="s">
        <v>204</v>
      </c>
      <c r="K1175" s="15"/>
      <c r="L1175" s="15"/>
      <c r="M1175" s="17"/>
      <c r="N1175" s="8"/>
      <c r="O1175" s="18">
        <f t="shared" si="337"/>
        <v>12000</v>
      </c>
      <c r="P1175" s="9"/>
      <c r="Q1175" s="9"/>
      <c r="R1175" s="9"/>
      <c r="S1175" s="10">
        <f t="shared" si="335"/>
        <v>400</v>
      </c>
    </row>
    <row r="1176" spans="2:19" outlineLevel="1">
      <c r="B1176" s="13" t="s">
        <v>89</v>
      </c>
      <c r="C1176" s="7" t="str">
        <f t="shared" si="333"/>
        <v>CAÇAMBA IVECO 28260 PL PIG 5304 POTY</v>
      </c>
      <c r="D1176" s="8">
        <f>D1108</f>
        <v>46087</v>
      </c>
      <c r="E1176" s="15"/>
      <c r="F1176" s="15"/>
      <c r="G1176" s="15">
        <f t="shared" si="334"/>
        <v>0</v>
      </c>
      <c r="H1176" s="16" t="s">
        <v>6</v>
      </c>
      <c r="I1176" s="10">
        <f t="shared" si="336"/>
        <v>400</v>
      </c>
      <c r="J1176" s="16" t="s">
        <v>204</v>
      </c>
      <c r="K1176" s="15"/>
      <c r="L1176" s="15"/>
      <c r="M1176" s="17"/>
      <c r="N1176" s="8"/>
      <c r="O1176" s="18">
        <f t="shared" si="337"/>
        <v>12000</v>
      </c>
      <c r="P1176" s="9"/>
      <c r="Q1176" s="9"/>
      <c r="R1176" s="9"/>
      <c r="S1176" s="10">
        <f t="shared" si="335"/>
        <v>400</v>
      </c>
    </row>
    <row r="1177" spans="2:19" outlineLevel="1">
      <c r="B1177" s="13" t="s">
        <v>89</v>
      </c>
      <c r="C1177" s="7" t="str">
        <f t="shared" si="333"/>
        <v>CAÇAMBA IVECO 28260 PL PIG 5304 POTY</v>
      </c>
      <c r="D1177" s="8">
        <f>D1109</f>
        <v>46088</v>
      </c>
      <c r="E1177" s="15"/>
      <c r="F1177" s="15"/>
      <c r="G1177" s="15">
        <f t="shared" si="334"/>
        <v>0</v>
      </c>
      <c r="H1177" s="16" t="s">
        <v>6</v>
      </c>
      <c r="I1177" s="10">
        <f t="shared" si="336"/>
        <v>400</v>
      </c>
      <c r="J1177" s="16" t="s">
        <v>204</v>
      </c>
      <c r="K1177" s="15"/>
      <c r="L1177" s="15"/>
      <c r="M1177" s="17"/>
      <c r="N1177" s="8"/>
      <c r="O1177" s="18">
        <f t="shared" si="337"/>
        <v>12000</v>
      </c>
      <c r="P1177" s="9"/>
      <c r="Q1177" s="9"/>
      <c r="R1177" s="9"/>
      <c r="S1177" s="10">
        <f t="shared" si="335"/>
        <v>400</v>
      </c>
    </row>
    <row r="1178" spans="2:19" outlineLevel="1">
      <c r="B1178" s="13" t="s">
        <v>89</v>
      </c>
      <c r="C1178" s="7" t="str">
        <f t="shared" si="333"/>
        <v>CAÇAMBA IVECO 28260 PL PIG 5304 POTY</v>
      </c>
      <c r="D1178" s="8">
        <f>D1110</f>
        <v>46089</v>
      </c>
      <c r="E1178" s="15"/>
      <c r="F1178" s="15"/>
      <c r="G1178" s="15">
        <f t="shared" si="334"/>
        <v>0</v>
      </c>
      <c r="H1178" s="16" t="s">
        <v>6</v>
      </c>
      <c r="I1178" s="10">
        <f t="shared" si="336"/>
        <v>400</v>
      </c>
      <c r="J1178" s="16" t="s">
        <v>204</v>
      </c>
      <c r="K1178" s="15"/>
      <c r="L1178" s="15"/>
      <c r="M1178" s="17"/>
      <c r="N1178" s="8"/>
      <c r="O1178" s="18">
        <f t="shared" si="337"/>
        <v>12000</v>
      </c>
      <c r="P1178" s="9"/>
      <c r="Q1178" s="9"/>
      <c r="R1178" s="9"/>
      <c r="S1178" s="10">
        <f t="shared" si="335"/>
        <v>400</v>
      </c>
    </row>
    <row r="1179" spans="2:19" outlineLevel="1">
      <c r="B1179" s="13" t="s">
        <v>89</v>
      </c>
      <c r="C1179" s="7" t="str">
        <f t="shared" si="333"/>
        <v>CAÇAMBA IVECO 28260 PL PIG 5304 POTY</v>
      </c>
      <c r="D1179" s="8">
        <f>D1111</f>
        <v>46090</v>
      </c>
      <c r="E1179" s="15"/>
      <c r="F1179" s="15"/>
      <c r="G1179" s="15">
        <f t="shared" si="334"/>
        <v>0</v>
      </c>
      <c r="H1179" s="16" t="s">
        <v>6</v>
      </c>
      <c r="I1179" s="10">
        <f t="shared" si="336"/>
        <v>400</v>
      </c>
      <c r="J1179" s="16" t="s">
        <v>204</v>
      </c>
      <c r="K1179" s="15"/>
      <c r="L1179" s="15"/>
      <c r="M1179" s="17"/>
      <c r="N1179" s="8"/>
      <c r="O1179" s="18">
        <f t="shared" si="337"/>
        <v>12000</v>
      </c>
      <c r="P1179" s="9"/>
      <c r="Q1179" s="9"/>
      <c r="R1179" s="9"/>
      <c r="S1179" s="10">
        <f t="shared" si="335"/>
        <v>400</v>
      </c>
    </row>
    <row r="1180" spans="2:19" outlineLevel="1">
      <c r="B1180" s="13" t="s">
        <v>89</v>
      </c>
      <c r="C1180" s="7" t="str">
        <f t="shared" si="333"/>
        <v>CAÇAMBA IVECO 28260 PL PIG 5304 POTY</v>
      </c>
      <c r="D1180" s="8">
        <f>D1112</f>
        <v>46091</v>
      </c>
      <c r="E1180" s="15"/>
      <c r="F1180" s="15"/>
      <c r="G1180" s="15">
        <f t="shared" si="334"/>
        <v>0</v>
      </c>
      <c r="H1180" s="16" t="s">
        <v>6</v>
      </c>
      <c r="I1180" s="10">
        <f t="shared" si="336"/>
        <v>400</v>
      </c>
      <c r="J1180" s="16" t="s">
        <v>204</v>
      </c>
      <c r="K1180" s="15"/>
      <c r="L1180" s="15"/>
      <c r="M1180" s="17"/>
      <c r="N1180" s="8"/>
      <c r="O1180" s="18">
        <f t="shared" si="337"/>
        <v>12000</v>
      </c>
      <c r="P1180" s="9"/>
      <c r="Q1180" s="9"/>
      <c r="R1180" s="9"/>
      <c r="S1180" s="10">
        <f t="shared" si="335"/>
        <v>400</v>
      </c>
    </row>
    <row r="1181" spans="2:19" outlineLevel="1">
      <c r="B1181" s="13" t="s">
        <v>89</v>
      </c>
      <c r="C1181" s="7" t="str">
        <f t="shared" si="333"/>
        <v>CAÇAMBA IVECO 28260 PL PIG 5304 POTY</v>
      </c>
      <c r="D1181" s="8">
        <f>D1113</f>
        <v>46092</v>
      </c>
      <c r="E1181" s="15"/>
      <c r="F1181" s="15"/>
      <c r="G1181" s="15">
        <f t="shared" si="334"/>
        <v>0</v>
      </c>
      <c r="H1181" s="16" t="s">
        <v>6</v>
      </c>
      <c r="I1181" s="10">
        <f t="shared" si="336"/>
        <v>400</v>
      </c>
      <c r="J1181" s="16" t="s">
        <v>204</v>
      </c>
      <c r="K1181" s="15"/>
      <c r="L1181" s="15"/>
      <c r="M1181" s="17"/>
      <c r="N1181" s="8"/>
      <c r="O1181" s="18">
        <f t="shared" si="337"/>
        <v>12000</v>
      </c>
      <c r="P1181" s="9"/>
      <c r="Q1181" s="9"/>
      <c r="R1181" s="9"/>
      <c r="S1181" s="10">
        <f t="shared" si="335"/>
        <v>400</v>
      </c>
    </row>
    <row r="1182" spans="2:19" outlineLevel="1">
      <c r="B1182" s="13" t="s">
        <v>89</v>
      </c>
      <c r="C1182" s="7" t="str">
        <f t="shared" si="333"/>
        <v>CAÇAMBA IVECO 28260 PL PIG 5304 POTY</v>
      </c>
      <c r="D1182" s="8">
        <f>D1114</f>
        <v>46093</v>
      </c>
      <c r="E1182" s="15"/>
      <c r="F1182" s="15"/>
      <c r="G1182" s="15">
        <f t="shared" si="334"/>
        <v>0</v>
      </c>
      <c r="H1182" s="16" t="s">
        <v>6</v>
      </c>
      <c r="I1182" s="10">
        <f t="shared" si="336"/>
        <v>400</v>
      </c>
      <c r="J1182" s="16" t="s">
        <v>204</v>
      </c>
      <c r="K1182" s="15"/>
      <c r="L1182" s="15"/>
      <c r="M1182" s="17"/>
      <c r="N1182" s="8"/>
      <c r="O1182" s="18">
        <f t="shared" si="337"/>
        <v>12000</v>
      </c>
      <c r="P1182" s="9"/>
      <c r="Q1182" s="9"/>
      <c r="R1182" s="9"/>
      <c r="S1182" s="10">
        <f t="shared" si="335"/>
        <v>400</v>
      </c>
    </row>
    <row r="1183" spans="2:19" outlineLevel="1">
      <c r="B1183" s="13" t="s">
        <v>89</v>
      </c>
      <c r="C1183" s="7" t="str">
        <f t="shared" si="333"/>
        <v>CAÇAMBA IVECO 28260 PL PIG 5304 POTY</v>
      </c>
      <c r="D1183" s="8">
        <f>D1115</f>
        <v>46094</v>
      </c>
      <c r="E1183" s="15"/>
      <c r="F1183" s="15"/>
      <c r="G1183" s="15">
        <f t="shared" si="334"/>
        <v>0</v>
      </c>
      <c r="H1183" s="16" t="s">
        <v>6</v>
      </c>
      <c r="I1183" s="10">
        <f t="shared" si="336"/>
        <v>400</v>
      </c>
      <c r="J1183" s="16" t="s">
        <v>204</v>
      </c>
      <c r="K1183" s="15"/>
      <c r="L1183" s="15"/>
      <c r="M1183" s="17"/>
      <c r="N1183" s="8"/>
      <c r="O1183" s="18">
        <f t="shared" si="337"/>
        <v>12000</v>
      </c>
      <c r="P1183" s="9"/>
      <c r="Q1183" s="9"/>
      <c r="R1183" s="9"/>
      <c r="S1183" s="10">
        <f t="shared" si="335"/>
        <v>400</v>
      </c>
    </row>
    <row r="1184" spans="2:19" outlineLevel="1">
      <c r="B1184" s="13" t="s">
        <v>89</v>
      </c>
      <c r="C1184" s="7" t="str">
        <f t="shared" si="333"/>
        <v>CAÇAMBA IVECO 28260 PL PIG 5304 POTY</v>
      </c>
      <c r="D1184" s="8">
        <f>D1116</f>
        <v>46095</v>
      </c>
      <c r="E1184" s="15"/>
      <c r="F1184" s="15"/>
      <c r="G1184" s="15">
        <f t="shared" si="334"/>
        <v>0</v>
      </c>
      <c r="H1184" s="16" t="s">
        <v>6</v>
      </c>
      <c r="I1184" s="10">
        <f t="shared" si="336"/>
        <v>400</v>
      </c>
      <c r="J1184" s="16" t="s">
        <v>204</v>
      </c>
      <c r="K1184" s="15"/>
      <c r="L1184" s="15"/>
      <c r="M1184" s="17"/>
      <c r="N1184" s="8"/>
      <c r="O1184" s="18">
        <f t="shared" si="337"/>
        <v>12000</v>
      </c>
      <c r="P1184" s="9"/>
      <c r="Q1184" s="9"/>
      <c r="R1184" s="9"/>
      <c r="S1184" s="10">
        <f t="shared" si="335"/>
        <v>400</v>
      </c>
    </row>
    <row r="1185" spans="2:19" outlineLevel="1">
      <c r="B1185" s="13" t="s">
        <v>89</v>
      </c>
      <c r="C1185" s="7" t="str">
        <f t="shared" si="333"/>
        <v>CAÇAMBA IVECO 28260 PL PIG 5304 POTY</v>
      </c>
      <c r="D1185" s="8">
        <f>D1117</f>
        <v>46096</v>
      </c>
      <c r="E1185" s="15"/>
      <c r="F1185" s="15"/>
      <c r="G1185" s="15">
        <f t="shared" si="334"/>
        <v>0</v>
      </c>
      <c r="H1185" s="16" t="s">
        <v>6</v>
      </c>
      <c r="I1185" s="10">
        <f t="shared" si="336"/>
        <v>400</v>
      </c>
      <c r="J1185" s="16" t="s">
        <v>204</v>
      </c>
      <c r="K1185" s="15"/>
      <c r="L1185" s="15"/>
      <c r="M1185" s="17"/>
      <c r="N1185" s="8"/>
      <c r="O1185" s="18">
        <f t="shared" si="337"/>
        <v>12000</v>
      </c>
      <c r="P1185" s="9"/>
      <c r="Q1185" s="9"/>
      <c r="R1185" s="9"/>
      <c r="S1185" s="10">
        <f t="shared" si="335"/>
        <v>400</v>
      </c>
    </row>
    <row r="1186" spans="2:19" outlineLevel="1">
      <c r="B1186" s="13" t="s">
        <v>89</v>
      </c>
      <c r="C1186" s="7" t="str">
        <f t="shared" si="333"/>
        <v>CAÇAMBA IVECO 28260 PL PIG 5304 POTY</v>
      </c>
      <c r="D1186" s="8">
        <f>D1118</f>
        <v>46097</v>
      </c>
      <c r="E1186" s="15"/>
      <c r="F1186" s="15"/>
      <c r="G1186" s="15">
        <f t="shared" si="334"/>
        <v>0</v>
      </c>
      <c r="H1186" s="16" t="s">
        <v>6</v>
      </c>
      <c r="I1186" s="10">
        <f t="shared" si="336"/>
        <v>400</v>
      </c>
      <c r="J1186" s="16" t="s">
        <v>204</v>
      </c>
      <c r="K1186" s="15"/>
      <c r="L1186" s="15"/>
      <c r="M1186" s="17"/>
      <c r="N1186" s="8"/>
      <c r="O1186" s="18">
        <f t="shared" si="337"/>
        <v>12000</v>
      </c>
      <c r="P1186" s="9"/>
      <c r="Q1186" s="9"/>
      <c r="R1186" s="9"/>
      <c r="S1186" s="10">
        <f t="shared" si="335"/>
        <v>400</v>
      </c>
    </row>
    <row r="1187" spans="2:19" outlineLevel="1">
      <c r="B1187" s="13" t="s">
        <v>89</v>
      </c>
      <c r="C1187" s="7" t="str">
        <f t="shared" si="333"/>
        <v>CAÇAMBA IVECO 28260 PL PIG 5304 POTY</v>
      </c>
      <c r="D1187" s="8">
        <f>D1119</f>
        <v>46098</v>
      </c>
      <c r="E1187" s="15"/>
      <c r="F1187" s="15"/>
      <c r="G1187" s="15">
        <f t="shared" si="334"/>
        <v>0</v>
      </c>
      <c r="H1187" s="16" t="s">
        <v>6</v>
      </c>
      <c r="I1187" s="10">
        <f t="shared" si="336"/>
        <v>400</v>
      </c>
      <c r="J1187" s="16" t="s">
        <v>204</v>
      </c>
      <c r="K1187" s="15"/>
      <c r="L1187" s="15"/>
      <c r="M1187" s="17"/>
      <c r="N1187" s="8"/>
      <c r="O1187" s="18">
        <f t="shared" si="337"/>
        <v>12000</v>
      </c>
      <c r="P1187" s="9"/>
      <c r="Q1187" s="9"/>
      <c r="R1187" s="9"/>
      <c r="S1187" s="10">
        <f t="shared" si="335"/>
        <v>400</v>
      </c>
    </row>
    <row r="1188" spans="2:19" outlineLevel="1">
      <c r="B1188" s="13" t="s">
        <v>89</v>
      </c>
      <c r="C1188" s="7" t="str">
        <f t="shared" si="333"/>
        <v>CAÇAMBA IVECO 28260 PL PIG 5304 POTY</v>
      </c>
      <c r="D1188" s="8">
        <f>D1120</f>
        <v>46099</v>
      </c>
      <c r="E1188" s="15"/>
      <c r="F1188" s="15"/>
      <c r="G1188" s="15">
        <f t="shared" si="334"/>
        <v>0</v>
      </c>
      <c r="H1188" s="16" t="s">
        <v>6</v>
      </c>
      <c r="I1188" s="10">
        <f t="shared" si="336"/>
        <v>400</v>
      </c>
      <c r="J1188" s="16" t="s">
        <v>204</v>
      </c>
      <c r="K1188" s="15"/>
      <c r="L1188" s="15"/>
      <c r="M1188" s="17"/>
      <c r="N1188" s="8"/>
      <c r="O1188" s="18">
        <f t="shared" si="337"/>
        <v>12000</v>
      </c>
      <c r="P1188" s="9"/>
      <c r="Q1188" s="9"/>
      <c r="R1188" s="9"/>
      <c r="S1188" s="10">
        <f t="shared" si="335"/>
        <v>400</v>
      </c>
    </row>
    <row r="1189" spans="2:19" outlineLevel="1">
      <c r="B1189" s="13" t="s">
        <v>89</v>
      </c>
      <c r="C1189" s="7" t="str">
        <f t="shared" si="333"/>
        <v>CAÇAMBA IVECO 28260 PL PIG 5304 POTY</v>
      </c>
      <c r="D1189" s="8">
        <f>D1121</f>
        <v>46100</v>
      </c>
      <c r="E1189" s="15"/>
      <c r="F1189" s="15"/>
      <c r="G1189" s="15">
        <f t="shared" si="334"/>
        <v>0</v>
      </c>
      <c r="H1189" s="16" t="s">
        <v>6</v>
      </c>
      <c r="I1189" s="10">
        <f t="shared" si="336"/>
        <v>400</v>
      </c>
      <c r="J1189" s="16" t="s">
        <v>204</v>
      </c>
      <c r="K1189" s="15"/>
      <c r="L1189" s="15"/>
      <c r="M1189" s="17"/>
      <c r="N1189" s="8"/>
      <c r="O1189" s="18">
        <f t="shared" si="337"/>
        <v>12000</v>
      </c>
      <c r="P1189" s="9"/>
      <c r="Q1189" s="9"/>
      <c r="R1189" s="9"/>
      <c r="S1189" s="10">
        <f t="shared" si="335"/>
        <v>400</v>
      </c>
    </row>
    <row r="1190" spans="2:19" outlineLevel="1">
      <c r="B1190" s="13" t="s">
        <v>89</v>
      </c>
      <c r="C1190" s="7" t="str">
        <f t="shared" si="333"/>
        <v>CAÇAMBA IVECO 28260 PL PIG 5304 POTY</v>
      </c>
      <c r="D1190" s="8">
        <f>D1122</f>
        <v>46101</v>
      </c>
      <c r="E1190" s="15"/>
      <c r="F1190" s="15"/>
      <c r="G1190" s="15">
        <f t="shared" si="334"/>
        <v>0</v>
      </c>
      <c r="H1190" s="16" t="s">
        <v>6</v>
      </c>
      <c r="I1190" s="10">
        <f t="shared" si="336"/>
        <v>400</v>
      </c>
      <c r="J1190" s="16" t="s">
        <v>204</v>
      </c>
      <c r="K1190" s="15"/>
      <c r="L1190" s="15"/>
      <c r="M1190" s="17"/>
      <c r="N1190" s="8"/>
      <c r="O1190" s="18">
        <f t="shared" si="337"/>
        <v>12000</v>
      </c>
      <c r="P1190" s="9"/>
      <c r="Q1190" s="9"/>
      <c r="R1190" s="9"/>
      <c r="S1190" s="10">
        <f t="shared" si="335"/>
        <v>400</v>
      </c>
    </row>
    <row r="1191" spans="2:19" outlineLevel="1">
      <c r="B1191" s="13" t="s">
        <v>89</v>
      </c>
      <c r="C1191" s="7" t="str">
        <f t="shared" si="333"/>
        <v>CAÇAMBA IVECO 28260 PL PIG 5304 POTY</v>
      </c>
      <c r="D1191" s="8">
        <f>D1123</f>
        <v>46102</v>
      </c>
      <c r="E1191" s="15"/>
      <c r="F1191" s="15"/>
      <c r="G1191" s="15">
        <f t="shared" si="334"/>
        <v>0</v>
      </c>
      <c r="H1191" s="16" t="s">
        <v>6</v>
      </c>
      <c r="I1191" s="10">
        <f t="shared" si="336"/>
        <v>400</v>
      </c>
      <c r="J1191" s="16" t="s">
        <v>204</v>
      </c>
      <c r="K1191" s="15"/>
      <c r="L1191" s="15"/>
      <c r="M1191" s="17"/>
      <c r="N1191" s="8"/>
      <c r="O1191" s="18">
        <f t="shared" si="337"/>
        <v>12000</v>
      </c>
      <c r="P1191" s="9"/>
      <c r="Q1191" s="9"/>
      <c r="R1191" s="9"/>
      <c r="S1191" s="10">
        <f t="shared" si="335"/>
        <v>400</v>
      </c>
    </row>
    <row r="1192" spans="2:19" outlineLevel="1">
      <c r="B1192" s="13" t="s">
        <v>89</v>
      </c>
      <c r="C1192" s="7" t="str">
        <f t="shared" si="333"/>
        <v>CAÇAMBA IVECO 28260 PL PIG 5304 POTY</v>
      </c>
      <c r="D1192" s="8">
        <f>D1124</f>
        <v>46103</v>
      </c>
      <c r="E1192" s="15"/>
      <c r="F1192" s="15"/>
      <c r="G1192" s="15">
        <f t="shared" si="334"/>
        <v>0</v>
      </c>
      <c r="H1192" s="16" t="s">
        <v>6</v>
      </c>
      <c r="I1192" s="10">
        <f t="shared" si="336"/>
        <v>400</v>
      </c>
      <c r="J1192" s="16" t="s">
        <v>204</v>
      </c>
      <c r="K1192" s="15"/>
      <c r="L1192" s="15"/>
      <c r="M1192" s="17"/>
      <c r="N1192" s="8"/>
      <c r="O1192" s="18">
        <f t="shared" si="337"/>
        <v>12000</v>
      </c>
      <c r="P1192" s="9"/>
      <c r="Q1192" s="9"/>
      <c r="R1192" s="9"/>
      <c r="S1192" s="10">
        <f t="shared" si="335"/>
        <v>400</v>
      </c>
    </row>
    <row r="1193" spans="2:19" outlineLevel="1">
      <c r="B1193" s="13" t="s">
        <v>89</v>
      </c>
      <c r="C1193" s="7" t="str">
        <f t="shared" si="333"/>
        <v>CAÇAMBA IVECO 28260 PL PIG 5304 POTY</v>
      </c>
      <c r="D1193" s="8">
        <f>D1125</f>
        <v>46104</v>
      </c>
      <c r="E1193" s="15"/>
      <c r="F1193" s="15"/>
      <c r="G1193" s="15">
        <f t="shared" si="334"/>
        <v>0</v>
      </c>
      <c r="H1193" s="16" t="s">
        <v>6</v>
      </c>
      <c r="I1193" s="10">
        <f t="shared" si="336"/>
        <v>400</v>
      </c>
      <c r="J1193" s="16" t="s">
        <v>204</v>
      </c>
      <c r="K1193" s="15"/>
      <c r="L1193" s="15"/>
      <c r="M1193" s="17"/>
      <c r="N1193" s="8"/>
      <c r="O1193" s="18">
        <f t="shared" si="337"/>
        <v>12000</v>
      </c>
      <c r="P1193" s="9"/>
      <c r="Q1193" s="9"/>
      <c r="R1193" s="9"/>
      <c r="S1193" s="10">
        <f t="shared" si="335"/>
        <v>400</v>
      </c>
    </row>
    <row r="1194" spans="2:19" outlineLevel="1">
      <c r="B1194" s="13" t="s">
        <v>89</v>
      </c>
      <c r="C1194" s="7" t="str">
        <f t="shared" si="333"/>
        <v>CAÇAMBA IVECO 28260 PL PIG 5304 POTY</v>
      </c>
      <c r="D1194" s="8">
        <f>D1126</f>
        <v>46105</v>
      </c>
      <c r="E1194" s="15"/>
      <c r="F1194" s="15"/>
      <c r="G1194" s="15">
        <f t="shared" si="334"/>
        <v>0</v>
      </c>
      <c r="H1194" s="16" t="s">
        <v>6</v>
      </c>
      <c r="I1194" s="10">
        <f t="shared" si="336"/>
        <v>400</v>
      </c>
      <c r="J1194" s="16" t="s">
        <v>204</v>
      </c>
      <c r="K1194" s="15"/>
      <c r="L1194" s="15"/>
      <c r="M1194" s="17"/>
      <c r="N1194" s="8"/>
      <c r="O1194" s="18">
        <f t="shared" si="337"/>
        <v>12000</v>
      </c>
      <c r="P1194" s="9"/>
      <c r="Q1194" s="9"/>
      <c r="R1194" s="9"/>
      <c r="S1194" s="10">
        <f t="shared" si="335"/>
        <v>400</v>
      </c>
    </row>
    <row r="1195" spans="2:19" outlineLevel="1">
      <c r="B1195" s="13" t="s">
        <v>89</v>
      </c>
      <c r="C1195" s="7" t="str">
        <f t="shared" si="333"/>
        <v>CAÇAMBA IVECO 28260 PL PIG 5304 POTY</v>
      </c>
      <c r="D1195" s="8">
        <f>D1127</f>
        <v>46106</v>
      </c>
      <c r="E1195" s="15"/>
      <c r="F1195" s="15"/>
      <c r="G1195" s="15">
        <f t="shared" si="334"/>
        <v>0</v>
      </c>
      <c r="H1195" s="16" t="s">
        <v>6</v>
      </c>
      <c r="I1195" s="10">
        <f t="shared" si="336"/>
        <v>400</v>
      </c>
      <c r="J1195" s="16" t="s">
        <v>204</v>
      </c>
      <c r="K1195" s="15"/>
      <c r="L1195" s="15"/>
      <c r="M1195" s="17"/>
      <c r="N1195" s="8"/>
      <c r="O1195" s="18">
        <f t="shared" si="337"/>
        <v>12000</v>
      </c>
      <c r="P1195" s="9"/>
      <c r="Q1195" s="9"/>
      <c r="R1195" s="9"/>
      <c r="S1195" s="10">
        <f t="shared" si="335"/>
        <v>400</v>
      </c>
    </row>
    <row r="1196" spans="2:19" outlineLevel="1">
      <c r="B1196" s="13" t="s">
        <v>89</v>
      </c>
      <c r="C1196" s="7" t="str">
        <f t="shared" si="333"/>
        <v>CAÇAMBA IVECO 28260 PL PIG 5304 POTY</v>
      </c>
      <c r="D1196" s="8">
        <f>D1128</f>
        <v>46107</v>
      </c>
      <c r="E1196" s="15"/>
      <c r="F1196" s="15"/>
      <c r="G1196" s="15">
        <f t="shared" si="334"/>
        <v>0</v>
      </c>
      <c r="H1196" s="16" t="s">
        <v>6</v>
      </c>
      <c r="I1196" s="10">
        <f t="shared" si="336"/>
        <v>400</v>
      </c>
      <c r="J1196" s="16" t="s">
        <v>204</v>
      </c>
      <c r="K1196" s="15"/>
      <c r="L1196" s="15"/>
      <c r="M1196" s="17"/>
      <c r="N1196" s="8"/>
      <c r="O1196" s="18">
        <f t="shared" si="337"/>
        <v>12000</v>
      </c>
      <c r="P1196" s="9"/>
      <c r="Q1196" s="9"/>
      <c r="R1196" s="9"/>
      <c r="S1196" s="10">
        <f t="shared" si="335"/>
        <v>400</v>
      </c>
    </row>
    <row r="1197" spans="2:19" outlineLevel="1">
      <c r="B1197" s="13" t="s">
        <v>89</v>
      </c>
      <c r="C1197" s="7" t="str">
        <f t="shared" si="333"/>
        <v>CAÇAMBA IVECO 28260 PL PIG 5304 POTY</v>
      </c>
      <c r="D1197" s="8">
        <f>D1129</f>
        <v>46108</v>
      </c>
      <c r="E1197" s="15"/>
      <c r="F1197" s="15"/>
      <c r="G1197" s="15">
        <f t="shared" si="334"/>
        <v>0</v>
      </c>
      <c r="H1197" s="16" t="s">
        <v>6</v>
      </c>
      <c r="I1197" s="10">
        <f t="shared" si="336"/>
        <v>400</v>
      </c>
      <c r="J1197" s="16" t="s">
        <v>204</v>
      </c>
      <c r="K1197" s="15"/>
      <c r="L1197" s="15"/>
      <c r="M1197" s="17"/>
      <c r="N1197" s="8"/>
      <c r="O1197" s="18">
        <f t="shared" si="337"/>
        <v>12000</v>
      </c>
      <c r="P1197" s="9"/>
      <c r="Q1197" s="9"/>
      <c r="R1197" s="9"/>
      <c r="S1197" s="10">
        <f t="shared" si="335"/>
        <v>400</v>
      </c>
    </row>
    <row r="1198" spans="2:19" outlineLevel="1">
      <c r="B1198" s="13" t="s">
        <v>89</v>
      </c>
      <c r="C1198" s="7" t="str">
        <f t="shared" si="333"/>
        <v>CAÇAMBA IVECO 28260 PL PIG 5304 POTY</v>
      </c>
      <c r="D1198" s="8">
        <f t="shared" ref="D1198" si="338">D1130</f>
        <v>46109</v>
      </c>
      <c r="E1198" s="15"/>
      <c r="F1198" s="15"/>
      <c r="G1198" s="15">
        <f t="shared" ref="G1198:G1200" si="339">F1198-E1198</f>
        <v>0</v>
      </c>
      <c r="H1198" s="16" t="s">
        <v>6</v>
      </c>
      <c r="I1198" s="10">
        <f>I1194</f>
        <v>400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40">SUM(R1198+Q1198+I1198)</f>
        <v>400</v>
      </c>
    </row>
    <row r="1199" spans="2:19" outlineLevel="1">
      <c r="B1199" s="13" t="s">
        <v>89</v>
      </c>
      <c r="C1199" s="7" t="str">
        <f t="shared" si="333"/>
        <v>CAÇAMBA IVECO 28260 PL PIG 5304 POTY</v>
      </c>
      <c r="D1199" s="8">
        <f t="shared" ref="D1199:D1201" si="341">D1131</f>
        <v>46110</v>
      </c>
      <c r="E1199" s="15"/>
      <c r="F1199" s="15"/>
      <c r="G1199" s="15">
        <f t="shared" si="339"/>
        <v>0</v>
      </c>
      <c r="H1199" s="16" t="s">
        <v>6</v>
      </c>
      <c r="I1199" s="10">
        <f>I1195</f>
        <v>400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0"/>
        <v>400</v>
      </c>
    </row>
    <row r="1200" spans="2:19" outlineLevel="1">
      <c r="B1200" s="13" t="s">
        <v>89</v>
      </c>
      <c r="C1200" s="7" t="str">
        <f t="shared" si="333"/>
        <v>CAÇAMBA IVECO 28260 PL PIG 5304 POTY</v>
      </c>
      <c r="D1200" s="8">
        <f t="shared" si="341"/>
        <v>46111</v>
      </c>
      <c r="E1200" s="15"/>
      <c r="F1200" s="15"/>
      <c r="G1200" s="15">
        <f t="shared" si="339"/>
        <v>0</v>
      </c>
      <c r="H1200" s="16" t="s">
        <v>6</v>
      </c>
      <c r="I1200" s="10">
        <f>I1196</f>
        <v>400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40"/>
        <v>400</v>
      </c>
    </row>
    <row r="1201" spans="2:19" outlineLevel="1">
      <c r="B1201" s="13" t="s">
        <v>89</v>
      </c>
      <c r="C1201" s="7" t="str">
        <f t="shared" si="333"/>
        <v>CAÇAMBA IVECO 28260 PL PIG 5304 POTY</v>
      </c>
      <c r="D1201" s="8">
        <f t="shared" si="341"/>
        <v>46112</v>
      </c>
      <c r="E1201" s="15"/>
      <c r="F1201" s="15"/>
      <c r="G1201" s="15">
        <f t="shared" si="334"/>
        <v>0</v>
      </c>
      <c r="H1201" s="16" t="s">
        <v>6</v>
      </c>
      <c r="I1201" s="10">
        <f>I1197</f>
        <v>400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35"/>
        <v>400</v>
      </c>
    </row>
    <row r="1202" spans="2:19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5" t="str">
        <f>M$1</f>
        <v>BM JANEIRO 2026</v>
      </c>
      <c r="N1203" s="135"/>
      <c r="O1203" s="135"/>
      <c r="P1203" s="19" t="s">
        <v>10</v>
      </c>
      <c r="Q1203" s="136" t="s">
        <v>199</v>
      </c>
      <c r="R1203" s="136"/>
      <c r="S1203" s="136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outlineLevel="1">
      <c r="B1205" s="11" t="s">
        <v>91</v>
      </c>
      <c r="C1205" s="7" t="str">
        <f>C$1203</f>
        <v>CAÇAMBA SCANEA 310 PL PIN 0144 POTY</v>
      </c>
      <c r="D1205" s="8">
        <f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400</v>
      </c>
      <c r="J1205" s="16"/>
      <c r="K1205" s="15"/>
      <c r="L1205" s="15"/>
      <c r="M1205" s="17"/>
      <c r="N1205" s="9"/>
      <c r="O1205" s="9">
        <v>12000</v>
      </c>
      <c r="P1205" s="9">
        <f>O1205/30</f>
        <v>400</v>
      </c>
      <c r="Q1205" s="9"/>
      <c r="R1205" s="9"/>
      <c r="S1205" s="10">
        <f>SUM(R1205+Q1205+I1205)</f>
        <v>400</v>
      </c>
    </row>
    <row r="1206" spans="2:19" outlineLevel="1">
      <c r="B1206" s="12" t="s">
        <v>0</v>
      </c>
      <c r="C1206" s="7" t="str">
        <f t="shared" ref="C1206:C1235" si="342">C$1203</f>
        <v>CAÇAMBA SCANEA 310 PL PIN 0144 POTY</v>
      </c>
      <c r="D1206" s="8">
        <f>D1138</f>
        <v>46083</v>
      </c>
      <c r="E1206" s="15"/>
      <c r="F1206" s="15"/>
      <c r="G1206" s="15">
        <f t="shared" ref="G1206:G1235" si="343">F1206-E1206</f>
        <v>0</v>
      </c>
      <c r="H1206" s="16" t="s">
        <v>235</v>
      </c>
      <c r="I1206" s="10">
        <f>I1205</f>
        <v>400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44">SUM(R1206+Q1206+I1206)</f>
        <v>400</v>
      </c>
    </row>
    <row r="1207" spans="2:19" outlineLevel="1">
      <c r="B1207" s="13" t="s">
        <v>91</v>
      </c>
      <c r="C1207" s="7" t="str">
        <f t="shared" si="342"/>
        <v>CAÇAMBA SCANEA 310 PL PIN 0144 POTY</v>
      </c>
      <c r="D1207" s="8">
        <f>D1139</f>
        <v>46084</v>
      </c>
      <c r="E1207" s="15"/>
      <c r="F1207" s="15"/>
      <c r="G1207" s="15">
        <f t="shared" si="343"/>
        <v>0</v>
      </c>
      <c r="H1207" s="16" t="s">
        <v>235</v>
      </c>
      <c r="I1207" s="10">
        <f t="shared" ref="I1207:I1231" si="345">I1206</f>
        <v>400</v>
      </c>
      <c r="J1207" s="16"/>
      <c r="K1207" s="15"/>
      <c r="L1207" s="15"/>
      <c r="M1207" s="17"/>
      <c r="N1207" s="9"/>
      <c r="O1207" s="18">
        <f t="shared" ref="O1207:O1231" si="346">O1206</f>
        <v>12000</v>
      </c>
      <c r="P1207" s="9"/>
      <c r="Q1207" s="9"/>
      <c r="R1207" s="9"/>
      <c r="S1207" s="10">
        <f t="shared" si="344"/>
        <v>400</v>
      </c>
    </row>
    <row r="1208" spans="2:19" outlineLevel="1">
      <c r="B1208" s="13" t="s">
        <v>91</v>
      </c>
      <c r="C1208" s="7" t="str">
        <f t="shared" si="342"/>
        <v>CAÇAMBA SCANEA 310 PL PIN 0144 POTY</v>
      </c>
      <c r="D1208" s="8">
        <f>D1140</f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45"/>
        <v>400</v>
      </c>
      <c r="J1208" s="16"/>
      <c r="K1208" s="15"/>
      <c r="L1208" s="15"/>
      <c r="M1208" s="17"/>
      <c r="N1208" s="9"/>
      <c r="O1208" s="18">
        <f t="shared" si="346"/>
        <v>12000</v>
      </c>
      <c r="P1208" s="9"/>
      <c r="Q1208" s="9"/>
      <c r="R1208" s="9"/>
      <c r="S1208" s="10">
        <f t="shared" si="344"/>
        <v>400</v>
      </c>
    </row>
    <row r="1209" spans="2:19" outlineLevel="1">
      <c r="B1209" s="13" t="s">
        <v>91</v>
      </c>
      <c r="C1209" s="7" t="str">
        <f t="shared" si="342"/>
        <v>CAÇAMBA SCANEA 310 PL PIN 0144 POTY</v>
      </c>
      <c r="D1209" s="8">
        <f>D1141</f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45"/>
        <v>400</v>
      </c>
      <c r="J1209" s="16"/>
      <c r="K1209" s="15"/>
      <c r="L1209" s="15"/>
      <c r="M1209" s="17"/>
      <c r="N1209" s="9"/>
      <c r="O1209" s="18">
        <f t="shared" si="346"/>
        <v>12000</v>
      </c>
      <c r="P1209" s="9"/>
      <c r="Q1209" s="9"/>
      <c r="R1209" s="9"/>
      <c r="S1209" s="10">
        <f t="shared" si="344"/>
        <v>400</v>
      </c>
    </row>
    <row r="1210" spans="2:19" outlineLevel="1">
      <c r="B1210" s="13" t="s">
        <v>91</v>
      </c>
      <c r="C1210" s="7" t="str">
        <f t="shared" si="342"/>
        <v>CAÇAMBA SCANEA 310 PL PIN 0144 POTY</v>
      </c>
      <c r="D1210" s="8">
        <f>D1142</f>
        <v>46087</v>
      </c>
      <c r="E1210" s="15"/>
      <c r="F1210" s="15"/>
      <c r="G1210" s="15">
        <f t="shared" si="343"/>
        <v>0</v>
      </c>
      <c r="H1210" s="16" t="s">
        <v>235</v>
      </c>
      <c r="I1210" s="10">
        <f t="shared" si="345"/>
        <v>400</v>
      </c>
      <c r="J1210" s="16"/>
      <c r="K1210" s="15"/>
      <c r="L1210" s="15"/>
      <c r="M1210" s="17"/>
      <c r="N1210" s="9"/>
      <c r="O1210" s="18">
        <f t="shared" si="346"/>
        <v>12000</v>
      </c>
      <c r="P1210" s="9"/>
      <c r="Q1210" s="9"/>
      <c r="R1210" s="9"/>
      <c r="S1210" s="10">
        <f t="shared" si="344"/>
        <v>400</v>
      </c>
    </row>
    <row r="1211" spans="2:19" outlineLevel="1">
      <c r="B1211" s="13" t="s">
        <v>91</v>
      </c>
      <c r="C1211" s="7" t="str">
        <f t="shared" si="342"/>
        <v>CAÇAMBA SCANEA 310 PL PIN 0144 POTY</v>
      </c>
      <c r="D1211" s="8">
        <f>D1143</f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45"/>
        <v>400</v>
      </c>
      <c r="J1211" s="16"/>
      <c r="K1211" s="15"/>
      <c r="L1211" s="15"/>
      <c r="M1211" s="17"/>
      <c r="N1211" s="9"/>
      <c r="O1211" s="18">
        <f t="shared" si="346"/>
        <v>12000</v>
      </c>
      <c r="P1211" s="9"/>
      <c r="Q1211" s="9"/>
      <c r="R1211" s="9"/>
      <c r="S1211" s="10">
        <f t="shared" si="344"/>
        <v>400</v>
      </c>
    </row>
    <row r="1212" spans="2:19" outlineLevel="1">
      <c r="B1212" s="13" t="s">
        <v>91</v>
      </c>
      <c r="C1212" s="7" t="str">
        <f t="shared" si="342"/>
        <v>CAÇAMBA SCANEA 310 PL PIN 0144 POTY</v>
      </c>
      <c r="D1212" s="8">
        <f>D1144</f>
        <v>46089</v>
      </c>
      <c r="E1212" s="15"/>
      <c r="F1212" s="15"/>
      <c r="G1212" s="15">
        <f t="shared" si="343"/>
        <v>0</v>
      </c>
      <c r="H1212" s="16" t="s">
        <v>235</v>
      </c>
      <c r="I1212" s="10">
        <f t="shared" si="345"/>
        <v>400</v>
      </c>
      <c r="J1212" s="16"/>
      <c r="K1212" s="15"/>
      <c r="L1212" s="15"/>
      <c r="M1212" s="17"/>
      <c r="N1212" s="9"/>
      <c r="O1212" s="18">
        <f t="shared" si="346"/>
        <v>12000</v>
      </c>
      <c r="P1212" s="9"/>
      <c r="Q1212" s="9"/>
      <c r="R1212" s="9"/>
      <c r="S1212" s="10">
        <f t="shared" si="344"/>
        <v>400</v>
      </c>
    </row>
    <row r="1213" spans="2:19" outlineLevel="1">
      <c r="B1213" s="13" t="s">
        <v>91</v>
      </c>
      <c r="C1213" s="7" t="str">
        <f t="shared" si="342"/>
        <v>CAÇAMBA SCANEA 310 PL PIN 0144 POTY</v>
      </c>
      <c r="D1213" s="8">
        <f>D1145</f>
        <v>46090</v>
      </c>
      <c r="E1213" s="15"/>
      <c r="F1213" s="15"/>
      <c r="G1213" s="15">
        <f t="shared" si="343"/>
        <v>0</v>
      </c>
      <c r="H1213" s="16" t="s">
        <v>235</v>
      </c>
      <c r="I1213" s="10">
        <f t="shared" si="345"/>
        <v>400</v>
      </c>
      <c r="J1213" s="16"/>
      <c r="K1213" s="15"/>
      <c r="L1213" s="15"/>
      <c r="M1213" s="17"/>
      <c r="N1213" s="9"/>
      <c r="O1213" s="18">
        <f t="shared" si="346"/>
        <v>12000</v>
      </c>
      <c r="P1213" s="9"/>
      <c r="Q1213" s="9"/>
      <c r="R1213" s="9"/>
      <c r="S1213" s="10">
        <f t="shared" si="344"/>
        <v>400</v>
      </c>
    </row>
    <row r="1214" spans="2:19" outlineLevel="1">
      <c r="B1214" s="13" t="s">
        <v>91</v>
      </c>
      <c r="C1214" s="7" t="str">
        <f t="shared" si="342"/>
        <v>CAÇAMBA SCANEA 310 PL PIN 0144 POTY</v>
      </c>
      <c r="D1214" s="8">
        <f>D1146</f>
        <v>46091</v>
      </c>
      <c r="E1214" s="15"/>
      <c r="F1214" s="15"/>
      <c r="G1214" s="15">
        <f t="shared" si="343"/>
        <v>0</v>
      </c>
      <c r="H1214" s="16" t="s">
        <v>235</v>
      </c>
      <c r="I1214" s="10">
        <f t="shared" si="345"/>
        <v>400</v>
      </c>
      <c r="J1214" s="16"/>
      <c r="K1214" s="15"/>
      <c r="L1214" s="15"/>
      <c r="M1214" s="17"/>
      <c r="N1214" s="9"/>
      <c r="O1214" s="18">
        <f t="shared" si="346"/>
        <v>12000</v>
      </c>
      <c r="P1214" s="9"/>
      <c r="Q1214" s="9"/>
      <c r="R1214" s="9"/>
      <c r="S1214" s="10">
        <f t="shared" si="344"/>
        <v>400</v>
      </c>
    </row>
    <row r="1215" spans="2:19" outlineLevel="1">
      <c r="B1215" s="13" t="s">
        <v>91</v>
      </c>
      <c r="C1215" s="7" t="str">
        <f t="shared" si="342"/>
        <v>CAÇAMBA SCANEA 310 PL PIN 0144 POTY</v>
      </c>
      <c r="D1215" s="8">
        <f>D1147</f>
        <v>46092</v>
      </c>
      <c r="E1215" s="15"/>
      <c r="F1215" s="15"/>
      <c r="G1215" s="15">
        <f t="shared" si="343"/>
        <v>0</v>
      </c>
      <c r="H1215" s="16" t="s">
        <v>235</v>
      </c>
      <c r="I1215" s="10">
        <f t="shared" si="345"/>
        <v>400</v>
      </c>
      <c r="J1215" s="16"/>
      <c r="K1215" s="15"/>
      <c r="L1215" s="15"/>
      <c r="M1215" s="17"/>
      <c r="N1215" s="9"/>
      <c r="O1215" s="18">
        <f t="shared" si="346"/>
        <v>12000</v>
      </c>
      <c r="P1215" s="9"/>
      <c r="Q1215" s="9"/>
      <c r="R1215" s="9"/>
      <c r="S1215" s="10">
        <f t="shared" si="344"/>
        <v>400</v>
      </c>
    </row>
    <row r="1216" spans="2:19" outlineLevel="1">
      <c r="B1216" s="13" t="s">
        <v>91</v>
      </c>
      <c r="C1216" s="7" t="str">
        <f t="shared" si="342"/>
        <v>CAÇAMBA SCANEA 310 PL PIN 0144 POTY</v>
      </c>
      <c r="D1216" s="8">
        <f>D1148</f>
        <v>46093</v>
      </c>
      <c r="E1216" s="15"/>
      <c r="F1216" s="15"/>
      <c r="G1216" s="15">
        <f t="shared" si="343"/>
        <v>0</v>
      </c>
      <c r="H1216" s="16" t="s">
        <v>235</v>
      </c>
      <c r="I1216" s="10">
        <f t="shared" si="345"/>
        <v>400</v>
      </c>
      <c r="J1216" s="16"/>
      <c r="K1216" s="15"/>
      <c r="L1216" s="15"/>
      <c r="M1216" s="17"/>
      <c r="N1216" s="9"/>
      <c r="O1216" s="18">
        <f t="shared" si="346"/>
        <v>12000</v>
      </c>
      <c r="P1216" s="9"/>
      <c r="Q1216" s="9"/>
      <c r="R1216" s="9"/>
      <c r="S1216" s="10">
        <f t="shared" si="344"/>
        <v>400</v>
      </c>
    </row>
    <row r="1217" spans="2:19" outlineLevel="1">
      <c r="B1217" s="13" t="s">
        <v>91</v>
      </c>
      <c r="C1217" s="7" t="str">
        <f t="shared" si="342"/>
        <v>CAÇAMBA SCANEA 310 PL PIN 0144 POTY</v>
      </c>
      <c r="D1217" s="8">
        <f>D1149</f>
        <v>46094</v>
      </c>
      <c r="E1217" s="15"/>
      <c r="F1217" s="15"/>
      <c r="G1217" s="15">
        <f t="shared" si="343"/>
        <v>0</v>
      </c>
      <c r="H1217" s="16" t="s">
        <v>235</v>
      </c>
      <c r="I1217" s="10">
        <f t="shared" si="345"/>
        <v>400</v>
      </c>
      <c r="J1217" s="16"/>
      <c r="K1217" s="15"/>
      <c r="L1217" s="15"/>
      <c r="M1217" s="17"/>
      <c r="N1217" s="9"/>
      <c r="O1217" s="18">
        <f t="shared" si="346"/>
        <v>12000</v>
      </c>
      <c r="P1217" s="9"/>
      <c r="Q1217" s="9"/>
      <c r="R1217" s="9"/>
      <c r="S1217" s="10">
        <f t="shared" si="344"/>
        <v>400</v>
      </c>
    </row>
    <row r="1218" spans="2:19" outlineLevel="1">
      <c r="B1218" s="13" t="s">
        <v>91</v>
      </c>
      <c r="C1218" s="7" t="str">
        <f t="shared" si="342"/>
        <v>CAÇAMBA SCANEA 310 PL PIN 0144 POTY</v>
      </c>
      <c r="D1218" s="8">
        <f>D1150</f>
        <v>46095</v>
      </c>
      <c r="E1218" s="15"/>
      <c r="F1218" s="15"/>
      <c r="G1218" s="15">
        <f t="shared" si="343"/>
        <v>0</v>
      </c>
      <c r="H1218" s="16" t="s">
        <v>235</v>
      </c>
      <c r="I1218" s="10">
        <f t="shared" si="345"/>
        <v>400</v>
      </c>
      <c r="J1218" s="16"/>
      <c r="K1218" s="15"/>
      <c r="L1218" s="15"/>
      <c r="M1218" s="17"/>
      <c r="N1218" s="9"/>
      <c r="O1218" s="18">
        <f t="shared" si="346"/>
        <v>12000</v>
      </c>
      <c r="P1218" s="9"/>
      <c r="Q1218" s="9"/>
      <c r="R1218" s="9"/>
      <c r="S1218" s="10">
        <f t="shared" si="344"/>
        <v>400</v>
      </c>
    </row>
    <row r="1219" spans="2:19" outlineLevel="1">
      <c r="B1219" s="13" t="s">
        <v>91</v>
      </c>
      <c r="C1219" s="7" t="str">
        <f t="shared" si="342"/>
        <v>CAÇAMBA SCANEA 310 PL PIN 0144 POTY</v>
      </c>
      <c r="D1219" s="8">
        <f>D1151</f>
        <v>46096</v>
      </c>
      <c r="E1219" s="15"/>
      <c r="F1219" s="15"/>
      <c r="G1219" s="15">
        <f t="shared" si="343"/>
        <v>0</v>
      </c>
      <c r="H1219" s="16" t="s">
        <v>235</v>
      </c>
      <c r="I1219" s="10">
        <f t="shared" si="345"/>
        <v>400</v>
      </c>
      <c r="J1219" s="16"/>
      <c r="K1219" s="15"/>
      <c r="L1219" s="15"/>
      <c r="M1219" s="17"/>
      <c r="N1219" s="9"/>
      <c r="O1219" s="18">
        <f t="shared" si="346"/>
        <v>12000</v>
      </c>
      <c r="P1219" s="9"/>
      <c r="Q1219" s="9"/>
      <c r="R1219" s="9"/>
      <c r="S1219" s="10">
        <f t="shared" si="344"/>
        <v>400</v>
      </c>
    </row>
    <row r="1220" spans="2:19" outlineLevel="1">
      <c r="B1220" s="13" t="s">
        <v>91</v>
      </c>
      <c r="C1220" s="7" t="str">
        <f t="shared" si="342"/>
        <v>CAÇAMBA SCANEA 310 PL PIN 0144 POTY</v>
      </c>
      <c r="D1220" s="8">
        <f>D1152</f>
        <v>46097</v>
      </c>
      <c r="E1220" s="15"/>
      <c r="F1220" s="15"/>
      <c r="G1220" s="15">
        <f t="shared" si="343"/>
        <v>0</v>
      </c>
      <c r="H1220" s="16" t="s">
        <v>235</v>
      </c>
      <c r="I1220" s="10">
        <f t="shared" si="345"/>
        <v>400</v>
      </c>
      <c r="J1220" s="16"/>
      <c r="K1220" s="15"/>
      <c r="L1220" s="15"/>
      <c r="M1220" s="17"/>
      <c r="N1220" s="9"/>
      <c r="O1220" s="18">
        <f t="shared" si="346"/>
        <v>12000</v>
      </c>
      <c r="P1220" s="9"/>
      <c r="Q1220" s="9"/>
      <c r="R1220" s="9"/>
      <c r="S1220" s="10">
        <f t="shared" si="344"/>
        <v>400</v>
      </c>
    </row>
    <row r="1221" spans="2:19" outlineLevel="1">
      <c r="B1221" s="13" t="s">
        <v>91</v>
      </c>
      <c r="C1221" s="7" t="str">
        <f t="shared" si="342"/>
        <v>CAÇAMBA SCANEA 310 PL PIN 0144 POTY</v>
      </c>
      <c r="D1221" s="8">
        <f>D1153</f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45"/>
        <v>400</v>
      </c>
      <c r="J1221" s="16"/>
      <c r="K1221" s="15"/>
      <c r="L1221" s="15"/>
      <c r="M1221" s="17"/>
      <c r="N1221" s="9"/>
      <c r="O1221" s="18">
        <f t="shared" si="346"/>
        <v>12000</v>
      </c>
      <c r="P1221" s="9"/>
      <c r="Q1221" s="9"/>
      <c r="R1221" s="9"/>
      <c r="S1221" s="10">
        <f t="shared" si="344"/>
        <v>400</v>
      </c>
    </row>
    <row r="1222" spans="2:19" outlineLevel="1">
      <c r="B1222" s="13" t="s">
        <v>91</v>
      </c>
      <c r="C1222" s="7" t="str">
        <f t="shared" si="342"/>
        <v>CAÇAMBA SCANEA 310 PL PIN 0144 POTY</v>
      </c>
      <c r="D1222" s="8">
        <f>D1154</f>
        <v>46099</v>
      </c>
      <c r="E1222" s="15"/>
      <c r="F1222" s="15"/>
      <c r="G1222" s="15">
        <f t="shared" si="343"/>
        <v>0</v>
      </c>
      <c r="H1222" s="16" t="s">
        <v>235</v>
      </c>
      <c r="I1222" s="10">
        <f t="shared" si="345"/>
        <v>400</v>
      </c>
      <c r="J1222" s="16"/>
      <c r="K1222" s="15"/>
      <c r="L1222" s="15"/>
      <c r="M1222" s="17"/>
      <c r="N1222" s="9"/>
      <c r="O1222" s="18">
        <f t="shared" si="346"/>
        <v>12000</v>
      </c>
      <c r="P1222" s="9"/>
      <c r="Q1222" s="9"/>
      <c r="R1222" s="9"/>
      <c r="S1222" s="10">
        <f t="shared" si="344"/>
        <v>400</v>
      </c>
    </row>
    <row r="1223" spans="2:19" outlineLevel="1">
      <c r="B1223" s="13" t="s">
        <v>91</v>
      </c>
      <c r="C1223" s="7" t="str">
        <f t="shared" si="342"/>
        <v>CAÇAMBA SCANEA 310 PL PIN 0144 POTY</v>
      </c>
      <c r="D1223" s="8">
        <f>D1155</f>
        <v>46100</v>
      </c>
      <c r="E1223" s="15"/>
      <c r="F1223" s="15"/>
      <c r="G1223" s="15">
        <f t="shared" si="343"/>
        <v>0</v>
      </c>
      <c r="H1223" s="16" t="s">
        <v>235</v>
      </c>
      <c r="I1223" s="10">
        <f t="shared" si="345"/>
        <v>400</v>
      </c>
      <c r="J1223" s="16"/>
      <c r="K1223" s="15"/>
      <c r="L1223" s="15"/>
      <c r="M1223" s="17"/>
      <c r="N1223" s="9"/>
      <c r="O1223" s="18">
        <f t="shared" si="346"/>
        <v>12000</v>
      </c>
      <c r="P1223" s="9"/>
      <c r="Q1223" s="9"/>
      <c r="R1223" s="9"/>
      <c r="S1223" s="10">
        <f t="shared" si="344"/>
        <v>400</v>
      </c>
    </row>
    <row r="1224" spans="2:19" outlineLevel="1">
      <c r="B1224" s="13" t="s">
        <v>91</v>
      </c>
      <c r="C1224" s="7" t="str">
        <f t="shared" si="342"/>
        <v>CAÇAMBA SCANEA 310 PL PIN 0144 POTY</v>
      </c>
      <c r="D1224" s="8">
        <f>D1156</f>
        <v>46101</v>
      </c>
      <c r="E1224" s="15"/>
      <c r="F1224" s="15"/>
      <c r="G1224" s="15">
        <f t="shared" si="343"/>
        <v>0</v>
      </c>
      <c r="H1224" s="16" t="s">
        <v>235</v>
      </c>
      <c r="I1224" s="10">
        <f t="shared" si="345"/>
        <v>400</v>
      </c>
      <c r="J1224" s="16"/>
      <c r="K1224" s="15"/>
      <c r="L1224" s="15"/>
      <c r="M1224" s="17"/>
      <c r="N1224" s="9"/>
      <c r="O1224" s="18">
        <f t="shared" si="346"/>
        <v>12000</v>
      </c>
      <c r="P1224" s="9"/>
      <c r="Q1224" s="9"/>
      <c r="R1224" s="9"/>
      <c r="S1224" s="10">
        <f t="shared" si="344"/>
        <v>400</v>
      </c>
    </row>
    <row r="1225" spans="2:19" outlineLevel="1">
      <c r="B1225" s="13" t="s">
        <v>91</v>
      </c>
      <c r="C1225" s="7" t="str">
        <f t="shared" si="342"/>
        <v>CAÇAMBA SCANEA 310 PL PIN 0144 POTY</v>
      </c>
      <c r="D1225" s="8">
        <f>D1157</f>
        <v>46102</v>
      </c>
      <c r="E1225" s="15"/>
      <c r="F1225" s="15"/>
      <c r="G1225" s="15">
        <f t="shared" si="343"/>
        <v>0</v>
      </c>
      <c r="H1225" s="16" t="s">
        <v>235</v>
      </c>
      <c r="I1225" s="10">
        <f t="shared" si="345"/>
        <v>400</v>
      </c>
      <c r="J1225" s="16"/>
      <c r="K1225" s="15"/>
      <c r="L1225" s="15"/>
      <c r="M1225" s="17"/>
      <c r="N1225" s="9"/>
      <c r="O1225" s="18">
        <f t="shared" si="346"/>
        <v>12000</v>
      </c>
      <c r="P1225" s="9"/>
      <c r="Q1225" s="9"/>
      <c r="R1225" s="9"/>
      <c r="S1225" s="10">
        <f t="shared" si="344"/>
        <v>400</v>
      </c>
    </row>
    <row r="1226" spans="2:19" outlineLevel="1">
      <c r="B1226" s="13" t="s">
        <v>91</v>
      </c>
      <c r="C1226" s="7" t="str">
        <f t="shared" si="342"/>
        <v>CAÇAMBA SCANEA 310 PL PIN 0144 POTY</v>
      </c>
      <c r="D1226" s="8">
        <f>D1158</f>
        <v>46103</v>
      </c>
      <c r="E1226" s="15"/>
      <c r="F1226" s="15"/>
      <c r="G1226" s="15">
        <f t="shared" si="343"/>
        <v>0</v>
      </c>
      <c r="H1226" s="16" t="s">
        <v>235</v>
      </c>
      <c r="I1226" s="10">
        <f t="shared" si="345"/>
        <v>400</v>
      </c>
      <c r="J1226" s="16"/>
      <c r="K1226" s="15"/>
      <c r="L1226" s="15"/>
      <c r="M1226" s="17"/>
      <c r="N1226" s="9"/>
      <c r="O1226" s="18">
        <f t="shared" si="346"/>
        <v>12000</v>
      </c>
      <c r="P1226" s="9"/>
      <c r="Q1226" s="9"/>
      <c r="R1226" s="9"/>
      <c r="S1226" s="10">
        <f t="shared" si="344"/>
        <v>400</v>
      </c>
    </row>
    <row r="1227" spans="2:19" outlineLevel="1">
      <c r="B1227" s="13" t="s">
        <v>91</v>
      </c>
      <c r="C1227" s="7" t="str">
        <f t="shared" si="342"/>
        <v>CAÇAMBA SCANEA 310 PL PIN 0144 POTY</v>
      </c>
      <c r="D1227" s="8">
        <f>D1159</f>
        <v>46104</v>
      </c>
      <c r="E1227" s="15"/>
      <c r="F1227" s="15"/>
      <c r="G1227" s="15">
        <f t="shared" si="343"/>
        <v>0</v>
      </c>
      <c r="H1227" s="16" t="s">
        <v>235</v>
      </c>
      <c r="I1227" s="10">
        <f t="shared" si="345"/>
        <v>400</v>
      </c>
      <c r="J1227" s="16"/>
      <c r="K1227" s="15"/>
      <c r="L1227" s="15"/>
      <c r="M1227" s="17"/>
      <c r="N1227" s="9"/>
      <c r="O1227" s="18">
        <f t="shared" si="346"/>
        <v>12000</v>
      </c>
      <c r="P1227" s="9"/>
      <c r="Q1227" s="9"/>
      <c r="R1227" s="9"/>
      <c r="S1227" s="10">
        <f t="shared" si="344"/>
        <v>400</v>
      </c>
    </row>
    <row r="1228" spans="2:19" outlineLevel="1">
      <c r="B1228" s="13" t="s">
        <v>91</v>
      </c>
      <c r="C1228" s="7" t="str">
        <f t="shared" si="342"/>
        <v>CAÇAMBA SCANEA 310 PL PIN 0144 POTY</v>
      </c>
      <c r="D1228" s="8">
        <f>D1160</f>
        <v>46105</v>
      </c>
      <c r="E1228" s="15"/>
      <c r="F1228" s="15"/>
      <c r="G1228" s="15">
        <f t="shared" si="343"/>
        <v>0</v>
      </c>
      <c r="H1228" s="16" t="s">
        <v>235</v>
      </c>
      <c r="I1228" s="10">
        <f t="shared" si="345"/>
        <v>400</v>
      </c>
      <c r="J1228" s="16"/>
      <c r="K1228" s="15"/>
      <c r="L1228" s="15"/>
      <c r="M1228" s="17"/>
      <c r="N1228" s="9"/>
      <c r="O1228" s="18">
        <f t="shared" si="346"/>
        <v>12000</v>
      </c>
      <c r="P1228" s="9"/>
      <c r="Q1228" s="9"/>
      <c r="R1228" s="9"/>
      <c r="S1228" s="10">
        <f t="shared" si="344"/>
        <v>400</v>
      </c>
    </row>
    <row r="1229" spans="2:19" outlineLevel="1">
      <c r="B1229" s="13" t="s">
        <v>91</v>
      </c>
      <c r="C1229" s="7" t="str">
        <f t="shared" si="342"/>
        <v>CAÇAMBA SCANEA 310 PL PIN 0144 POTY</v>
      </c>
      <c r="D1229" s="8">
        <f>D1161</f>
        <v>46106</v>
      </c>
      <c r="E1229" s="15"/>
      <c r="F1229" s="15"/>
      <c r="G1229" s="15">
        <f t="shared" si="343"/>
        <v>0</v>
      </c>
      <c r="H1229" s="16" t="s">
        <v>235</v>
      </c>
      <c r="I1229" s="10">
        <f t="shared" si="345"/>
        <v>400</v>
      </c>
      <c r="J1229" s="16"/>
      <c r="K1229" s="15"/>
      <c r="L1229" s="15"/>
      <c r="M1229" s="17"/>
      <c r="N1229" s="9"/>
      <c r="O1229" s="18">
        <f t="shared" si="346"/>
        <v>12000</v>
      </c>
      <c r="P1229" s="9"/>
      <c r="Q1229" s="9"/>
      <c r="R1229" s="9"/>
      <c r="S1229" s="10">
        <f t="shared" si="344"/>
        <v>400</v>
      </c>
    </row>
    <row r="1230" spans="2:19" outlineLevel="1">
      <c r="B1230" s="13" t="s">
        <v>91</v>
      </c>
      <c r="C1230" s="7" t="str">
        <f t="shared" si="342"/>
        <v>CAÇAMBA SCANEA 310 PL PIN 0144 POTY</v>
      </c>
      <c r="D1230" s="8">
        <f>D1162</f>
        <v>46107</v>
      </c>
      <c r="E1230" s="15"/>
      <c r="F1230" s="15"/>
      <c r="G1230" s="15">
        <f t="shared" si="343"/>
        <v>0</v>
      </c>
      <c r="H1230" s="16" t="s">
        <v>235</v>
      </c>
      <c r="I1230" s="10">
        <f t="shared" si="345"/>
        <v>400</v>
      </c>
      <c r="J1230" s="16"/>
      <c r="K1230" s="15"/>
      <c r="L1230" s="15"/>
      <c r="M1230" s="17"/>
      <c r="N1230" s="9"/>
      <c r="O1230" s="18">
        <f t="shared" si="346"/>
        <v>12000</v>
      </c>
      <c r="P1230" s="9"/>
      <c r="Q1230" s="9"/>
      <c r="R1230" s="9"/>
      <c r="S1230" s="10">
        <f t="shared" si="344"/>
        <v>400</v>
      </c>
    </row>
    <row r="1231" spans="2:19" outlineLevel="1">
      <c r="B1231" s="13" t="s">
        <v>91</v>
      </c>
      <c r="C1231" s="7" t="str">
        <f t="shared" si="342"/>
        <v>CAÇAMBA SCANEA 310 PL PIN 0144 POTY</v>
      </c>
      <c r="D1231" s="8">
        <f>D1163</f>
        <v>46108</v>
      </c>
      <c r="E1231" s="15"/>
      <c r="F1231" s="15"/>
      <c r="G1231" s="15">
        <f t="shared" si="343"/>
        <v>0</v>
      </c>
      <c r="H1231" s="16" t="s">
        <v>235</v>
      </c>
      <c r="I1231" s="10">
        <f t="shared" si="345"/>
        <v>400</v>
      </c>
      <c r="J1231" s="16"/>
      <c r="K1231" s="15"/>
      <c r="L1231" s="15"/>
      <c r="M1231" s="17"/>
      <c r="N1231" s="9"/>
      <c r="O1231" s="18">
        <f t="shared" si="346"/>
        <v>12000</v>
      </c>
      <c r="P1231" s="9"/>
      <c r="Q1231" s="9"/>
      <c r="R1231" s="9"/>
      <c r="S1231" s="10">
        <f t="shared" si="344"/>
        <v>400</v>
      </c>
    </row>
    <row r="1232" spans="2:19" outlineLevel="1">
      <c r="B1232" s="13" t="s">
        <v>91</v>
      </c>
      <c r="C1232" s="7" t="str">
        <f t="shared" si="342"/>
        <v>CAÇAMBA SCANEA 310 PL PIN 0144 POTY</v>
      </c>
      <c r="D1232" s="8">
        <f t="shared" ref="D1232" si="347">D1164</f>
        <v>46109</v>
      </c>
      <c r="E1232" s="15"/>
      <c r="F1232" s="15"/>
      <c r="G1232" s="15">
        <f t="shared" ref="G1232:G1234" si="348">F1232-E1232</f>
        <v>0</v>
      </c>
      <c r="H1232" s="16" t="s">
        <v>235</v>
      </c>
      <c r="I1232" s="10">
        <f>I1228</f>
        <v>400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49">SUM(R1232+Q1232+I1232)</f>
        <v>400</v>
      </c>
    </row>
    <row r="1233" spans="2:19" outlineLevel="1">
      <c r="B1233" s="13" t="s">
        <v>91</v>
      </c>
      <c r="C1233" s="7" t="str">
        <f t="shared" si="342"/>
        <v>CAÇAMBA SCANEA 310 PL PIN 0144 POTY</v>
      </c>
      <c r="D1233" s="8">
        <f t="shared" ref="D1233:D1235" si="350">D1165</f>
        <v>46110</v>
      </c>
      <c r="E1233" s="15"/>
      <c r="F1233" s="15"/>
      <c r="G1233" s="15">
        <f t="shared" si="348"/>
        <v>0</v>
      </c>
      <c r="H1233" s="16" t="s">
        <v>235</v>
      </c>
      <c r="I1233" s="10">
        <f>I1229</f>
        <v>400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9"/>
        <v>400</v>
      </c>
    </row>
    <row r="1234" spans="2:19" outlineLevel="1">
      <c r="B1234" s="13" t="s">
        <v>91</v>
      </c>
      <c r="C1234" s="7" t="str">
        <f t="shared" si="342"/>
        <v>CAÇAMBA SCANEA 310 PL PIN 0144 POTY</v>
      </c>
      <c r="D1234" s="8">
        <f t="shared" si="350"/>
        <v>46111</v>
      </c>
      <c r="E1234" s="15"/>
      <c r="F1234" s="15"/>
      <c r="G1234" s="15">
        <f t="shared" si="348"/>
        <v>0</v>
      </c>
      <c r="H1234" s="16" t="s">
        <v>235</v>
      </c>
      <c r="I1234" s="10">
        <f>I1230</f>
        <v>400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9"/>
        <v>400</v>
      </c>
    </row>
    <row r="1235" spans="2:19" outlineLevel="1">
      <c r="B1235" s="13" t="s">
        <v>91</v>
      </c>
      <c r="C1235" s="7" t="str">
        <f t="shared" si="342"/>
        <v>CAÇAMBA SCANEA 310 PL PIN 0144 POTY</v>
      </c>
      <c r="D1235" s="8">
        <f t="shared" si="350"/>
        <v>46112</v>
      </c>
      <c r="E1235" s="15"/>
      <c r="F1235" s="15"/>
      <c r="G1235" s="15">
        <f t="shared" si="343"/>
        <v>0</v>
      </c>
      <c r="H1235" s="16" t="s">
        <v>235</v>
      </c>
      <c r="I1235" s="10">
        <f>I1231</f>
        <v>400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44"/>
        <v>400</v>
      </c>
    </row>
    <row r="1236" spans="2:19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5" t="str">
        <f>M$1</f>
        <v>BM JANEIRO 2026</v>
      </c>
      <c r="N1237" s="135"/>
      <c r="O1237" s="135"/>
      <c r="P1237" s="19" t="s">
        <v>228</v>
      </c>
      <c r="Q1237" s="136" t="s">
        <v>229</v>
      </c>
      <c r="R1237" s="136"/>
      <c r="S1237" s="136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outlineLevel="1">
      <c r="B1239" s="11" t="s">
        <v>93</v>
      </c>
      <c r="C1239" s="7" t="str">
        <f>C$1237</f>
        <v>CAÇAMBA VOLKS 24260 PL QRR 8A07 POTY</v>
      </c>
      <c r="D1239" s="8">
        <f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outlineLevel="1">
      <c r="B1240" s="12" t="s">
        <v>0</v>
      </c>
      <c r="C1240" s="7" t="str">
        <f t="shared" ref="C1240:C1269" si="351">C$1237</f>
        <v>CAÇAMBA VOLKS 24260 PL QRR 8A07 POTY</v>
      </c>
      <c r="D1240" s="8">
        <f>D1172</f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52">SUM(R1240+Q1240+I1240)</f>
        <v>0</v>
      </c>
    </row>
    <row r="1241" spans="2:19" outlineLevel="1">
      <c r="B1241" s="13" t="s">
        <v>93</v>
      </c>
      <c r="C1241" s="7" t="str">
        <f t="shared" si="351"/>
        <v>CAÇAMBA VOLKS 24260 PL QRR 8A07 POTY</v>
      </c>
      <c r="D1241" s="8">
        <f>D1173</f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53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2"/>
        <v>0</v>
      </c>
    </row>
    <row r="1242" spans="2:19" outlineLevel="1">
      <c r="B1242" s="13" t="s">
        <v>93</v>
      </c>
      <c r="C1242" s="7" t="str">
        <f t="shared" si="351"/>
        <v>CAÇAMBA VOLKS 24260 PL QRR 8A07 POTY</v>
      </c>
      <c r="D1242" s="8">
        <f>D1174</f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53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2"/>
        <v>0</v>
      </c>
    </row>
    <row r="1243" spans="2:19" outlineLevel="1">
      <c r="B1243" s="13" t="s">
        <v>93</v>
      </c>
      <c r="C1243" s="7" t="str">
        <f t="shared" si="351"/>
        <v>CAÇAMBA VOLKS 24260 PL QRR 8A07 POTY</v>
      </c>
      <c r="D1243" s="8">
        <f>D1175</f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53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2"/>
        <v>0</v>
      </c>
    </row>
    <row r="1244" spans="2:19" outlineLevel="1">
      <c r="B1244" s="13" t="s">
        <v>93</v>
      </c>
      <c r="C1244" s="7" t="str">
        <f t="shared" si="351"/>
        <v>CAÇAMBA VOLKS 24260 PL QRR 8A07 POTY</v>
      </c>
      <c r="D1244" s="8">
        <f>D1176</f>
        <v>46087</v>
      </c>
      <c r="E1244" s="15"/>
      <c r="F1244" s="15"/>
      <c r="G1244" s="15">
        <f t="shared" ref="G1244:G1269" si="354">F1244-E1244</f>
        <v>0</v>
      </c>
      <c r="H1244" s="16" t="s">
        <v>6</v>
      </c>
      <c r="I1244" s="10">
        <f t="shared" si="353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52"/>
        <v>0</v>
      </c>
    </row>
    <row r="1245" spans="2:19" outlineLevel="1">
      <c r="B1245" s="13" t="s">
        <v>93</v>
      </c>
      <c r="C1245" s="7" t="str">
        <f t="shared" si="351"/>
        <v>CAÇAMBA VOLKS 24260 PL QRR 8A07 POTY</v>
      </c>
      <c r="D1245" s="8">
        <f>D1177</f>
        <v>46088</v>
      </c>
      <c r="E1245" s="15"/>
      <c r="F1245" s="15"/>
      <c r="G1245" s="15">
        <f t="shared" si="354"/>
        <v>0</v>
      </c>
      <c r="H1245" s="16" t="s">
        <v>6</v>
      </c>
      <c r="I1245" s="10">
        <f t="shared" si="353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2"/>
        <v>0</v>
      </c>
    </row>
    <row r="1246" spans="2:19" outlineLevel="1">
      <c r="B1246" s="13" t="s">
        <v>93</v>
      </c>
      <c r="C1246" s="7" t="str">
        <f t="shared" si="351"/>
        <v>CAÇAMBA VOLKS 24260 PL QRR 8A07 POTY</v>
      </c>
      <c r="D1246" s="8">
        <f>D1178</f>
        <v>46089</v>
      </c>
      <c r="E1246" s="15"/>
      <c r="F1246" s="15"/>
      <c r="G1246" s="15">
        <f t="shared" si="354"/>
        <v>0</v>
      </c>
      <c r="H1246" s="16" t="s">
        <v>6</v>
      </c>
      <c r="I1246" s="10">
        <f t="shared" si="353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2"/>
        <v>0</v>
      </c>
    </row>
    <row r="1247" spans="2:19" outlineLevel="1">
      <c r="B1247" s="13" t="s">
        <v>93</v>
      </c>
      <c r="C1247" s="7" t="str">
        <f t="shared" si="351"/>
        <v>CAÇAMBA VOLKS 24260 PL QRR 8A07 POTY</v>
      </c>
      <c r="D1247" s="8">
        <f>D1179</f>
        <v>46090</v>
      </c>
      <c r="E1247" s="15"/>
      <c r="F1247" s="15"/>
      <c r="G1247" s="15">
        <f t="shared" si="354"/>
        <v>0</v>
      </c>
      <c r="H1247" s="16" t="s">
        <v>6</v>
      </c>
      <c r="I1247" s="10">
        <f t="shared" si="353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2"/>
        <v>0</v>
      </c>
    </row>
    <row r="1248" spans="2:19" outlineLevel="1">
      <c r="B1248" s="13" t="s">
        <v>93</v>
      </c>
      <c r="C1248" s="7" t="str">
        <f t="shared" si="351"/>
        <v>CAÇAMBA VOLKS 24260 PL QRR 8A07 POTY</v>
      </c>
      <c r="D1248" s="8">
        <f>D1180</f>
        <v>46091</v>
      </c>
      <c r="E1248" s="15"/>
      <c r="F1248" s="15"/>
      <c r="G1248" s="15">
        <f t="shared" si="354"/>
        <v>0</v>
      </c>
      <c r="H1248" s="16" t="s">
        <v>6</v>
      </c>
      <c r="I1248" s="10">
        <f t="shared" si="353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2"/>
        <v>0</v>
      </c>
    </row>
    <row r="1249" spans="2:19" outlineLevel="1">
      <c r="B1249" s="13" t="s">
        <v>93</v>
      </c>
      <c r="C1249" s="7" t="str">
        <f t="shared" si="351"/>
        <v>CAÇAMBA VOLKS 24260 PL QRR 8A07 POTY</v>
      </c>
      <c r="D1249" s="8">
        <f>D1181</f>
        <v>46092</v>
      </c>
      <c r="E1249" s="15"/>
      <c r="F1249" s="15"/>
      <c r="G1249" s="15">
        <f t="shared" si="354"/>
        <v>0</v>
      </c>
      <c r="H1249" s="16" t="s">
        <v>6</v>
      </c>
      <c r="I1249" s="10">
        <f t="shared" si="353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52"/>
        <v>0</v>
      </c>
    </row>
    <row r="1250" spans="2:19" outlineLevel="1">
      <c r="B1250" s="13" t="s">
        <v>93</v>
      </c>
      <c r="C1250" s="7" t="str">
        <f t="shared" si="351"/>
        <v>CAÇAMBA VOLKS 24260 PL QRR 8A07 POTY</v>
      </c>
      <c r="D1250" s="8">
        <f>D1182</f>
        <v>46093</v>
      </c>
      <c r="E1250" s="15"/>
      <c r="F1250" s="15"/>
      <c r="G1250" s="15">
        <f t="shared" si="354"/>
        <v>0</v>
      </c>
      <c r="H1250" s="16" t="s">
        <v>6</v>
      </c>
      <c r="I1250" s="10">
        <f t="shared" si="353"/>
        <v>0</v>
      </c>
      <c r="J1250" s="16" t="s">
        <v>201</v>
      </c>
      <c r="K1250" s="15"/>
      <c r="L1250" s="15"/>
      <c r="M1250" s="17"/>
      <c r="N1250" s="9"/>
      <c r="O1250" s="18">
        <f t="shared" ref="O1250:O1265" si="355">O1249</f>
        <v>0</v>
      </c>
      <c r="P1250" s="9"/>
      <c r="Q1250" s="9"/>
      <c r="R1250" s="9"/>
      <c r="S1250" s="10">
        <f t="shared" si="352"/>
        <v>0</v>
      </c>
    </row>
    <row r="1251" spans="2:19" outlineLevel="1">
      <c r="B1251" s="13" t="s">
        <v>93</v>
      </c>
      <c r="C1251" s="7" t="str">
        <f t="shared" si="351"/>
        <v>CAÇAMBA VOLKS 24260 PL QRR 8A07 POTY</v>
      </c>
      <c r="D1251" s="8">
        <f>D1183</f>
        <v>46094</v>
      </c>
      <c r="E1251" s="15"/>
      <c r="F1251" s="15"/>
      <c r="G1251" s="15">
        <f t="shared" si="354"/>
        <v>0</v>
      </c>
      <c r="H1251" s="16" t="s">
        <v>6</v>
      </c>
      <c r="I1251" s="10">
        <f t="shared" si="353"/>
        <v>0</v>
      </c>
      <c r="J1251" s="16" t="s">
        <v>201</v>
      </c>
      <c r="K1251" s="15"/>
      <c r="L1251" s="15"/>
      <c r="M1251" s="17"/>
      <c r="N1251" s="9"/>
      <c r="O1251" s="18">
        <f t="shared" si="355"/>
        <v>0</v>
      </c>
      <c r="P1251" s="9"/>
      <c r="Q1251" s="9"/>
      <c r="R1251" s="9"/>
      <c r="S1251" s="10">
        <f t="shared" si="352"/>
        <v>0</v>
      </c>
    </row>
    <row r="1252" spans="2:19" outlineLevel="1">
      <c r="B1252" s="13" t="s">
        <v>93</v>
      </c>
      <c r="C1252" s="7" t="str">
        <f t="shared" si="351"/>
        <v>CAÇAMBA VOLKS 24260 PL QRR 8A07 POTY</v>
      </c>
      <c r="D1252" s="8">
        <f>D1184</f>
        <v>46095</v>
      </c>
      <c r="E1252" s="15"/>
      <c r="F1252" s="15"/>
      <c r="G1252" s="15">
        <f t="shared" si="354"/>
        <v>0</v>
      </c>
      <c r="H1252" s="16" t="s">
        <v>6</v>
      </c>
      <c r="I1252" s="10">
        <f t="shared" si="353"/>
        <v>0</v>
      </c>
      <c r="J1252" s="16" t="s">
        <v>201</v>
      </c>
      <c r="K1252" s="15"/>
      <c r="L1252" s="15"/>
      <c r="M1252" s="17"/>
      <c r="N1252" s="9"/>
      <c r="O1252" s="18">
        <f t="shared" si="355"/>
        <v>0</v>
      </c>
      <c r="P1252" s="9"/>
      <c r="Q1252" s="9"/>
      <c r="R1252" s="9"/>
      <c r="S1252" s="10">
        <f t="shared" si="352"/>
        <v>0</v>
      </c>
    </row>
    <row r="1253" spans="2:19" outlineLevel="1">
      <c r="B1253" s="13" t="s">
        <v>93</v>
      </c>
      <c r="C1253" s="7" t="str">
        <f t="shared" si="351"/>
        <v>CAÇAMBA VOLKS 24260 PL QRR 8A07 POTY</v>
      </c>
      <c r="D1253" s="8">
        <f>D1185</f>
        <v>46096</v>
      </c>
      <c r="E1253" s="15"/>
      <c r="F1253" s="15"/>
      <c r="G1253" s="15">
        <f t="shared" si="354"/>
        <v>0</v>
      </c>
      <c r="H1253" s="16" t="s">
        <v>6</v>
      </c>
      <c r="I1253" s="10">
        <f t="shared" si="353"/>
        <v>0</v>
      </c>
      <c r="J1253" s="16" t="s">
        <v>201</v>
      </c>
      <c r="K1253" s="15"/>
      <c r="L1253" s="15"/>
      <c r="M1253" s="17"/>
      <c r="N1253" s="9"/>
      <c r="O1253" s="18">
        <f t="shared" si="355"/>
        <v>0</v>
      </c>
      <c r="P1253" s="9"/>
      <c r="Q1253" s="9"/>
      <c r="R1253" s="9"/>
      <c r="S1253" s="10">
        <f t="shared" si="352"/>
        <v>0</v>
      </c>
    </row>
    <row r="1254" spans="2:19" outlineLevel="1">
      <c r="B1254" s="13" t="s">
        <v>93</v>
      </c>
      <c r="C1254" s="7" t="str">
        <f t="shared" si="351"/>
        <v>CAÇAMBA VOLKS 24260 PL QRR 8A07 POTY</v>
      </c>
      <c r="D1254" s="8">
        <f>D1186</f>
        <v>46097</v>
      </c>
      <c r="E1254" s="15"/>
      <c r="F1254" s="15"/>
      <c r="G1254" s="15">
        <f t="shared" si="354"/>
        <v>0</v>
      </c>
      <c r="H1254" s="16" t="s">
        <v>6</v>
      </c>
      <c r="I1254" s="10">
        <f t="shared" si="353"/>
        <v>0</v>
      </c>
      <c r="J1254" s="16" t="s">
        <v>201</v>
      </c>
      <c r="K1254" s="15"/>
      <c r="L1254" s="15"/>
      <c r="M1254" s="17"/>
      <c r="N1254" s="9"/>
      <c r="O1254" s="18">
        <f t="shared" si="355"/>
        <v>0</v>
      </c>
      <c r="P1254" s="9"/>
      <c r="Q1254" s="9"/>
      <c r="R1254" s="9"/>
      <c r="S1254" s="10">
        <f t="shared" si="352"/>
        <v>0</v>
      </c>
    </row>
    <row r="1255" spans="2:19" outlineLevel="1">
      <c r="B1255" s="13" t="s">
        <v>93</v>
      </c>
      <c r="C1255" s="7" t="str">
        <f t="shared" si="351"/>
        <v>CAÇAMBA VOLKS 24260 PL QRR 8A07 POTY</v>
      </c>
      <c r="D1255" s="8">
        <f>D1187</f>
        <v>46098</v>
      </c>
      <c r="E1255" s="15"/>
      <c r="F1255" s="15"/>
      <c r="G1255" s="15">
        <f t="shared" si="354"/>
        <v>0</v>
      </c>
      <c r="H1255" s="16" t="s">
        <v>6</v>
      </c>
      <c r="I1255" s="10">
        <f t="shared" si="353"/>
        <v>0</v>
      </c>
      <c r="J1255" s="16" t="s">
        <v>201</v>
      </c>
      <c r="K1255" s="15"/>
      <c r="L1255" s="15"/>
      <c r="M1255" s="17"/>
      <c r="N1255" s="9"/>
      <c r="O1255" s="18">
        <f t="shared" si="355"/>
        <v>0</v>
      </c>
      <c r="P1255" s="9"/>
      <c r="Q1255" s="9"/>
      <c r="R1255" s="9"/>
      <c r="S1255" s="10">
        <f t="shared" si="352"/>
        <v>0</v>
      </c>
    </row>
    <row r="1256" spans="2:19" outlineLevel="1">
      <c r="B1256" s="13" t="s">
        <v>93</v>
      </c>
      <c r="C1256" s="7" t="str">
        <f t="shared" si="351"/>
        <v>CAÇAMBA VOLKS 24260 PL QRR 8A07 POTY</v>
      </c>
      <c r="D1256" s="8">
        <f>D1188</f>
        <v>46099</v>
      </c>
      <c r="E1256" s="15"/>
      <c r="F1256" s="15"/>
      <c r="G1256" s="15">
        <f t="shared" si="354"/>
        <v>0</v>
      </c>
      <c r="H1256" s="16" t="s">
        <v>6</v>
      </c>
      <c r="I1256" s="10">
        <f t="shared" si="353"/>
        <v>0</v>
      </c>
      <c r="J1256" s="16" t="s">
        <v>201</v>
      </c>
      <c r="K1256" s="15"/>
      <c r="L1256" s="15"/>
      <c r="M1256" s="17"/>
      <c r="N1256" s="9"/>
      <c r="O1256" s="18">
        <f t="shared" si="355"/>
        <v>0</v>
      </c>
      <c r="P1256" s="9"/>
      <c r="Q1256" s="9"/>
      <c r="R1256" s="9"/>
      <c r="S1256" s="10">
        <f t="shared" si="352"/>
        <v>0</v>
      </c>
    </row>
    <row r="1257" spans="2:19" outlineLevel="1">
      <c r="B1257" s="13" t="s">
        <v>93</v>
      </c>
      <c r="C1257" s="7" t="str">
        <f t="shared" si="351"/>
        <v>CAÇAMBA VOLKS 24260 PL QRR 8A07 POTY</v>
      </c>
      <c r="D1257" s="8">
        <f>D1189</f>
        <v>46100</v>
      </c>
      <c r="E1257" s="15"/>
      <c r="F1257" s="15"/>
      <c r="G1257" s="15">
        <f t="shared" si="354"/>
        <v>0</v>
      </c>
      <c r="H1257" s="16" t="s">
        <v>6</v>
      </c>
      <c r="I1257" s="10">
        <f t="shared" si="353"/>
        <v>0</v>
      </c>
      <c r="J1257" s="16" t="s">
        <v>201</v>
      </c>
      <c r="K1257" s="15"/>
      <c r="L1257" s="15"/>
      <c r="M1257" s="17"/>
      <c r="N1257" s="9"/>
      <c r="O1257" s="18">
        <f t="shared" si="355"/>
        <v>0</v>
      </c>
      <c r="P1257" s="9"/>
      <c r="Q1257" s="9"/>
      <c r="R1257" s="9"/>
      <c r="S1257" s="10">
        <f t="shared" si="352"/>
        <v>0</v>
      </c>
    </row>
    <row r="1258" spans="2:19" outlineLevel="1">
      <c r="B1258" s="13" t="s">
        <v>93</v>
      </c>
      <c r="C1258" s="7" t="str">
        <f t="shared" si="351"/>
        <v>CAÇAMBA VOLKS 24260 PL QRR 8A07 POTY</v>
      </c>
      <c r="D1258" s="8">
        <f>D1190</f>
        <v>46101</v>
      </c>
      <c r="E1258" s="15"/>
      <c r="F1258" s="15"/>
      <c r="G1258" s="15">
        <f t="shared" si="354"/>
        <v>0</v>
      </c>
      <c r="H1258" s="16" t="s">
        <v>6</v>
      </c>
      <c r="I1258" s="10">
        <f t="shared" si="353"/>
        <v>0</v>
      </c>
      <c r="J1258" s="16" t="s">
        <v>201</v>
      </c>
      <c r="K1258" s="15"/>
      <c r="L1258" s="15"/>
      <c r="M1258" s="17"/>
      <c r="N1258" s="9"/>
      <c r="O1258" s="18">
        <f t="shared" si="355"/>
        <v>0</v>
      </c>
      <c r="P1258" s="9"/>
      <c r="Q1258" s="9"/>
      <c r="R1258" s="9"/>
      <c r="S1258" s="10">
        <f t="shared" si="352"/>
        <v>0</v>
      </c>
    </row>
    <row r="1259" spans="2:19" outlineLevel="1">
      <c r="B1259" s="13" t="s">
        <v>93</v>
      </c>
      <c r="C1259" s="7" t="str">
        <f t="shared" si="351"/>
        <v>CAÇAMBA VOLKS 24260 PL QRR 8A07 POTY</v>
      </c>
      <c r="D1259" s="8">
        <f>D1191</f>
        <v>46102</v>
      </c>
      <c r="E1259" s="15"/>
      <c r="F1259" s="15"/>
      <c r="G1259" s="15">
        <f t="shared" si="354"/>
        <v>0</v>
      </c>
      <c r="H1259" s="16" t="s">
        <v>6</v>
      </c>
      <c r="I1259" s="10">
        <f t="shared" si="353"/>
        <v>0</v>
      </c>
      <c r="J1259" s="16" t="s">
        <v>201</v>
      </c>
      <c r="K1259" s="15"/>
      <c r="L1259" s="15"/>
      <c r="M1259" s="17"/>
      <c r="N1259" s="9"/>
      <c r="O1259" s="18">
        <f t="shared" si="355"/>
        <v>0</v>
      </c>
      <c r="P1259" s="9"/>
      <c r="Q1259" s="9"/>
      <c r="R1259" s="9"/>
      <c r="S1259" s="10">
        <f t="shared" si="352"/>
        <v>0</v>
      </c>
    </row>
    <row r="1260" spans="2:19" outlineLevel="1">
      <c r="B1260" s="13" t="s">
        <v>93</v>
      </c>
      <c r="C1260" s="7" t="str">
        <f t="shared" si="351"/>
        <v>CAÇAMBA VOLKS 24260 PL QRR 8A07 POTY</v>
      </c>
      <c r="D1260" s="8">
        <f>D1192</f>
        <v>46103</v>
      </c>
      <c r="E1260" s="15"/>
      <c r="F1260" s="15"/>
      <c r="G1260" s="15">
        <f t="shared" si="354"/>
        <v>0</v>
      </c>
      <c r="H1260" s="16" t="s">
        <v>6</v>
      </c>
      <c r="I1260" s="10">
        <f t="shared" si="353"/>
        <v>0</v>
      </c>
      <c r="J1260" s="16" t="s">
        <v>201</v>
      </c>
      <c r="K1260" s="15"/>
      <c r="L1260" s="15"/>
      <c r="M1260" s="17"/>
      <c r="N1260" s="9"/>
      <c r="O1260" s="18">
        <f t="shared" si="355"/>
        <v>0</v>
      </c>
      <c r="P1260" s="9"/>
      <c r="Q1260" s="9"/>
      <c r="R1260" s="9"/>
      <c r="S1260" s="10">
        <f t="shared" si="352"/>
        <v>0</v>
      </c>
    </row>
    <row r="1261" spans="2:19" outlineLevel="1">
      <c r="B1261" s="13" t="s">
        <v>93</v>
      </c>
      <c r="C1261" s="7" t="str">
        <f t="shared" si="351"/>
        <v>CAÇAMBA VOLKS 24260 PL QRR 8A07 POTY</v>
      </c>
      <c r="D1261" s="8">
        <f>D1193</f>
        <v>46104</v>
      </c>
      <c r="E1261" s="15"/>
      <c r="F1261" s="15"/>
      <c r="G1261" s="15">
        <f t="shared" si="354"/>
        <v>0</v>
      </c>
      <c r="H1261" s="16" t="s">
        <v>6</v>
      </c>
      <c r="I1261" s="10">
        <f t="shared" si="353"/>
        <v>0</v>
      </c>
      <c r="J1261" s="16" t="s">
        <v>201</v>
      </c>
      <c r="K1261" s="15"/>
      <c r="L1261" s="15"/>
      <c r="M1261" s="17"/>
      <c r="N1261" s="9"/>
      <c r="O1261" s="18">
        <f t="shared" si="355"/>
        <v>0</v>
      </c>
      <c r="P1261" s="9"/>
      <c r="Q1261" s="9"/>
      <c r="R1261" s="9"/>
      <c r="S1261" s="10">
        <f t="shared" si="352"/>
        <v>0</v>
      </c>
    </row>
    <row r="1262" spans="2:19" outlineLevel="1">
      <c r="B1262" s="13" t="s">
        <v>93</v>
      </c>
      <c r="C1262" s="7" t="str">
        <f t="shared" si="351"/>
        <v>CAÇAMBA VOLKS 24260 PL QRR 8A07 POTY</v>
      </c>
      <c r="D1262" s="8">
        <f>D1194</f>
        <v>46105</v>
      </c>
      <c r="E1262" s="15"/>
      <c r="F1262" s="15"/>
      <c r="G1262" s="15">
        <f t="shared" si="354"/>
        <v>0</v>
      </c>
      <c r="H1262" s="16" t="s">
        <v>6</v>
      </c>
      <c r="I1262" s="10">
        <f t="shared" si="353"/>
        <v>0</v>
      </c>
      <c r="J1262" s="16" t="s">
        <v>201</v>
      </c>
      <c r="K1262" s="15"/>
      <c r="L1262" s="15"/>
      <c r="M1262" s="17"/>
      <c r="N1262" s="9"/>
      <c r="O1262" s="18">
        <f t="shared" si="355"/>
        <v>0</v>
      </c>
      <c r="P1262" s="9"/>
      <c r="Q1262" s="9"/>
      <c r="R1262" s="9"/>
      <c r="S1262" s="10">
        <f t="shared" si="352"/>
        <v>0</v>
      </c>
    </row>
    <row r="1263" spans="2:19" outlineLevel="1">
      <c r="B1263" s="13" t="s">
        <v>93</v>
      </c>
      <c r="C1263" s="7" t="str">
        <f t="shared" si="351"/>
        <v>CAÇAMBA VOLKS 24260 PL QRR 8A07 POTY</v>
      </c>
      <c r="D1263" s="8">
        <f>D1195</f>
        <v>46106</v>
      </c>
      <c r="E1263" s="15"/>
      <c r="F1263" s="15"/>
      <c r="G1263" s="15">
        <f t="shared" si="354"/>
        <v>0</v>
      </c>
      <c r="H1263" s="16" t="s">
        <v>6</v>
      </c>
      <c r="I1263" s="10">
        <f t="shared" si="353"/>
        <v>0</v>
      </c>
      <c r="J1263" s="16" t="s">
        <v>201</v>
      </c>
      <c r="K1263" s="15"/>
      <c r="L1263" s="15"/>
      <c r="M1263" s="17"/>
      <c r="N1263" s="9"/>
      <c r="O1263" s="18">
        <f t="shared" si="355"/>
        <v>0</v>
      </c>
      <c r="P1263" s="9"/>
      <c r="Q1263" s="9"/>
      <c r="R1263" s="9"/>
      <c r="S1263" s="10">
        <f t="shared" si="352"/>
        <v>0</v>
      </c>
    </row>
    <row r="1264" spans="2:19" outlineLevel="1">
      <c r="B1264" s="13" t="s">
        <v>93</v>
      </c>
      <c r="C1264" s="7" t="str">
        <f t="shared" si="351"/>
        <v>CAÇAMBA VOLKS 24260 PL QRR 8A07 POTY</v>
      </c>
      <c r="D1264" s="8">
        <f>D1196</f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53"/>
        <v>0</v>
      </c>
      <c r="J1264" s="16" t="s">
        <v>201</v>
      </c>
      <c r="K1264" s="15"/>
      <c r="L1264" s="15"/>
      <c r="M1264" s="17"/>
      <c r="N1264" s="9"/>
      <c r="O1264" s="18">
        <f t="shared" si="355"/>
        <v>0</v>
      </c>
      <c r="P1264" s="9"/>
      <c r="Q1264" s="9"/>
      <c r="R1264" s="9"/>
      <c r="S1264" s="10">
        <f t="shared" si="352"/>
        <v>0</v>
      </c>
    </row>
    <row r="1265" spans="2:19" outlineLevel="1">
      <c r="B1265" s="13" t="s">
        <v>93</v>
      </c>
      <c r="C1265" s="7" t="str">
        <f t="shared" si="351"/>
        <v>CAÇAMBA VOLKS 24260 PL QRR 8A07 POTY</v>
      </c>
      <c r="D1265" s="8">
        <f>D1197</f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55"/>
        <v>0</v>
      </c>
      <c r="P1265" s="9"/>
      <c r="Q1265" s="9"/>
      <c r="R1265" s="9"/>
      <c r="S1265" s="10">
        <f t="shared" si="352"/>
        <v>0</v>
      </c>
    </row>
    <row r="1266" spans="2:19" outlineLevel="1">
      <c r="B1266" s="13" t="s">
        <v>93</v>
      </c>
      <c r="C1266" s="7" t="str">
        <f t="shared" si="351"/>
        <v>CAÇAMBA VOLKS 24260 PL QRR 8A07 POTY</v>
      </c>
      <c r="D1266" s="8">
        <f t="shared" ref="D1266" si="356">D1198</f>
        <v>46109</v>
      </c>
      <c r="E1266" s="15"/>
      <c r="F1266" s="15"/>
      <c r="G1266" s="15">
        <f t="shared" ref="G1266:G1268" si="357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58">SUM(R1266+Q1266+I1266)</f>
        <v>0</v>
      </c>
    </row>
    <row r="1267" spans="2:19" outlineLevel="1">
      <c r="B1267" s="13" t="s">
        <v>93</v>
      </c>
      <c r="C1267" s="7" t="str">
        <f t="shared" si="351"/>
        <v>CAÇAMBA VOLKS 24260 PL QRR 8A07 POTY</v>
      </c>
      <c r="D1267" s="8">
        <f t="shared" ref="D1267:D1269" si="359">D1199</f>
        <v>46110</v>
      </c>
      <c r="E1267" s="15"/>
      <c r="F1267" s="15"/>
      <c r="G1267" s="15">
        <f t="shared" si="357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8"/>
        <v>0</v>
      </c>
    </row>
    <row r="1268" spans="2:19" outlineLevel="1">
      <c r="B1268" s="13" t="s">
        <v>93</v>
      </c>
      <c r="C1268" s="7" t="str">
        <f t="shared" si="351"/>
        <v>CAÇAMBA VOLKS 24260 PL QRR 8A07 POTY</v>
      </c>
      <c r="D1268" s="8">
        <f t="shared" si="359"/>
        <v>46111</v>
      </c>
      <c r="E1268" s="15"/>
      <c r="F1268" s="15"/>
      <c r="G1268" s="15">
        <f t="shared" si="357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8"/>
        <v>0</v>
      </c>
    </row>
    <row r="1269" spans="2:19" outlineLevel="1">
      <c r="B1269" s="13" t="s">
        <v>93</v>
      </c>
      <c r="C1269" s="7" t="str">
        <f t="shared" si="351"/>
        <v>CAÇAMBA VOLKS 24260 PL QRR 8A07 POTY</v>
      </c>
      <c r="D1269" s="8">
        <f t="shared" si="359"/>
        <v>46112</v>
      </c>
      <c r="E1269" s="15"/>
      <c r="F1269" s="15"/>
      <c r="G1269" s="15">
        <f t="shared" si="354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52"/>
        <v>0</v>
      </c>
    </row>
    <row r="1270" spans="2:19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5" t="str">
        <f>M$1</f>
        <v>BM JANEIRO 2026</v>
      </c>
      <c r="N1271" s="135"/>
      <c r="O1271" s="135"/>
      <c r="P1271" s="19" t="s">
        <v>10</v>
      </c>
      <c r="Q1271" s="136" t="s">
        <v>210</v>
      </c>
      <c r="R1271" s="136"/>
      <c r="S1271" s="136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outlineLevel="1">
      <c r="B1273" s="70" t="s">
        <v>95</v>
      </c>
      <c r="C1273" s="7" t="str">
        <f>C$1271</f>
        <v>CAÇAMBA VOLKS 24260 PL QRR 5B87 POTY</v>
      </c>
      <c r="D1273" s="8">
        <f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428.57142857142856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O1273/28</f>
        <v>428.57142857142856</v>
      </c>
      <c r="Q1273" s="9"/>
      <c r="R1273" s="9"/>
      <c r="S1273" s="10">
        <f>SUM(R1273+Q1273+I1273)</f>
        <v>428.57142857142856</v>
      </c>
    </row>
    <row r="1274" spans="2:19" outlineLevel="1">
      <c r="B1274" s="12" t="s">
        <v>0</v>
      </c>
      <c r="C1274" s="7" t="str">
        <f t="shared" ref="C1274:C1303" si="360">C$1271</f>
        <v>CAÇAMBA VOLKS 24260 PL QRR 5B87 POTY</v>
      </c>
      <c r="D1274" s="8">
        <f>D1206</f>
        <v>46083</v>
      </c>
      <c r="E1274" s="15"/>
      <c r="F1274" s="15"/>
      <c r="G1274" s="15">
        <f t="shared" ref="G1274:G1303" si="361">F1274-E1274</f>
        <v>0</v>
      </c>
      <c r="H1274" s="16" t="s">
        <v>6</v>
      </c>
      <c r="I1274" s="10">
        <f>I1273</f>
        <v>428.57142857142856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62">SUM(R1274+Q1274+I1274)</f>
        <v>428.57142857142856</v>
      </c>
    </row>
    <row r="1275" spans="2:19" outlineLevel="1">
      <c r="B1275" s="13" t="s">
        <v>95</v>
      </c>
      <c r="C1275" s="7" t="str">
        <f t="shared" si="360"/>
        <v>CAÇAMBA VOLKS 24260 PL QRR 5B87 POTY</v>
      </c>
      <c r="D1275" s="8">
        <f>D1207</f>
        <v>46084</v>
      </c>
      <c r="E1275" s="15"/>
      <c r="F1275" s="15"/>
      <c r="G1275" s="15">
        <f t="shared" si="361"/>
        <v>0</v>
      </c>
      <c r="H1275" s="16" t="s">
        <v>6</v>
      </c>
      <c r="I1275" s="10">
        <f t="shared" ref="I1275:I1299" si="363">I1274</f>
        <v>428.57142857142856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64">O1274</f>
        <v>12000</v>
      </c>
      <c r="P1275" s="9"/>
      <c r="Q1275" s="9"/>
      <c r="R1275" s="9"/>
      <c r="S1275" s="10">
        <f t="shared" si="362"/>
        <v>428.57142857142856</v>
      </c>
    </row>
    <row r="1276" spans="2:19" outlineLevel="1">
      <c r="B1276" s="13" t="s">
        <v>95</v>
      </c>
      <c r="C1276" s="7" t="str">
        <f t="shared" si="360"/>
        <v>CAÇAMBA VOLKS 24260 PL QRR 5B87 POTY</v>
      </c>
      <c r="D1276" s="8">
        <f>D1208</f>
        <v>46085</v>
      </c>
      <c r="E1276" s="15"/>
      <c r="F1276" s="15"/>
      <c r="G1276" s="15">
        <f t="shared" si="361"/>
        <v>0</v>
      </c>
      <c r="H1276" s="16" t="s">
        <v>6</v>
      </c>
      <c r="I1276" s="10">
        <f t="shared" si="363"/>
        <v>428.57142857142856</v>
      </c>
      <c r="J1276" s="16" t="s">
        <v>201</v>
      </c>
      <c r="K1276" s="15">
        <v>1</v>
      </c>
      <c r="L1276" s="15"/>
      <c r="M1276" s="17"/>
      <c r="N1276" s="9"/>
      <c r="O1276" s="18">
        <f t="shared" si="364"/>
        <v>12000</v>
      </c>
      <c r="P1276" s="9"/>
      <c r="Q1276" s="9"/>
      <c r="R1276" s="9"/>
      <c r="S1276" s="10">
        <f t="shared" si="362"/>
        <v>428.57142857142856</v>
      </c>
    </row>
    <row r="1277" spans="2:19" outlineLevel="1">
      <c r="B1277" s="13" t="s">
        <v>95</v>
      </c>
      <c r="C1277" s="7" t="str">
        <f t="shared" si="360"/>
        <v>CAÇAMBA VOLKS 24260 PL QRR 5B87 POTY</v>
      </c>
      <c r="D1277" s="8">
        <f>D1209</f>
        <v>46086</v>
      </c>
      <c r="E1277" s="15"/>
      <c r="F1277" s="15"/>
      <c r="G1277" s="15">
        <f t="shared" si="361"/>
        <v>0</v>
      </c>
      <c r="H1277" s="16" t="s">
        <v>6</v>
      </c>
      <c r="I1277" s="10">
        <f t="shared" si="363"/>
        <v>428.57142857142856</v>
      </c>
      <c r="J1277" s="16" t="s">
        <v>201</v>
      </c>
      <c r="K1277" s="15">
        <v>1</v>
      </c>
      <c r="L1277" s="15"/>
      <c r="M1277" s="17"/>
      <c r="N1277" s="9"/>
      <c r="O1277" s="18">
        <f t="shared" si="364"/>
        <v>12000</v>
      </c>
      <c r="P1277" s="9"/>
      <c r="Q1277" s="9"/>
      <c r="R1277" s="9"/>
      <c r="S1277" s="10">
        <f t="shared" si="362"/>
        <v>428.57142857142856</v>
      </c>
    </row>
    <row r="1278" spans="2:19" outlineLevel="1">
      <c r="B1278" s="13" t="s">
        <v>95</v>
      </c>
      <c r="C1278" s="7" t="str">
        <f t="shared" si="360"/>
        <v>CAÇAMBA VOLKS 24260 PL QRR 5B87 POTY</v>
      </c>
      <c r="D1278" s="8">
        <f>D1210</f>
        <v>46087</v>
      </c>
      <c r="E1278" s="15"/>
      <c r="F1278" s="15"/>
      <c r="G1278" s="15">
        <f t="shared" si="361"/>
        <v>0</v>
      </c>
      <c r="H1278" s="16" t="s">
        <v>6</v>
      </c>
      <c r="I1278" s="10">
        <f t="shared" si="363"/>
        <v>428.57142857142856</v>
      </c>
      <c r="J1278" s="16" t="s">
        <v>201</v>
      </c>
      <c r="K1278" s="15">
        <v>1</v>
      </c>
      <c r="L1278" s="15"/>
      <c r="M1278" s="17"/>
      <c r="N1278" s="9"/>
      <c r="O1278" s="18">
        <f t="shared" si="364"/>
        <v>12000</v>
      </c>
      <c r="P1278" s="9"/>
      <c r="Q1278" s="9"/>
      <c r="R1278" s="9"/>
      <c r="S1278" s="10">
        <f t="shared" si="362"/>
        <v>428.57142857142856</v>
      </c>
    </row>
    <row r="1279" spans="2:19" outlineLevel="1">
      <c r="B1279" s="13" t="s">
        <v>95</v>
      </c>
      <c r="C1279" s="7" t="str">
        <f t="shared" si="360"/>
        <v>CAÇAMBA VOLKS 24260 PL QRR 5B87 POTY</v>
      </c>
      <c r="D1279" s="8">
        <f>D1211</f>
        <v>46088</v>
      </c>
      <c r="E1279" s="15"/>
      <c r="F1279" s="15"/>
      <c r="G1279" s="15">
        <f t="shared" si="361"/>
        <v>0</v>
      </c>
      <c r="H1279" s="16" t="s">
        <v>6</v>
      </c>
      <c r="I1279" s="10">
        <f t="shared" si="363"/>
        <v>428.57142857142856</v>
      </c>
      <c r="J1279" s="16" t="s">
        <v>201</v>
      </c>
      <c r="K1279" s="15">
        <v>1</v>
      </c>
      <c r="L1279" s="15"/>
      <c r="M1279" s="17"/>
      <c r="N1279" s="9"/>
      <c r="O1279" s="18">
        <f t="shared" si="364"/>
        <v>12000</v>
      </c>
      <c r="P1279" s="9"/>
      <c r="Q1279" s="9"/>
      <c r="R1279" s="9"/>
      <c r="S1279" s="10">
        <f t="shared" si="362"/>
        <v>428.57142857142856</v>
      </c>
    </row>
    <row r="1280" spans="2:19" outlineLevel="1">
      <c r="B1280" s="13" t="s">
        <v>95</v>
      </c>
      <c r="C1280" s="7" t="str">
        <f t="shared" si="360"/>
        <v>CAÇAMBA VOLKS 24260 PL QRR 5B87 POTY</v>
      </c>
      <c r="D1280" s="8">
        <f>D1212</f>
        <v>46089</v>
      </c>
      <c r="E1280" s="15"/>
      <c r="F1280" s="15"/>
      <c r="G1280" s="15">
        <f t="shared" si="361"/>
        <v>0</v>
      </c>
      <c r="H1280" s="16" t="s">
        <v>6</v>
      </c>
      <c r="I1280" s="10">
        <f t="shared" si="363"/>
        <v>428.57142857142856</v>
      </c>
      <c r="J1280" s="16" t="s">
        <v>201</v>
      </c>
      <c r="K1280" s="15">
        <v>1</v>
      </c>
      <c r="L1280" s="15"/>
      <c r="M1280" s="17"/>
      <c r="N1280" s="9"/>
      <c r="O1280" s="18">
        <f t="shared" si="364"/>
        <v>12000</v>
      </c>
      <c r="P1280" s="9"/>
      <c r="Q1280" s="9"/>
      <c r="R1280" s="9"/>
      <c r="S1280" s="10">
        <f t="shared" si="362"/>
        <v>428.57142857142856</v>
      </c>
    </row>
    <row r="1281" spans="2:19" outlineLevel="1">
      <c r="B1281" s="13" t="s">
        <v>95</v>
      </c>
      <c r="C1281" s="7" t="str">
        <f t="shared" si="360"/>
        <v>CAÇAMBA VOLKS 24260 PL QRR 5B87 POTY</v>
      </c>
      <c r="D1281" s="8">
        <f>D1213</f>
        <v>46090</v>
      </c>
      <c r="E1281" s="15"/>
      <c r="F1281" s="15"/>
      <c r="G1281" s="15">
        <f t="shared" si="361"/>
        <v>0</v>
      </c>
      <c r="H1281" s="16" t="s">
        <v>6</v>
      </c>
      <c r="I1281" s="10">
        <f t="shared" si="363"/>
        <v>428.57142857142856</v>
      </c>
      <c r="J1281" s="16" t="s">
        <v>201</v>
      </c>
      <c r="K1281" s="15">
        <v>1</v>
      </c>
      <c r="L1281" s="15"/>
      <c r="M1281" s="17"/>
      <c r="N1281" s="9"/>
      <c r="O1281" s="18">
        <f t="shared" si="364"/>
        <v>12000</v>
      </c>
      <c r="P1281" s="9"/>
      <c r="Q1281" s="9"/>
      <c r="R1281" s="9"/>
      <c r="S1281" s="10">
        <f t="shared" si="362"/>
        <v>428.57142857142856</v>
      </c>
    </row>
    <row r="1282" spans="2:19" outlineLevel="1">
      <c r="B1282" s="13" t="s">
        <v>95</v>
      </c>
      <c r="C1282" s="7" t="str">
        <f t="shared" si="360"/>
        <v>CAÇAMBA VOLKS 24260 PL QRR 5B87 POTY</v>
      </c>
      <c r="D1282" s="8">
        <f>D1214</f>
        <v>46091</v>
      </c>
      <c r="E1282" s="15"/>
      <c r="F1282" s="15"/>
      <c r="G1282" s="15">
        <f t="shared" si="361"/>
        <v>0</v>
      </c>
      <c r="H1282" s="16" t="s">
        <v>6</v>
      </c>
      <c r="I1282" s="10">
        <f t="shared" si="363"/>
        <v>428.57142857142856</v>
      </c>
      <c r="J1282" s="16" t="s">
        <v>201</v>
      </c>
      <c r="K1282" s="15">
        <v>1</v>
      </c>
      <c r="L1282" s="15"/>
      <c r="M1282" s="17"/>
      <c r="N1282" s="9"/>
      <c r="O1282" s="18">
        <f t="shared" si="364"/>
        <v>12000</v>
      </c>
      <c r="P1282" s="9"/>
      <c r="Q1282" s="9"/>
      <c r="R1282" s="9"/>
      <c r="S1282" s="10">
        <f t="shared" si="362"/>
        <v>428.57142857142856</v>
      </c>
    </row>
    <row r="1283" spans="2:19" outlineLevel="1">
      <c r="B1283" s="13" t="s">
        <v>95</v>
      </c>
      <c r="C1283" s="7" t="str">
        <f t="shared" si="360"/>
        <v>CAÇAMBA VOLKS 24260 PL QRR 5B87 POTY</v>
      </c>
      <c r="D1283" s="8">
        <f>D1215</f>
        <v>46092</v>
      </c>
      <c r="E1283" s="15"/>
      <c r="F1283" s="15"/>
      <c r="G1283" s="15">
        <f t="shared" si="361"/>
        <v>0</v>
      </c>
      <c r="H1283" s="16" t="s">
        <v>6</v>
      </c>
      <c r="I1283" s="10">
        <f t="shared" si="363"/>
        <v>428.57142857142856</v>
      </c>
      <c r="J1283" s="16" t="s">
        <v>201</v>
      </c>
      <c r="K1283" s="15">
        <v>1</v>
      </c>
      <c r="L1283" s="15"/>
      <c r="M1283" s="17"/>
      <c r="N1283" s="9"/>
      <c r="O1283" s="18">
        <f t="shared" si="364"/>
        <v>12000</v>
      </c>
      <c r="P1283" s="9"/>
      <c r="Q1283" s="9"/>
      <c r="R1283" s="9"/>
      <c r="S1283" s="10">
        <f t="shared" si="362"/>
        <v>428.57142857142856</v>
      </c>
    </row>
    <row r="1284" spans="2:19" outlineLevel="1">
      <c r="B1284" s="13" t="s">
        <v>95</v>
      </c>
      <c r="C1284" s="7" t="str">
        <f t="shared" si="360"/>
        <v>CAÇAMBA VOLKS 24260 PL QRR 5B87 POTY</v>
      </c>
      <c r="D1284" s="8">
        <f>D1216</f>
        <v>46093</v>
      </c>
      <c r="E1284" s="15"/>
      <c r="F1284" s="15"/>
      <c r="G1284" s="15">
        <f t="shared" si="361"/>
        <v>0</v>
      </c>
      <c r="H1284" s="16" t="s">
        <v>6</v>
      </c>
      <c r="I1284" s="10">
        <f t="shared" si="363"/>
        <v>428.57142857142856</v>
      </c>
      <c r="J1284" s="16" t="s">
        <v>201</v>
      </c>
      <c r="K1284" s="15">
        <v>1</v>
      </c>
      <c r="L1284" s="15"/>
      <c r="M1284" s="17"/>
      <c r="N1284" s="9"/>
      <c r="O1284" s="18">
        <f t="shared" si="364"/>
        <v>12000</v>
      </c>
      <c r="P1284" s="9"/>
      <c r="Q1284" s="9"/>
      <c r="R1284" s="9"/>
      <c r="S1284" s="10">
        <f t="shared" si="362"/>
        <v>428.57142857142856</v>
      </c>
    </row>
    <row r="1285" spans="2:19" outlineLevel="1">
      <c r="B1285" s="13" t="s">
        <v>95</v>
      </c>
      <c r="C1285" s="7" t="str">
        <f t="shared" si="360"/>
        <v>CAÇAMBA VOLKS 24260 PL QRR 5B87 POTY</v>
      </c>
      <c r="D1285" s="8">
        <f>D1217</f>
        <v>46094</v>
      </c>
      <c r="E1285" s="15"/>
      <c r="F1285" s="15"/>
      <c r="G1285" s="15">
        <f t="shared" si="361"/>
        <v>0</v>
      </c>
      <c r="H1285" s="16" t="s">
        <v>6</v>
      </c>
      <c r="I1285" s="10">
        <f t="shared" si="363"/>
        <v>428.57142857142856</v>
      </c>
      <c r="J1285" s="16" t="s">
        <v>201</v>
      </c>
      <c r="K1285" s="15">
        <v>1</v>
      </c>
      <c r="L1285" s="15"/>
      <c r="M1285" s="17"/>
      <c r="N1285" s="9"/>
      <c r="O1285" s="18">
        <f t="shared" si="364"/>
        <v>12000</v>
      </c>
      <c r="P1285" s="9"/>
      <c r="Q1285" s="9"/>
      <c r="R1285" s="9"/>
      <c r="S1285" s="10">
        <f t="shared" si="362"/>
        <v>428.57142857142856</v>
      </c>
    </row>
    <row r="1286" spans="2:19" outlineLevel="1">
      <c r="B1286" s="13" t="s">
        <v>95</v>
      </c>
      <c r="C1286" s="7" t="str">
        <f t="shared" si="360"/>
        <v>CAÇAMBA VOLKS 24260 PL QRR 5B87 POTY</v>
      </c>
      <c r="D1286" s="8">
        <f>D1218</f>
        <v>46095</v>
      </c>
      <c r="E1286" s="15"/>
      <c r="F1286" s="15"/>
      <c r="G1286" s="15">
        <f t="shared" si="361"/>
        <v>0</v>
      </c>
      <c r="H1286" s="16" t="s">
        <v>6</v>
      </c>
      <c r="I1286" s="10">
        <f t="shared" si="363"/>
        <v>428.57142857142856</v>
      </c>
      <c r="J1286" s="16" t="s">
        <v>201</v>
      </c>
      <c r="K1286" s="15">
        <v>1</v>
      </c>
      <c r="L1286" s="15"/>
      <c r="M1286" s="17"/>
      <c r="N1286" s="9"/>
      <c r="O1286" s="18">
        <f t="shared" si="364"/>
        <v>12000</v>
      </c>
      <c r="P1286" s="9"/>
      <c r="Q1286" s="9"/>
      <c r="R1286" s="9"/>
      <c r="S1286" s="10">
        <f t="shared" si="362"/>
        <v>428.57142857142856</v>
      </c>
    </row>
    <row r="1287" spans="2:19" outlineLevel="1">
      <c r="B1287" s="13" t="s">
        <v>95</v>
      </c>
      <c r="C1287" s="7" t="str">
        <f t="shared" si="360"/>
        <v>CAÇAMBA VOLKS 24260 PL QRR 5B87 POTY</v>
      </c>
      <c r="D1287" s="8">
        <f>D1219</f>
        <v>46096</v>
      </c>
      <c r="E1287" s="15"/>
      <c r="F1287" s="15"/>
      <c r="G1287" s="15">
        <f t="shared" si="361"/>
        <v>0</v>
      </c>
      <c r="H1287" s="16" t="s">
        <v>6</v>
      </c>
      <c r="I1287" s="10">
        <f t="shared" si="363"/>
        <v>428.57142857142856</v>
      </c>
      <c r="J1287" s="16" t="s">
        <v>201</v>
      </c>
      <c r="K1287" s="15">
        <v>1</v>
      </c>
      <c r="L1287" s="15"/>
      <c r="M1287" s="17"/>
      <c r="N1287" s="9"/>
      <c r="O1287" s="18">
        <f t="shared" si="364"/>
        <v>12000</v>
      </c>
      <c r="P1287" s="9"/>
      <c r="Q1287" s="9"/>
      <c r="R1287" s="9"/>
      <c r="S1287" s="10">
        <f t="shared" si="362"/>
        <v>428.57142857142856</v>
      </c>
    </row>
    <row r="1288" spans="2:19" outlineLevel="1">
      <c r="B1288" s="13" t="s">
        <v>95</v>
      </c>
      <c r="C1288" s="7" t="str">
        <f t="shared" si="360"/>
        <v>CAÇAMBA VOLKS 24260 PL QRR 5B87 POTY</v>
      </c>
      <c r="D1288" s="8">
        <f>D1220</f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63"/>
        <v>428.57142857142856</v>
      </c>
      <c r="J1288" s="16" t="s">
        <v>201</v>
      </c>
      <c r="K1288" s="15">
        <v>1</v>
      </c>
      <c r="L1288" s="15"/>
      <c r="M1288" s="17"/>
      <c r="N1288" s="9"/>
      <c r="O1288" s="18">
        <f t="shared" si="364"/>
        <v>12000</v>
      </c>
      <c r="P1288" s="9"/>
      <c r="Q1288" s="9"/>
      <c r="R1288" s="9"/>
      <c r="S1288" s="10">
        <f t="shared" si="362"/>
        <v>428.57142857142856</v>
      </c>
    </row>
    <row r="1289" spans="2:19" outlineLevel="1">
      <c r="B1289" s="13" t="s">
        <v>95</v>
      </c>
      <c r="C1289" s="7" t="str">
        <f t="shared" si="360"/>
        <v>CAÇAMBA VOLKS 24260 PL QRR 5B87 POTY</v>
      </c>
      <c r="D1289" s="8">
        <f>D1221</f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63"/>
        <v>428.57142857142856</v>
      </c>
      <c r="J1289" s="16" t="s">
        <v>201</v>
      </c>
      <c r="K1289" s="15">
        <v>1</v>
      </c>
      <c r="L1289" s="15"/>
      <c r="M1289" s="17"/>
      <c r="N1289" s="9"/>
      <c r="O1289" s="18">
        <f t="shared" si="364"/>
        <v>12000</v>
      </c>
      <c r="P1289" s="9"/>
      <c r="Q1289" s="9"/>
      <c r="R1289" s="9"/>
      <c r="S1289" s="10">
        <f t="shared" si="362"/>
        <v>428.57142857142856</v>
      </c>
    </row>
    <row r="1290" spans="2:19" outlineLevel="1">
      <c r="B1290" s="13" t="s">
        <v>95</v>
      </c>
      <c r="C1290" s="7" t="str">
        <f t="shared" si="360"/>
        <v>CAÇAMBA VOLKS 24260 PL QRR 5B87 POTY</v>
      </c>
      <c r="D1290" s="8">
        <f>D1222</f>
        <v>46099</v>
      </c>
      <c r="E1290" s="15"/>
      <c r="F1290" s="15"/>
      <c r="G1290" s="15">
        <f t="shared" si="361"/>
        <v>0</v>
      </c>
      <c r="H1290" s="16" t="s">
        <v>6</v>
      </c>
      <c r="I1290" s="10">
        <f t="shared" si="363"/>
        <v>428.57142857142856</v>
      </c>
      <c r="J1290" s="16" t="s">
        <v>201</v>
      </c>
      <c r="K1290" s="15">
        <v>1</v>
      </c>
      <c r="L1290" s="15"/>
      <c r="M1290" s="17"/>
      <c r="N1290" s="9"/>
      <c r="O1290" s="18">
        <f t="shared" si="364"/>
        <v>12000</v>
      </c>
      <c r="P1290" s="9"/>
      <c r="Q1290" s="9"/>
      <c r="R1290" s="9"/>
      <c r="S1290" s="10">
        <f t="shared" si="362"/>
        <v>428.57142857142856</v>
      </c>
    </row>
    <row r="1291" spans="2:19" outlineLevel="1">
      <c r="B1291" s="13" t="s">
        <v>95</v>
      </c>
      <c r="C1291" s="7" t="str">
        <f t="shared" si="360"/>
        <v>CAÇAMBA VOLKS 24260 PL QRR 5B87 POTY</v>
      </c>
      <c r="D1291" s="8">
        <f>D1223</f>
        <v>46100</v>
      </c>
      <c r="E1291" s="15"/>
      <c r="F1291" s="15"/>
      <c r="G1291" s="15">
        <f t="shared" si="361"/>
        <v>0</v>
      </c>
      <c r="H1291" s="16" t="s">
        <v>6</v>
      </c>
      <c r="I1291" s="10">
        <f t="shared" si="363"/>
        <v>428.57142857142856</v>
      </c>
      <c r="J1291" s="16" t="s">
        <v>201</v>
      </c>
      <c r="K1291" s="15">
        <v>1</v>
      </c>
      <c r="L1291" s="15"/>
      <c r="M1291" s="17"/>
      <c r="N1291" s="9"/>
      <c r="O1291" s="18">
        <f t="shared" si="364"/>
        <v>12000</v>
      </c>
      <c r="P1291" s="9"/>
      <c r="Q1291" s="9"/>
      <c r="R1291" s="9"/>
      <c r="S1291" s="10">
        <f t="shared" si="362"/>
        <v>428.57142857142856</v>
      </c>
    </row>
    <row r="1292" spans="2:19" outlineLevel="1">
      <c r="B1292" s="13" t="s">
        <v>95</v>
      </c>
      <c r="C1292" s="7" t="str">
        <f t="shared" si="360"/>
        <v>CAÇAMBA VOLKS 24260 PL QRR 5B87 POTY</v>
      </c>
      <c r="D1292" s="8">
        <f>D1224</f>
        <v>46101</v>
      </c>
      <c r="E1292" s="15"/>
      <c r="F1292" s="15"/>
      <c r="G1292" s="15">
        <f t="shared" si="361"/>
        <v>0</v>
      </c>
      <c r="H1292" s="16" t="s">
        <v>6</v>
      </c>
      <c r="I1292" s="10">
        <f t="shared" si="363"/>
        <v>428.57142857142856</v>
      </c>
      <c r="J1292" s="16" t="s">
        <v>201</v>
      </c>
      <c r="K1292" s="15">
        <v>1</v>
      </c>
      <c r="L1292" s="15"/>
      <c r="M1292" s="17"/>
      <c r="N1292" s="9"/>
      <c r="O1292" s="18">
        <f t="shared" si="364"/>
        <v>12000</v>
      </c>
      <c r="P1292" s="9"/>
      <c r="Q1292" s="9"/>
      <c r="R1292" s="9"/>
      <c r="S1292" s="10">
        <f t="shared" si="362"/>
        <v>428.57142857142856</v>
      </c>
    </row>
    <row r="1293" spans="2:19" outlineLevel="1">
      <c r="B1293" s="13" t="s">
        <v>95</v>
      </c>
      <c r="C1293" s="7" t="str">
        <f t="shared" si="360"/>
        <v>CAÇAMBA VOLKS 24260 PL QRR 5B87 POTY</v>
      </c>
      <c r="D1293" s="8">
        <f>D1225</f>
        <v>46102</v>
      </c>
      <c r="E1293" s="15"/>
      <c r="F1293" s="15"/>
      <c r="G1293" s="15">
        <f t="shared" si="361"/>
        <v>0</v>
      </c>
      <c r="H1293" s="16" t="s">
        <v>6</v>
      </c>
      <c r="I1293" s="10">
        <f t="shared" si="363"/>
        <v>428.57142857142856</v>
      </c>
      <c r="J1293" s="16" t="s">
        <v>201</v>
      </c>
      <c r="K1293" s="15">
        <v>1</v>
      </c>
      <c r="L1293" s="15"/>
      <c r="M1293" s="17"/>
      <c r="N1293" s="9"/>
      <c r="O1293" s="18">
        <f t="shared" si="364"/>
        <v>12000</v>
      </c>
      <c r="P1293" s="9"/>
      <c r="Q1293" s="9"/>
      <c r="R1293" s="9"/>
      <c r="S1293" s="10">
        <f t="shared" si="362"/>
        <v>428.57142857142856</v>
      </c>
    </row>
    <row r="1294" spans="2:19" outlineLevel="1">
      <c r="B1294" s="13" t="s">
        <v>95</v>
      </c>
      <c r="C1294" s="7" t="str">
        <f t="shared" si="360"/>
        <v>CAÇAMBA VOLKS 24260 PL QRR 5B87 POTY</v>
      </c>
      <c r="D1294" s="8">
        <f>D1226</f>
        <v>46103</v>
      </c>
      <c r="E1294" s="15"/>
      <c r="F1294" s="15"/>
      <c r="G1294" s="15">
        <f t="shared" si="361"/>
        <v>0</v>
      </c>
      <c r="H1294" s="16" t="s">
        <v>6</v>
      </c>
      <c r="I1294" s="10">
        <f t="shared" si="363"/>
        <v>428.57142857142856</v>
      </c>
      <c r="J1294" s="16" t="s">
        <v>201</v>
      </c>
      <c r="K1294" s="15">
        <v>1</v>
      </c>
      <c r="L1294" s="15"/>
      <c r="M1294" s="17"/>
      <c r="N1294" s="9"/>
      <c r="O1294" s="18">
        <f t="shared" si="364"/>
        <v>12000</v>
      </c>
      <c r="P1294" s="9"/>
      <c r="Q1294" s="9"/>
      <c r="R1294" s="9"/>
      <c r="S1294" s="10">
        <f t="shared" si="362"/>
        <v>428.57142857142856</v>
      </c>
    </row>
    <row r="1295" spans="2:19" outlineLevel="1">
      <c r="B1295" s="13" t="s">
        <v>95</v>
      </c>
      <c r="C1295" s="7" t="str">
        <f t="shared" si="360"/>
        <v>CAÇAMBA VOLKS 24260 PL QRR 5B87 POTY</v>
      </c>
      <c r="D1295" s="8">
        <f>D1227</f>
        <v>46104</v>
      </c>
      <c r="E1295" s="15"/>
      <c r="F1295" s="15"/>
      <c r="G1295" s="15">
        <f t="shared" si="361"/>
        <v>0</v>
      </c>
      <c r="H1295" s="16" t="s">
        <v>6</v>
      </c>
      <c r="I1295" s="10">
        <f t="shared" si="363"/>
        <v>428.57142857142856</v>
      </c>
      <c r="J1295" s="16" t="s">
        <v>201</v>
      </c>
      <c r="K1295" s="15">
        <v>1</v>
      </c>
      <c r="L1295" s="15"/>
      <c r="M1295" s="17"/>
      <c r="N1295" s="9"/>
      <c r="O1295" s="18">
        <f t="shared" si="364"/>
        <v>12000</v>
      </c>
      <c r="P1295" s="9"/>
      <c r="Q1295" s="9"/>
      <c r="R1295" s="9"/>
      <c r="S1295" s="10">
        <f t="shared" si="362"/>
        <v>428.57142857142856</v>
      </c>
    </row>
    <row r="1296" spans="2:19" outlineLevel="1">
      <c r="B1296" s="13" t="s">
        <v>95</v>
      </c>
      <c r="C1296" s="7" t="str">
        <f t="shared" si="360"/>
        <v>CAÇAMBA VOLKS 24260 PL QRR 5B87 POTY</v>
      </c>
      <c r="D1296" s="8">
        <f>D1228</f>
        <v>46105</v>
      </c>
      <c r="E1296" s="15"/>
      <c r="F1296" s="15"/>
      <c r="G1296" s="15">
        <f t="shared" si="361"/>
        <v>0</v>
      </c>
      <c r="H1296" s="16" t="s">
        <v>6</v>
      </c>
      <c r="I1296" s="10">
        <f t="shared" si="363"/>
        <v>428.57142857142856</v>
      </c>
      <c r="J1296" s="16" t="s">
        <v>201</v>
      </c>
      <c r="K1296" s="15">
        <v>1</v>
      </c>
      <c r="L1296" s="15"/>
      <c r="M1296" s="17"/>
      <c r="N1296" s="9"/>
      <c r="O1296" s="18">
        <f t="shared" si="364"/>
        <v>12000</v>
      </c>
      <c r="P1296" s="9"/>
      <c r="Q1296" s="9"/>
      <c r="R1296" s="9"/>
      <c r="S1296" s="10">
        <f t="shared" si="362"/>
        <v>428.57142857142856</v>
      </c>
    </row>
    <row r="1297" spans="2:19" outlineLevel="1">
      <c r="B1297" s="13" t="s">
        <v>95</v>
      </c>
      <c r="C1297" s="7" t="str">
        <f t="shared" si="360"/>
        <v>CAÇAMBA VOLKS 24260 PL QRR 5B87 POTY</v>
      </c>
      <c r="D1297" s="8">
        <f>D1229</f>
        <v>46106</v>
      </c>
      <c r="E1297" s="15"/>
      <c r="F1297" s="15"/>
      <c r="G1297" s="15">
        <f t="shared" si="361"/>
        <v>0</v>
      </c>
      <c r="H1297" s="16" t="s">
        <v>6</v>
      </c>
      <c r="I1297" s="10">
        <f t="shared" si="363"/>
        <v>428.57142857142856</v>
      </c>
      <c r="J1297" s="16" t="s">
        <v>201</v>
      </c>
      <c r="K1297" s="15">
        <v>1</v>
      </c>
      <c r="L1297" s="15"/>
      <c r="M1297" s="17"/>
      <c r="N1297" s="9"/>
      <c r="O1297" s="18">
        <f t="shared" si="364"/>
        <v>12000</v>
      </c>
      <c r="P1297" s="9"/>
      <c r="Q1297" s="9"/>
      <c r="R1297" s="9"/>
      <c r="S1297" s="10">
        <f t="shared" si="362"/>
        <v>428.57142857142856</v>
      </c>
    </row>
    <row r="1298" spans="2:19" outlineLevel="1">
      <c r="B1298" s="13" t="s">
        <v>95</v>
      </c>
      <c r="C1298" s="7" t="str">
        <f t="shared" si="360"/>
        <v>CAÇAMBA VOLKS 24260 PL QRR 5B87 POTY</v>
      </c>
      <c r="D1298" s="8">
        <f>D1230</f>
        <v>46107</v>
      </c>
      <c r="E1298" s="15"/>
      <c r="F1298" s="15"/>
      <c r="G1298" s="15">
        <f t="shared" si="361"/>
        <v>0</v>
      </c>
      <c r="H1298" s="16" t="s">
        <v>6</v>
      </c>
      <c r="I1298" s="10">
        <f t="shared" si="363"/>
        <v>428.57142857142856</v>
      </c>
      <c r="J1298" s="16" t="s">
        <v>201</v>
      </c>
      <c r="K1298" s="15">
        <v>1</v>
      </c>
      <c r="L1298" s="15"/>
      <c r="M1298" s="17"/>
      <c r="N1298" s="9"/>
      <c r="O1298" s="18">
        <f t="shared" si="364"/>
        <v>12000</v>
      </c>
      <c r="P1298" s="9"/>
      <c r="Q1298" s="9"/>
      <c r="R1298" s="9"/>
      <c r="S1298" s="10">
        <f t="shared" si="362"/>
        <v>428.57142857142856</v>
      </c>
    </row>
    <row r="1299" spans="2:19" outlineLevel="1">
      <c r="B1299" s="13" t="s">
        <v>95</v>
      </c>
      <c r="C1299" s="7" t="str">
        <f t="shared" si="360"/>
        <v>CAÇAMBA VOLKS 24260 PL QRR 5B87 POTY</v>
      </c>
      <c r="D1299" s="8">
        <f>D1231</f>
        <v>46108</v>
      </c>
      <c r="E1299" s="15"/>
      <c r="F1299" s="15"/>
      <c r="G1299" s="15">
        <f t="shared" si="361"/>
        <v>0</v>
      </c>
      <c r="H1299" s="16" t="s">
        <v>6</v>
      </c>
      <c r="I1299" s="10">
        <f t="shared" si="363"/>
        <v>428.57142857142856</v>
      </c>
      <c r="J1299" s="16" t="s">
        <v>201</v>
      </c>
      <c r="K1299" s="15">
        <v>1</v>
      </c>
      <c r="L1299" s="15"/>
      <c r="M1299" s="17"/>
      <c r="N1299" s="9"/>
      <c r="O1299" s="18">
        <f t="shared" si="364"/>
        <v>12000</v>
      </c>
      <c r="P1299" s="9"/>
      <c r="Q1299" s="9"/>
      <c r="R1299" s="9"/>
      <c r="S1299" s="10">
        <f t="shared" si="362"/>
        <v>428.57142857142856</v>
      </c>
    </row>
    <row r="1300" spans="2:19" outlineLevel="1">
      <c r="B1300" s="13" t="s">
        <v>95</v>
      </c>
      <c r="C1300" s="7" t="str">
        <f t="shared" si="360"/>
        <v>CAÇAMBA VOLKS 24260 PL QRR 5B87 POTY</v>
      </c>
      <c r="D1300" s="8">
        <f t="shared" ref="D1300" si="365">D1232</f>
        <v>46109</v>
      </c>
      <c r="E1300" s="15"/>
      <c r="F1300" s="15"/>
      <c r="G1300" s="15">
        <f t="shared" ref="G1300:G1302" si="366">F1300-E1300</f>
        <v>0</v>
      </c>
      <c r="H1300" s="16" t="s">
        <v>6</v>
      </c>
      <c r="I1300" s="10">
        <f>I1296</f>
        <v>428.57142857142856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67">SUM(R1300+Q1300+I1300)</f>
        <v>428.57142857142856</v>
      </c>
    </row>
    <row r="1301" spans="2:19" outlineLevel="1">
      <c r="B1301" s="13" t="s">
        <v>95</v>
      </c>
      <c r="C1301" s="7" t="str">
        <f t="shared" si="360"/>
        <v>CAÇAMBA VOLKS 24260 PL QRR 5B87 POTY</v>
      </c>
      <c r="D1301" s="8">
        <f t="shared" ref="D1301:D1303" si="368">D1233</f>
        <v>46110</v>
      </c>
      <c r="E1301" s="15"/>
      <c r="F1301" s="15"/>
      <c r="G1301" s="15">
        <f t="shared" si="366"/>
        <v>0</v>
      </c>
      <c r="H1301" s="16" t="s">
        <v>6</v>
      </c>
      <c r="I1301" s="10">
        <f>I1297</f>
        <v>428.57142857142856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7"/>
        <v>428.57142857142856</v>
      </c>
    </row>
    <row r="1302" spans="2:19" outlineLevel="1">
      <c r="B1302" s="13" t="s">
        <v>95</v>
      </c>
      <c r="C1302" s="7" t="str">
        <f t="shared" si="360"/>
        <v>CAÇAMBA VOLKS 24260 PL QRR 5B87 POTY</v>
      </c>
      <c r="D1302" s="8">
        <f t="shared" si="368"/>
        <v>46111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428.57142857142856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428.57142857142856</v>
      </c>
    </row>
    <row r="1303" spans="2:19" outlineLevel="1">
      <c r="B1303" s="13" t="s">
        <v>95</v>
      </c>
      <c r="C1303" s="7" t="str">
        <f t="shared" si="360"/>
        <v>CAÇAMBA VOLKS 24260 PL QRR 5B87 POTY</v>
      </c>
      <c r="D1303" s="8">
        <f t="shared" si="368"/>
        <v>46112</v>
      </c>
      <c r="E1303" s="15"/>
      <c r="F1303" s="15"/>
      <c r="G1303" s="15">
        <f t="shared" si="361"/>
        <v>0</v>
      </c>
      <c r="H1303" s="16" t="s">
        <v>6</v>
      </c>
      <c r="I1303" s="10">
        <f>I1299</f>
        <v>428.57142857142856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62"/>
        <v>428.57142857142856</v>
      </c>
    </row>
    <row r="1304" spans="2:19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5" t="str">
        <f>M$1</f>
        <v>BM JANEIRO 2026</v>
      </c>
      <c r="N1305" s="135"/>
      <c r="O1305" s="135"/>
      <c r="P1305" s="19" t="s">
        <v>10</v>
      </c>
      <c r="Q1305" s="136"/>
      <c r="R1305" s="136"/>
      <c r="S1305" s="136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outlineLevel="1">
      <c r="B1307" s="68" t="s">
        <v>96</v>
      </c>
      <c r="C1307" s="7" t="str">
        <f>C$1305</f>
        <v>CAMINHÃO MUNCK VOLKS PL LVG 4221</v>
      </c>
      <c r="D1307" s="8">
        <f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480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O1307/30</f>
        <v>480</v>
      </c>
      <c r="Q1307" s="9"/>
      <c r="R1307" s="85">
        <v>0</v>
      </c>
      <c r="S1307" s="10">
        <f>SUM(R1307+Q1307+I1307)</f>
        <v>480</v>
      </c>
    </row>
    <row r="1308" spans="2:19" outlineLevel="1">
      <c r="B1308" s="12" t="s">
        <v>0</v>
      </c>
      <c r="C1308" s="7" t="str">
        <f t="shared" ref="C1308:C1337" si="369">C$1305</f>
        <v>CAMINHÃO MUNCK VOLKS PL LVG 4221</v>
      </c>
      <c r="D1308" s="8">
        <f>D1240</f>
        <v>46083</v>
      </c>
      <c r="E1308" s="15"/>
      <c r="F1308" s="15"/>
      <c r="G1308" s="15">
        <f t="shared" ref="G1308:G1337" si="370">F1308-E1308</f>
        <v>0</v>
      </c>
      <c r="H1308" s="16" t="s">
        <v>271</v>
      </c>
      <c r="I1308" s="10">
        <f>I1307</f>
        <v>480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71">SUM(R1308+Q1308+I1308)</f>
        <v>480</v>
      </c>
    </row>
    <row r="1309" spans="2:19" outlineLevel="1">
      <c r="B1309" s="13" t="s">
        <v>96</v>
      </c>
      <c r="C1309" s="7" t="str">
        <f t="shared" si="369"/>
        <v>CAMINHÃO MUNCK VOLKS PL LVG 4221</v>
      </c>
      <c r="D1309" s="8">
        <f>D1241</f>
        <v>46084</v>
      </c>
      <c r="E1309" s="15"/>
      <c r="F1309" s="15"/>
      <c r="G1309" s="15">
        <f t="shared" si="370"/>
        <v>0</v>
      </c>
      <c r="H1309" s="16" t="s">
        <v>271</v>
      </c>
      <c r="I1309" s="10">
        <f t="shared" ref="I1309:I1333" si="372">I1308</f>
        <v>480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1"/>
        <v>480</v>
      </c>
    </row>
    <row r="1310" spans="2:19" outlineLevel="1">
      <c r="B1310" s="13" t="s">
        <v>96</v>
      </c>
      <c r="C1310" s="7" t="str">
        <f t="shared" si="369"/>
        <v>CAMINHÃO MUNCK VOLKS PL LVG 4221</v>
      </c>
      <c r="D1310" s="8">
        <f>D1242</f>
        <v>46085</v>
      </c>
      <c r="E1310" s="15"/>
      <c r="F1310" s="15"/>
      <c r="G1310" s="15">
        <f t="shared" si="370"/>
        <v>0</v>
      </c>
      <c r="H1310" s="16" t="s">
        <v>271</v>
      </c>
      <c r="I1310" s="10">
        <f t="shared" si="372"/>
        <v>480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71"/>
        <v>480</v>
      </c>
    </row>
    <row r="1311" spans="2:19" outlineLevel="1">
      <c r="B1311" s="13" t="s">
        <v>96</v>
      </c>
      <c r="C1311" s="7" t="str">
        <f t="shared" si="369"/>
        <v>CAMINHÃO MUNCK VOLKS PL LVG 4221</v>
      </c>
      <c r="D1311" s="8">
        <f>D1243</f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72"/>
        <v>480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1"/>
        <v>480</v>
      </c>
    </row>
    <row r="1312" spans="2:19" outlineLevel="1">
      <c r="B1312" s="13" t="s">
        <v>96</v>
      </c>
      <c r="C1312" s="7" t="str">
        <f t="shared" si="369"/>
        <v>CAMINHÃO MUNCK VOLKS PL LVG 4221</v>
      </c>
      <c r="D1312" s="8">
        <f>D1244</f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72"/>
        <v>480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1"/>
        <v>480</v>
      </c>
    </row>
    <row r="1313" spans="2:19" outlineLevel="1">
      <c r="B1313" s="13" t="s">
        <v>96</v>
      </c>
      <c r="C1313" s="7" t="str">
        <f t="shared" si="369"/>
        <v>CAMINHÃO MUNCK VOLKS PL LVG 4221</v>
      </c>
      <c r="D1313" s="8">
        <f>D1245</f>
        <v>46088</v>
      </c>
      <c r="E1313" s="15"/>
      <c r="F1313" s="15"/>
      <c r="G1313" s="15">
        <f t="shared" si="370"/>
        <v>0</v>
      </c>
      <c r="H1313" s="16" t="s">
        <v>271</v>
      </c>
      <c r="I1313" s="10">
        <f t="shared" si="372"/>
        <v>480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1"/>
        <v>480</v>
      </c>
    </row>
    <row r="1314" spans="2:19" outlineLevel="1">
      <c r="B1314" s="13" t="s">
        <v>96</v>
      </c>
      <c r="C1314" s="7" t="str">
        <f t="shared" si="369"/>
        <v>CAMINHÃO MUNCK VOLKS PL LVG 4221</v>
      </c>
      <c r="D1314" s="8">
        <f>D1246</f>
        <v>46089</v>
      </c>
      <c r="E1314" s="15"/>
      <c r="F1314" s="15"/>
      <c r="G1314" s="15">
        <f t="shared" si="370"/>
        <v>0</v>
      </c>
      <c r="H1314" s="16" t="s">
        <v>271</v>
      </c>
      <c r="I1314" s="10">
        <f t="shared" si="372"/>
        <v>480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1"/>
        <v>480</v>
      </c>
    </row>
    <row r="1315" spans="2:19" outlineLevel="1">
      <c r="B1315" s="13" t="s">
        <v>96</v>
      </c>
      <c r="C1315" s="7" t="str">
        <f t="shared" si="369"/>
        <v>CAMINHÃO MUNCK VOLKS PL LVG 4221</v>
      </c>
      <c r="D1315" s="8">
        <f>D1247</f>
        <v>46090</v>
      </c>
      <c r="E1315" s="15"/>
      <c r="F1315" s="15"/>
      <c r="G1315" s="15">
        <f t="shared" si="370"/>
        <v>0</v>
      </c>
      <c r="H1315" s="16" t="s">
        <v>271</v>
      </c>
      <c r="I1315" s="10">
        <f t="shared" si="372"/>
        <v>480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71"/>
        <v>480</v>
      </c>
    </row>
    <row r="1316" spans="2:19" outlineLevel="1">
      <c r="B1316" s="13" t="s">
        <v>96</v>
      </c>
      <c r="C1316" s="7" t="str">
        <f t="shared" si="369"/>
        <v>CAMINHÃO MUNCK VOLKS PL LVG 4221</v>
      </c>
      <c r="D1316" s="8">
        <f>D1248</f>
        <v>46091</v>
      </c>
      <c r="E1316" s="15"/>
      <c r="F1316" s="15"/>
      <c r="G1316" s="15">
        <f t="shared" si="370"/>
        <v>0</v>
      </c>
      <c r="H1316" s="16" t="s">
        <v>271</v>
      </c>
      <c r="I1316" s="10">
        <f t="shared" si="372"/>
        <v>480</v>
      </c>
      <c r="J1316" s="16" t="s">
        <v>201</v>
      </c>
      <c r="K1316" s="15"/>
      <c r="L1316" s="15"/>
      <c r="M1316" s="17"/>
      <c r="N1316" s="9"/>
      <c r="O1316" s="18">
        <f t="shared" ref="O1316:O1333" si="373">O1315</f>
        <v>0</v>
      </c>
      <c r="P1316" s="9"/>
      <c r="Q1316" s="9"/>
      <c r="R1316" s="85">
        <v>0</v>
      </c>
      <c r="S1316" s="10">
        <f t="shared" si="371"/>
        <v>480</v>
      </c>
    </row>
    <row r="1317" spans="2:19" outlineLevel="1">
      <c r="B1317" s="13" t="s">
        <v>96</v>
      </c>
      <c r="C1317" s="7" t="str">
        <f t="shared" si="369"/>
        <v>CAMINHÃO MUNCK VOLKS PL LVG 4221</v>
      </c>
      <c r="D1317" s="8">
        <f>D1249</f>
        <v>46092</v>
      </c>
      <c r="E1317" s="15"/>
      <c r="F1317" s="15"/>
      <c r="G1317" s="15">
        <f t="shared" si="370"/>
        <v>0</v>
      </c>
      <c r="H1317" s="16" t="s">
        <v>271</v>
      </c>
      <c r="I1317" s="10">
        <f t="shared" si="372"/>
        <v>480</v>
      </c>
      <c r="J1317" s="16" t="s">
        <v>201</v>
      </c>
      <c r="K1317" s="15"/>
      <c r="L1317" s="15"/>
      <c r="M1317" s="17"/>
      <c r="N1317" s="9"/>
      <c r="O1317" s="18">
        <f t="shared" si="373"/>
        <v>0</v>
      </c>
      <c r="P1317" s="9"/>
      <c r="Q1317" s="9"/>
      <c r="R1317" s="85">
        <v>0</v>
      </c>
      <c r="S1317" s="10">
        <f t="shared" si="371"/>
        <v>480</v>
      </c>
    </row>
    <row r="1318" spans="2:19" outlineLevel="1">
      <c r="B1318" s="13" t="s">
        <v>96</v>
      </c>
      <c r="C1318" s="7" t="str">
        <f t="shared" si="369"/>
        <v>CAMINHÃO MUNCK VOLKS PL LVG 4221</v>
      </c>
      <c r="D1318" s="8">
        <f>D1250</f>
        <v>46093</v>
      </c>
      <c r="E1318" s="15"/>
      <c r="F1318" s="15"/>
      <c r="G1318" s="15">
        <f t="shared" si="370"/>
        <v>0</v>
      </c>
      <c r="H1318" s="16" t="s">
        <v>271</v>
      </c>
      <c r="I1318" s="10">
        <f t="shared" si="372"/>
        <v>480</v>
      </c>
      <c r="J1318" s="16" t="s">
        <v>201</v>
      </c>
      <c r="K1318" s="15"/>
      <c r="L1318" s="15"/>
      <c r="M1318" s="17"/>
      <c r="N1318" s="9"/>
      <c r="O1318" s="18">
        <f t="shared" si="373"/>
        <v>0</v>
      </c>
      <c r="P1318" s="9"/>
      <c r="Q1318" s="9"/>
      <c r="R1318" s="85">
        <v>0</v>
      </c>
      <c r="S1318" s="10">
        <f t="shared" si="371"/>
        <v>480</v>
      </c>
    </row>
    <row r="1319" spans="2:19" outlineLevel="1">
      <c r="B1319" s="13" t="s">
        <v>96</v>
      </c>
      <c r="C1319" s="7" t="str">
        <f t="shared" si="369"/>
        <v>CAMINHÃO MUNCK VOLKS PL LVG 4221</v>
      </c>
      <c r="D1319" s="8">
        <f>D1251</f>
        <v>46094</v>
      </c>
      <c r="E1319" s="15"/>
      <c r="F1319" s="15"/>
      <c r="G1319" s="15">
        <f t="shared" si="370"/>
        <v>0</v>
      </c>
      <c r="H1319" s="16" t="s">
        <v>271</v>
      </c>
      <c r="I1319" s="10">
        <f t="shared" si="372"/>
        <v>480</v>
      </c>
      <c r="J1319" s="16" t="s">
        <v>201</v>
      </c>
      <c r="K1319" s="15"/>
      <c r="L1319" s="15"/>
      <c r="M1319" s="17"/>
      <c r="N1319" s="9"/>
      <c r="O1319" s="18">
        <f t="shared" si="373"/>
        <v>0</v>
      </c>
      <c r="P1319" s="9"/>
      <c r="Q1319" s="9"/>
      <c r="R1319" s="85">
        <v>0</v>
      </c>
      <c r="S1319" s="10">
        <f t="shared" si="371"/>
        <v>480</v>
      </c>
    </row>
    <row r="1320" spans="2:19" outlineLevel="1">
      <c r="B1320" s="13" t="s">
        <v>96</v>
      </c>
      <c r="C1320" s="7" t="str">
        <f t="shared" si="369"/>
        <v>CAMINHÃO MUNCK VOLKS PL LVG 4221</v>
      </c>
      <c r="D1320" s="8">
        <f>D1252</f>
        <v>46095</v>
      </c>
      <c r="E1320" s="15"/>
      <c r="F1320" s="15"/>
      <c r="G1320" s="15">
        <f t="shared" si="370"/>
        <v>0</v>
      </c>
      <c r="H1320" s="16" t="s">
        <v>271</v>
      </c>
      <c r="I1320" s="10">
        <f t="shared" si="372"/>
        <v>480</v>
      </c>
      <c r="J1320" s="16" t="s">
        <v>201</v>
      </c>
      <c r="K1320" s="15"/>
      <c r="L1320" s="15"/>
      <c r="M1320" s="17"/>
      <c r="N1320" s="9"/>
      <c r="O1320" s="18">
        <f t="shared" si="373"/>
        <v>0</v>
      </c>
      <c r="P1320" s="9"/>
      <c r="Q1320" s="9"/>
      <c r="R1320" s="85">
        <v>0</v>
      </c>
      <c r="S1320" s="10">
        <f t="shared" si="371"/>
        <v>480</v>
      </c>
    </row>
    <row r="1321" spans="2:19" outlineLevel="1">
      <c r="B1321" s="13" t="s">
        <v>96</v>
      </c>
      <c r="C1321" s="7" t="str">
        <f t="shared" si="369"/>
        <v>CAMINHÃO MUNCK VOLKS PL LVG 4221</v>
      </c>
      <c r="D1321" s="8">
        <f>D1253</f>
        <v>46096</v>
      </c>
      <c r="E1321" s="15"/>
      <c r="F1321" s="15"/>
      <c r="G1321" s="15">
        <f t="shared" si="370"/>
        <v>0</v>
      </c>
      <c r="H1321" s="16" t="s">
        <v>271</v>
      </c>
      <c r="I1321" s="10">
        <f t="shared" si="372"/>
        <v>480</v>
      </c>
      <c r="J1321" s="16" t="s">
        <v>201</v>
      </c>
      <c r="K1321" s="15"/>
      <c r="L1321" s="15"/>
      <c r="M1321" s="17"/>
      <c r="N1321" s="9"/>
      <c r="O1321" s="18">
        <f t="shared" si="373"/>
        <v>0</v>
      </c>
      <c r="P1321" s="9"/>
      <c r="Q1321" s="9"/>
      <c r="R1321" s="85">
        <v>0</v>
      </c>
      <c r="S1321" s="10">
        <f t="shared" si="371"/>
        <v>480</v>
      </c>
    </row>
    <row r="1322" spans="2:19" outlineLevel="1">
      <c r="B1322" s="13" t="s">
        <v>96</v>
      </c>
      <c r="C1322" s="7" t="str">
        <f t="shared" si="369"/>
        <v>CAMINHÃO MUNCK VOLKS PL LVG 4221</v>
      </c>
      <c r="D1322" s="8">
        <f>D1254</f>
        <v>46097</v>
      </c>
      <c r="E1322" s="15"/>
      <c r="F1322" s="15"/>
      <c r="G1322" s="15">
        <f t="shared" si="370"/>
        <v>0</v>
      </c>
      <c r="H1322" s="16" t="s">
        <v>271</v>
      </c>
      <c r="I1322" s="10">
        <f t="shared" si="372"/>
        <v>480</v>
      </c>
      <c r="J1322" s="16" t="s">
        <v>201</v>
      </c>
      <c r="K1322" s="15"/>
      <c r="L1322" s="15"/>
      <c r="M1322" s="17"/>
      <c r="N1322" s="9"/>
      <c r="O1322" s="18">
        <f t="shared" si="373"/>
        <v>0</v>
      </c>
      <c r="P1322" s="9"/>
      <c r="Q1322" s="9"/>
      <c r="R1322" s="85">
        <v>0</v>
      </c>
      <c r="S1322" s="10">
        <f t="shared" si="371"/>
        <v>480</v>
      </c>
    </row>
    <row r="1323" spans="2:19" outlineLevel="1">
      <c r="B1323" s="13" t="s">
        <v>96</v>
      </c>
      <c r="C1323" s="7" t="str">
        <f t="shared" si="369"/>
        <v>CAMINHÃO MUNCK VOLKS PL LVG 4221</v>
      </c>
      <c r="D1323" s="8">
        <f>D1255</f>
        <v>46098</v>
      </c>
      <c r="E1323" s="15"/>
      <c r="F1323" s="15"/>
      <c r="G1323" s="15">
        <f t="shared" si="370"/>
        <v>0</v>
      </c>
      <c r="H1323" s="16" t="s">
        <v>271</v>
      </c>
      <c r="I1323" s="10">
        <f t="shared" si="372"/>
        <v>480</v>
      </c>
      <c r="J1323" s="16" t="s">
        <v>201</v>
      </c>
      <c r="K1323" s="15"/>
      <c r="L1323" s="15"/>
      <c r="M1323" s="17"/>
      <c r="N1323" s="9"/>
      <c r="O1323" s="18">
        <f t="shared" si="373"/>
        <v>0</v>
      </c>
      <c r="P1323" s="9"/>
      <c r="Q1323" s="9"/>
      <c r="R1323" s="85">
        <v>0</v>
      </c>
      <c r="S1323" s="10">
        <f t="shared" si="371"/>
        <v>480</v>
      </c>
    </row>
    <row r="1324" spans="2:19" outlineLevel="1">
      <c r="B1324" s="13" t="s">
        <v>96</v>
      </c>
      <c r="C1324" s="7" t="str">
        <f t="shared" si="369"/>
        <v>CAMINHÃO MUNCK VOLKS PL LVG 4221</v>
      </c>
      <c r="D1324" s="8">
        <f>D1256</f>
        <v>46099</v>
      </c>
      <c r="E1324" s="15"/>
      <c r="F1324" s="15"/>
      <c r="G1324" s="15">
        <f t="shared" si="370"/>
        <v>0</v>
      </c>
      <c r="H1324" s="16" t="s">
        <v>271</v>
      </c>
      <c r="I1324" s="10">
        <f t="shared" si="372"/>
        <v>480</v>
      </c>
      <c r="J1324" s="16" t="s">
        <v>201</v>
      </c>
      <c r="K1324" s="15"/>
      <c r="L1324" s="15"/>
      <c r="M1324" s="17"/>
      <c r="N1324" s="9"/>
      <c r="O1324" s="18">
        <f t="shared" si="373"/>
        <v>0</v>
      </c>
      <c r="P1324" s="9"/>
      <c r="Q1324" s="9"/>
      <c r="R1324" s="85">
        <v>0</v>
      </c>
      <c r="S1324" s="10">
        <f t="shared" si="371"/>
        <v>480</v>
      </c>
    </row>
    <row r="1325" spans="2:19" outlineLevel="1">
      <c r="B1325" s="13" t="s">
        <v>96</v>
      </c>
      <c r="C1325" s="7" t="str">
        <f t="shared" si="369"/>
        <v>CAMINHÃO MUNCK VOLKS PL LVG 4221</v>
      </c>
      <c r="D1325" s="8">
        <f>D1257</f>
        <v>46100</v>
      </c>
      <c r="E1325" s="15"/>
      <c r="F1325" s="15"/>
      <c r="G1325" s="15">
        <f t="shared" si="370"/>
        <v>0</v>
      </c>
      <c r="H1325" s="16" t="s">
        <v>271</v>
      </c>
      <c r="I1325" s="10">
        <f t="shared" si="372"/>
        <v>480</v>
      </c>
      <c r="J1325" s="16" t="s">
        <v>201</v>
      </c>
      <c r="K1325" s="15"/>
      <c r="L1325" s="15"/>
      <c r="M1325" s="17"/>
      <c r="N1325" s="9"/>
      <c r="O1325" s="18">
        <f t="shared" si="373"/>
        <v>0</v>
      </c>
      <c r="P1325" s="9"/>
      <c r="Q1325" s="9"/>
      <c r="R1325" s="85">
        <v>0</v>
      </c>
      <c r="S1325" s="10">
        <f t="shared" si="371"/>
        <v>480</v>
      </c>
    </row>
    <row r="1326" spans="2:19" outlineLevel="1">
      <c r="B1326" s="13" t="s">
        <v>96</v>
      </c>
      <c r="C1326" s="7" t="str">
        <f t="shared" si="369"/>
        <v>CAMINHÃO MUNCK VOLKS PL LVG 4221</v>
      </c>
      <c r="D1326" s="8">
        <f>D1258</f>
        <v>46101</v>
      </c>
      <c r="E1326" s="15"/>
      <c r="F1326" s="15"/>
      <c r="G1326" s="15">
        <f t="shared" si="370"/>
        <v>0</v>
      </c>
      <c r="H1326" s="16" t="s">
        <v>271</v>
      </c>
      <c r="I1326" s="10">
        <f t="shared" si="372"/>
        <v>480</v>
      </c>
      <c r="J1326" s="16" t="s">
        <v>201</v>
      </c>
      <c r="K1326" s="15"/>
      <c r="L1326" s="15"/>
      <c r="M1326" s="17"/>
      <c r="N1326" s="9"/>
      <c r="O1326" s="18">
        <f t="shared" si="373"/>
        <v>0</v>
      </c>
      <c r="P1326" s="9"/>
      <c r="Q1326" s="9"/>
      <c r="R1326" s="85">
        <v>0</v>
      </c>
      <c r="S1326" s="10">
        <f t="shared" si="371"/>
        <v>480</v>
      </c>
    </row>
    <row r="1327" spans="2:19" outlineLevel="1">
      <c r="B1327" s="13" t="s">
        <v>96</v>
      </c>
      <c r="C1327" s="7" t="str">
        <f t="shared" si="369"/>
        <v>CAMINHÃO MUNCK VOLKS PL LVG 4221</v>
      </c>
      <c r="D1327" s="8">
        <f>D1259</f>
        <v>46102</v>
      </c>
      <c r="E1327" s="15"/>
      <c r="F1327" s="15"/>
      <c r="G1327" s="15">
        <f t="shared" si="370"/>
        <v>0</v>
      </c>
      <c r="H1327" s="16" t="s">
        <v>271</v>
      </c>
      <c r="I1327" s="10">
        <f t="shared" si="372"/>
        <v>480</v>
      </c>
      <c r="J1327" s="16" t="s">
        <v>201</v>
      </c>
      <c r="K1327" s="15"/>
      <c r="L1327" s="15"/>
      <c r="M1327" s="17"/>
      <c r="N1327" s="9"/>
      <c r="O1327" s="18">
        <f t="shared" si="373"/>
        <v>0</v>
      </c>
      <c r="P1327" s="9"/>
      <c r="Q1327" s="9"/>
      <c r="R1327" s="85">
        <v>0</v>
      </c>
      <c r="S1327" s="10">
        <f t="shared" si="371"/>
        <v>480</v>
      </c>
    </row>
    <row r="1328" spans="2:19" outlineLevel="1">
      <c r="B1328" s="13" t="s">
        <v>96</v>
      </c>
      <c r="C1328" s="7" t="str">
        <f t="shared" si="369"/>
        <v>CAMINHÃO MUNCK VOLKS PL LVG 4221</v>
      </c>
      <c r="D1328" s="8">
        <f>D1260</f>
        <v>46103</v>
      </c>
      <c r="E1328" s="15"/>
      <c r="F1328" s="15"/>
      <c r="G1328" s="15">
        <f t="shared" si="370"/>
        <v>0</v>
      </c>
      <c r="H1328" s="16" t="s">
        <v>271</v>
      </c>
      <c r="I1328" s="10">
        <f t="shared" si="372"/>
        <v>480</v>
      </c>
      <c r="J1328" s="16" t="s">
        <v>201</v>
      </c>
      <c r="K1328" s="15"/>
      <c r="L1328" s="15"/>
      <c r="M1328" s="17"/>
      <c r="N1328" s="9"/>
      <c r="O1328" s="18">
        <f t="shared" si="373"/>
        <v>0</v>
      </c>
      <c r="P1328" s="9"/>
      <c r="Q1328" s="9"/>
      <c r="R1328" s="85">
        <v>0</v>
      </c>
      <c r="S1328" s="10">
        <f t="shared" si="371"/>
        <v>480</v>
      </c>
    </row>
    <row r="1329" spans="2:19" outlineLevel="1">
      <c r="B1329" s="13" t="s">
        <v>96</v>
      </c>
      <c r="C1329" s="7" t="str">
        <f t="shared" si="369"/>
        <v>CAMINHÃO MUNCK VOLKS PL LVG 4221</v>
      </c>
      <c r="D1329" s="8">
        <f>D1261</f>
        <v>46104</v>
      </c>
      <c r="E1329" s="15"/>
      <c r="F1329" s="15"/>
      <c r="G1329" s="15">
        <f t="shared" si="370"/>
        <v>0</v>
      </c>
      <c r="H1329" s="16" t="s">
        <v>271</v>
      </c>
      <c r="I1329" s="10">
        <f t="shared" si="372"/>
        <v>480</v>
      </c>
      <c r="J1329" s="16" t="s">
        <v>201</v>
      </c>
      <c r="K1329" s="15"/>
      <c r="L1329" s="15"/>
      <c r="M1329" s="17"/>
      <c r="N1329" s="9"/>
      <c r="O1329" s="18">
        <f t="shared" si="373"/>
        <v>0</v>
      </c>
      <c r="P1329" s="9"/>
      <c r="Q1329" s="9"/>
      <c r="R1329" s="85">
        <v>0</v>
      </c>
      <c r="S1329" s="10">
        <f t="shared" si="371"/>
        <v>480</v>
      </c>
    </row>
    <row r="1330" spans="2:19" outlineLevel="1">
      <c r="B1330" s="13" t="s">
        <v>96</v>
      </c>
      <c r="C1330" s="7" t="str">
        <f t="shared" si="369"/>
        <v>CAMINHÃO MUNCK VOLKS PL LVG 4221</v>
      </c>
      <c r="D1330" s="8">
        <f>D1262</f>
        <v>46105</v>
      </c>
      <c r="E1330" s="15"/>
      <c r="F1330" s="15"/>
      <c r="G1330" s="15">
        <f t="shared" si="370"/>
        <v>0</v>
      </c>
      <c r="H1330" s="16" t="s">
        <v>271</v>
      </c>
      <c r="I1330" s="10">
        <f t="shared" si="372"/>
        <v>480</v>
      </c>
      <c r="J1330" s="16" t="s">
        <v>201</v>
      </c>
      <c r="K1330" s="15"/>
      <c r="L1330" s="15"/>
      <c r="M1330" s="17"/>
      <c r="N1330" s="9"/>
      <c r="O1330" s="18">
        <f t="shared" si="373"/>
        <v>0</v>
      </c>
      <c r="P1330" s="9"/>
      <c r="Q1330" s="9"/>
      <c r="R1330" s="85">
        <v>0</v>
      </c>
      <c r="S1330" s="10">
        <f t="shared" si="371"/>
        <v>480</v>
      </c>
    </row>
    <row r="1331" spans="2:19" outlineLevel="1">
      <c r="B1331" s="13" t="s">
        <v>96</v>
      </c>
      <c r="C1331" s="7" t="str">
        <f t="shared" si="369"/>
        <v>CAMINHÃO MUNCK VOLKS PL LVG 4221</v>
      </c>
      <c r="D1331" s="8">
        <f>D1263</f>
        <v>46106</v>
      </c>
      <c r="E1331" s="15"/>
      <c r="F1331" s="15"/>
      <c r="G1331" s="15">
        <f t="shared" si="370"/>
        <v>0</v>
      </c>
      <c r="H1331" s="16" t="s">
        <v>271</v>
      </c>
      <c r="I1331" s="10">
        <f t="shared" si="372"/>
        <v>480</v>
      </c>
      <c r="J1331" s="16" t="s">
        <v>201</v>
      </c>
      <c r="K1331" s="15"/>
      <c r="L1331" s="15"/>
      <c r="M1331" s="17"/>
      <c r="N1331" s="9"/>
      <c r="O1331" s="18">
        <f t="shared" si="373"/>
        <v>0</v>
      </c>
      <c r="P1331" s="9"/>
      <c r="Q1331" s="9"/>
      <c r="R1331" s="85">
        <v>0</v>
      </c>
      <c r="S1331" s="10">
        <f t="shared" si="371"/>
        <v>480</v>
      </c>
    </row>
    <row r="1332" spans="2:19" outlineLevel="1">
      <c r="B1332" s="13" t="s">
        <v>96</v>
      </c>
      <c r="C1332" s="7" t="str">
        <f t="shared" si="369"/>
        <v>CAMINHÃO MUNCK VOLKS PL LVG 4221</v>
      </c>
      <c r="D1332" s="8">
        <f>D1264</f>
        <v>46107</v>
      </c>
      <c r="E1332" s="15"/>
      <c r="F1332" s="15"/>
      <c r="G1332" s="15">
        <f t="shared" si="370"/>
        <v>0</v>
      </c>
      <c r="H1332" s="16" t="s">
        <v>271</v>
      </c>
      <c r="I1332" s="10">
        <f t="shared" si="372"/>
        <v>480</v>
      </c>
      <c r="J1332" s="16" t="s">
        <v>201</v>
      </c>
      <c r="K1332" s="15"/>
      <c r="L1332" s="15"/>
      <c r="M1332" s="17"/>
      <c r="N1332" s="9"/>
      <c r="O1332" s="18">
        <f t="shared" si="373"/>
        <v>0</v>
      </c>
      <c r="P1332" s="9"/>
      <c r="Q1332" s="9"/>
      <c r="R1332" s="85">
        <v>0</v>
      </c>
      <c r="S1332" s="10">
        <f t="shared" si="371"/>
        <v>480</v>
      </c>
    </row>
    <row r="1333" spans="2:19" outlineLevel="1">
      <c r="B1333" s="13" t="s">
        <v>96</v>
      </c>
      <c r="C1333" s="7" t="str">
        <f t="shared" si="369"/>
        <v>CAMINHÃO MUNCK VOLKS PL LVG 4221</v>
      </c>
      <c r="D1333" s="8">
        <f>D1265</f>
        <v>46108</v>
      </c>
      <c r="E1333" s="15"/>
      <c r="F1333" s="15"/>
      <c r="G1333" s="15">
        <f t="shared" si="370"/>
        <v>0</v>
      </c>
      <c r="H1333" s="16" t="s">
        <v>271</v>
      </c>
      <c r="I1333" s="10">
        <f t="shared" si="372"/>
        <v>480</v>
      </c>
      <c r="J1333" s="16" t="s">
        <v>201</v>
      </c>
      <c r="K1333" s="15"/>
      <c r="L1333" s="15"/>
      <c r="M1333" s="17"/>
      <c r="N1333" s="9"/>
      <c r="O1333" s="18">
        <f t="shared" si="373"/>
        <v>0</v>
      </c>
      <c r="P1333" s="9"/>
      <c r="Q1333" s="9"/>
      <c r="R1333" s="85">
        <v>0</v>
      </c>
      <c r="S1333" s="10">
        <f t="shared" si="371"/>
        <v>480</v>
      </c>
    </row>
    <row r="1334" spans="2:19" outlineLevel="1">
      <c r="B1334" s="13" t="s">
        <v>96</v>
      </c>
      <c r="C1334" s="7" t="str">
        <f t="shared" si="369"/>
        <v>CAMINHÃO MUNCK VOLKS PL LVG 4221</v>
      </c>
      <c r="D1334" s="8">
        <f t="shared" ref="D1334" si="374">D1266</f>
        <v>46109</v>
      </c>
      <c r="E1334" s="15"/>
      <c r="F1334" s="15"/>
      <c r="G1334" s="15">
        <f t="shared" ref="G1334:G1336" si="375">F1334-E1334</f>
        <v>0</v>
      </c>
      <c r="H1334" s="16" t="s">
        <v>271</v>
      </c>
      <c r="I1334" s="10">
        <f>I1330</f>
        <v>480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76">SUM(R1334+Q1334+I1334)</f>
        <v>480</v>
      </c>
    </row>
    <row r="1335" spans="2:19" outlineLevel="1">
      <c r="B1335" s="13" t="s">
        <v>96</v>
      </c>
      <c r="C1335" s="7" t="str">
        <f t="shared" si="369"/>
        <v>CAMINHÃO MUNCK VOLKS PL LVG 4221</v>
      </c>
      <c r="D1335" s="8">
        <f t="shared" ref="D1335:D1337" si="377">D1267</f>
        <v>46110</v>
      </c>
      <c r="E1335" s="15"/>
      <c r="F1335" s="15"/>
      <c r="G1335" s="15">
        <f t="shared" si="375"/>
        <v>0</v>
      </c>
      <c r="H1335" s="16" t="s">
        <v>271</v>
      </c>
      <c r="I1335" s="10">
        <f>I1331</f>
        <v>480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6"/>
        <v>480</v>
      </c>
    </row>
    <row r="1336" spans="2:19" outlineLevel="1">
      <c r="B1336" s="13" t="s">
        <v>96</v>
      </c>
      <c r="C1336" s="7" t="str">
        <f t="shared" si="369"/>
        <v>CAMINHÃO MUNCK VOLKS PL LVG 4221</v>
      </c>
      <c r="D1336" s="8">
        <f t="shared" si="377"/>
        <v>46111</v>
      </c>
      <c r="E1336" s="15"/>
      <c r="F1336" s="15"/>
      <c r="G1336" s="15">
        <f t="shared" si="375"/>
        <v>0</v>
      </c>
      <c r="H1336" s="16" t="s">
        <v>271</v>
      </c>
      <c r="I1336" s="10">
        <f>I1332</f>
        <v>480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6"/>
        <v>480</v>
      </c>
    </row>
    <row r="1337" spans="2:19" outlineLevel="1">
      <c r="B1337" s="13" t="s">
        <v>96</v>
      </c>
      <c r="C1337" s="7" t="str">
        <f t="shared" si="369"/>
        <v>CAMINHÃO MUNCK VOLKS PL LVG 4221</v>
      </c>
      <c r="D1337" s="8">
        <f t="shared" si="377"/>
        <v>46112</v>
      </c>
      <c r="E1337" s="15"/>
      <c r="F1337" s="15"/>
      <c r="G1337" s="15">
        <f t="shared" si="370"/>
        <v>0</v>
      </c>
      <c r="H1337" s="16" t="s">
        <v>271</v>
      </c>
      <c r="I1337" s="10">
        <f>I1333</f>
        <v>480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71"/>
        <v>480</v>
      </c>
    </row>
    <row r="1338" spans="2:19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5" t="str">
        <f>M$1</f>
        <v>BM JANEIRO 2026</v>
      </c>
      <c r="N1339" s="135"/>
      <c r="O1339" s="135"/>
      <c r="P1339" s="19" t="s">
        <v>10</v>
      </c>
      <c r="Q1339" s="136" t="s">
        <v>211</v>
      </c>
      <c r="R1339" s="136"/>
      <c r="S1339" s="136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outlineLevel="1">
      <c r="B1341" s="68" t="s">
        <v>98</v>
      </c>
      <c r="C1341" s="7" t="str">
        <f>C$1339</f>
        <v>MOTO NIVELADORA CATERPILLA 120 K POTY</v>
      </c>
      <c r="D1341" s="8">
        <f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outlineLevel="1">
      <c r="B1342" s="12" t="s">
        <v>0</v>
      </c>
      <c r="C1342" s="7" t="str">
        <f t="shared" ref="C1342:C1371" si="378">C$1339</f>
        <v>MOTO NIVELADORA CATERPILLA 120 K POTY</v>
      </c>
      <c r="D1342" s="8">
        <f>D1274</f>
        <v>46083</v>
      </c>
      <c r="E1342" s="15"/>
      <c r="F1342" s="15"/>
      <c r="G1342" s="15">
        <f t="shared" ref="G1342:G1371" si="379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80">SUM(R1342+Q1342+I1342)</f>
        <v>0</v>
      </c>
    </row>
    <row r="1343" spans="2:19" outlineLevel="1">
      <c r="B1343" s="13" t="s">
        <v>98</v>
      </c>
      <c r="C1343" s="7" t="str">
        <f t="shared" si="378"/>
        <v>MOTO NIVELADORA CATERPILLA 120 K POTY</v>
      </c>
      <c r="D1343" s="8">
        <f>D1275</f>
        <v>46084</v>
      </c>
      <c r="E1343" s="15"/>
      <c r="F1343" s="15"/>
      <c r="G1343" s="15">
        <f t="shared" si="379"/>
        <v>0</v>
      </c>
      <c r="H1343" s="16" t="s">
        <v>6</v>
      </c>
      <c r="I1343" s="10">
        <f t="shared" ref="I1343:I1367" si="381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82">O1342</f>
        <v>0</v>
      </c>
      <c r="P1343" s="9"/>
      <c r="Q1343" s="9"/>
      <c r="R1343" s="85">
        <v>0</v>
      </c>
      <c r="S1343" s="10">
        <f t="shared" si="380"/>
        <v>0</v>
      </c>
    </row>
    <row r="1344" spans="2:19" outlineLevel="1">
      <c r="B1344" s="13" t="s">
        <v>98</v>
      </c>
      <c r="C1344" s="7" t="str">
        <f t="shared" si="378"/>
        <v>MOTO NIVELADORA CATERPILLA 120 K POTY</v>
      </c>
      <c r="D1344" s="8">
        <f>D1276</f>
        <v>46085</v>
      </c>
      <c r="E1344" s="15"/>
      <c r="F1344" s="15"/>
      <c r="G1344" s="15">
        <f t="shared" si="379"/>
        <v>0</v>
      </c>
      <c r="H1344" s="16" t="s">
        <v>6</v>
      </c>
      <c r="I1344" s="10">
        <f t="shared" si="381"/>
        <v>0</v>
      </c>
      <c r="J1344" s="16" t="s">
        <v>201</v>
      </c>
      <c r="K1344" s="15"/>
      <c r="L1344" s="15"/>
      <c r="M1344" s="17"/>
      <c r="N1344" s="8"/>
      <c r="O1344" s="18">
        <f t="shared" si="382"/>
        <v>0</v>
      </c>
      <c r="P1344" s="9"/>
      <c r="Q1344" s="9"/>
      <c r="R1344" s="85">
        <v>0</v>
      </c>
      <c r="S1344" s="10">
        <f t="shared" si="380"/>
        <v>0</v>
      </c>
    </row>
    <row r="1345" spans="2:19" outlineLevel="1">
      <c r="B1345" s="13" t="s">
        <v>98</v>
      </c>
      <c r="C1345" s="7" t="str">
        <f t="shared" si="378"/>
        <v>MOTO NIVELADORA CATERPILLA 120 K POTY</v>
      </c>
      <c r="D1345" s="8">
        <f>D1277</f>
        <v>46086</v>
      </c>
      <c r="E1345" s="15"/>
      <c r="F1345" s="15"/>
      <c r="G1345" s="15">
        <f t="shared" si="379"/>
        <v>0</v>
      </c>
      <c r="H1345" s="16" t="s">
        <v>6</v>
      </c>
      <c r="I1345" s="10">
        <f t="shared" si="381"/>
        <v>0</v>
      </c>
      <c r="J1345" s="16" t="s">
        <v>201</v>
      </c>
      <c r="K1345" s="15"/>
      <c r="L1345" s="15"/>
      <c r="M1345" s="17"/>
      <c r="N1345" s="8"/>
      <c r="O1345" s="18">
        <f t="shared" si="382"/>
        <v>0</v>
      </c>
      <c r="P1345" s="9"/>
      <c r="Q1345" s="9"/>
      <c r="R1345" s="85">
        <v>0</v>
      </c>
      <c r="S1345" s="10">
        <f t="shared" si="380"/>
        <v>0</v>
      </c>
    </row>
    <row r="1346" spans="2:19" outlineLevel="1">
      <c r="B1346" s="13" t="s">
        <v>98</v>
      </c>
      <c r="C1346" s="7" t="str">
        <f t="shared" si="378"/>
        <v>MOTO NIVELADORA CATERPILLA 120 K POTY</v>
      </c>
      <c r="D1346" s="8">
        <f>D1278</f>
        <v>46087</v>
      </c>
      <c r="E1346" s="15"/>
      <c r="F1346" s="15"/>
      <c r="G1346" s="15">
        <f t="shared" si="379"/>
        <v>0</v>
      </c>
      <c r="H1346" s="16" t="s">
        <v>6</v>
      </c>
      <c r="I1346" s="10">
        <f t="shared" si="381"/>
        <v>0</v>
      </c>
      <c r="J1346" s="16" t="s">
        <v>201</v>
      </c>
      <c r="K1346" s="15"/>
      <c r="L1346" s="15"/>
      <c r="M1346" s="17"/>
      <c r="N1346" s="8"/>
      <c r="O1346" s="18">
        <f t="shared" si="382"/>
        <v>0</v>
      </c>
      <c r="P1346" s="9"/>
      <c r="Q1346" s="9"/>
      <c r="R1346" s="85">
        <v>0</v>
      </c>
      <c r="S1346" s="10">
        <f t="shared" si="380"/>
        <v>0</v>
      </c>
    </row>
    <row r="1347" spans="2:19" outlineLevel="1">
      <c r="B1347" s="13" t="s">
        <v>98</v>
      </c>
      <c r="C1347" s="7" t="str">
        <f t="shared" si="378"/>
        <v>MOTO NIVELADORA CATERPILLA 120 K POTY</v>
      </c>
      <c r="D1347" s="8">
        <f>D1279</f>
        <v>46088</v>
      </c>
      <c r="E1347" s="15"/>
      <c r="F1347" s="15"/>
      <c r="G1347" s="15">
        <f t="shared" si="379"/>
        <v>0</v>
      </c>
      <c r="H1347" s="16" t="s">
        <v>6</v>
      </c>
      <c r="I1347" s="10">
        <f t="shared" si="381"/>
        <v>0</v>
      </c>
      <c r="J1347" s="16" t="s">
        <v>201</v>
      </c>
      <c r="K1347" s="15"/>
      <c r="L1347" s="15"/>
      <c r="M1347" s="17"/>
      <c r="N1347" s="8"/>
      <c r="O1347" s="18">
        <f t="shared" si="382"/>
        <v>0</v>
      </c>
      <c r="P1347" s="9"/>
      <c r="Q1347" s="9"/>
      <c r="R1347" s="85">
        <v>0</v>
      </c>
      <c r="S1347" s="10">
        <f t="shared" si="380"/>
        <v>0</v>
      </c>
    </row>
    <row r="1348" spans="2:19" outlineLevel="1">
      <c r="B1348" s="13" t="s">
        <v>98</v>
      </c>
      <c r="C1348" s="7" t="str">
        <f t="shared" si="378"/>
        <v>MOTO NIVELADORA CATERPILLA 120 K POTY</v>
      </c>
      <c r="D1348" s="8">
        <f>D1280</f>
        <v>46089</v>
      </c>
      <c r="E1348" s="15"/>
      <c r="F1348" s="15"/>
      <c r="G1348" s="15">
        <f t="shared" si="379"/>
        <v>0</v>
      </c>
      <c r="H1348" s="16" t="s">
        <v>6</v>
      </c>
      <c r="I1348" s="10">
        <f t="shared" si="381"/>
        <v>0</v>
      </c>
      <c r="J1348" s="16" t="s">
        <v>201</v>
      </c>
      <c r="K1348" s="15"/>
      <c r="L1348" s="15"/>
      <c r="M1348" s="17"/>
      <c r="N1348" s="8"/>
      <c r="O1348" s="18">
        <f t="shared" si="382"/>
        <v>0</v>
      </c>
      <c r="P1348" s="9"/>
      <c r="Q1348" s="9"/>
      <c r="R1348" s="85">
        <v>0</v>
      </c>
      <c r="S1348" s="10">
        <f t="shared" si="380"/>
        <v>0</v>
      </c>
    </row>
    <row r="1349" spans="2:19" outlineLevel="1">
      <c r="B1349" s="13" t="s">
        <v>98</v>
      </c>
      <c r="C1349" s="7" t="str">
        <f t="shared" si="378"/>
        <v>MOTO NIVELADORA CATERPILLA 120 K POTY</v>
      </c>
      <c r="D1349" s="8">
        <f>D1281</f>
        <v>46090</v>
      </c>
      <c r="E1349" s="15"/>
      <c r="F1349" s="15"/>
      <c r="G1349" s="15">
        <f t="shared" si="379"/>
        <v>0</v>
      </c>
      <c r="H1349" s="16" t="s">
        <v>6</v>
      </c>
      <c r="I1349" s="10">
        <f t="shared" si="381"/>
        <v>0</v>
      </c>
      <c r="J1349" s="16" t="s">
        <v>201</v>
      </c>
      <c r="K1349" s="15"/>
      <c r="L1349" s="15"/>
      <c r="M1349" s="17"/>
      <c r="N1349" s="8"/>
      <c r="O1349" s="18">
        <f t="shared" si="382"/>
        <v>0</v>
      </c>
      <c r="P1349" s="9"/>
      <c r="Q1349" s="9"/>
      <c r="R1349" s="85">
        <v>0</v>
      </c>
      <c r="S1349" s="10">
        <f t="shared" si="380"/>
        <v>0</v>
      </c>
    </row>
    <row r="1350" spans="2:19" outlineLevel="1">
      <c r="B1350" s="13" t="s">
        <v>98</v>
      </c>
      <c r="C1350" s="7" t="str">
        <f t="shared" si="378"/>
        <v>MOTO NIVELADORA CATERPILLA 120 K POTY</v>
      </c>
      <c r="D1350" s="8">
        <f>D1282</f>
        <v>46091</v>
      </c>
      <c r="E1350" s="15"/>
      <c r="F1350" s="15"/>
      <c r="G1350" s="15">
        <f t="shared" si="379"/>
        <v>0</v>
      </c>
      <c r="H1350" s="16" t="s">
        <v>6</v>
      </c>
      <c r="I1350" s="10">
        <f t="shared" si="381"/>
        <v>0</v>
      </c>
      <c r="J1350" s="16" t="s">
        <v>201</v>
      </c>
      <c r="K1350" s="15"/>
      <c r="L1350" s="15"/>
      <c r="M1350" s="17"/>
      <c r="N1350" s="8"/>
      <c r="O1350" s="18">
        <f t="shared" si="382"/>
        <v>0</v>
      </c>
      <c r="P1350" s="9"/>
      <c r="Q1350" s="9"/>
      <c r="R1350" s="85">
        <v>0</v>
      </c>
      <c r="S1350" s="10">
        <f t="shared" si="380"/>
        <v>0</v>
      </c>
    </row>
    <row r="1351" spans="2:19" outlineLevel="1">
      <c r="B1351" s="13" t="s">
        <v>98</v>
      </c>
      <c r="C1351" s="7" t="str">
        <f t="shared" si="378"/>
        <v>MOTO NIVELADORA CATERPILLA 120 K POTY</v>
      </c>
      <c r="D1351" s="8">
        <f>D1283</f>
        <v>46092</v>
      </c>
      <c r="E1351" s="15"/>
      <c r="F1351" s="15"/>
      <c r="G1351" s="15">
        <f t="shared" si="379"/>
        <v>0</v>
      </c>
      <c r="H1351" s="16" t="s">
        <v>6</v>
      </c>
      <c r="I1351" s="10">
        <f t="shared" si="381"/>
        <v>0</v>
      </c>
      <c r="J1351" s="16" t="s">
        <v>201</v>
      </c>
      <c r="K1351" s="15"/>
      <c r="L1351" s="15"/>
      <c r="M1351" s="17"/>
      <c r="N1351" s="8"/>
      <c r="O1351" s="18">
        <f t="shared" si="382"/>
        <v>0</v>
      </c>
      <c r="P1351" s="9"/>
      <c r="Q1351" s="9"/>
      <c r="R1351" s="85">
        <v>0</v>
      </c>
      <c r="S1351" s="10">
        <f t="shared" si="380"/>
        <v>0</v>
      </c>
    </row>
    <row r="1352" spans="2:19" outlineLevel="1">
      <c r="B1352" s="13" t="s">
        <v>98</v>
      </c>
      <c r="C1352" s="7" t="str">
        <f t="shared" si="378"/>
        <v>MOTO NIVELADORA CATERPILLA 120 K POTY</v>
      </c>
      <c r="D1352" s="8">
        <f>D1284</f>
        <v>46093</v>
      </c>
      <c r="E1352" s="15"/>
      <c r="F1352" s="15"/>
      <c r="G1352" s="15">
        <f t="shared" si="379"/>
        <v>0</v>
      </c>
      <c r="H1352" s="16" t="s">
        <v>6</v>
      </c>
      <c r="I1352" s="10">
        <f t="shared" si="381"/>
        <v>0</v>
      </c>
      <c r="J1352" s="16" t="s">
        <v>201</v>
      </c>
      <c r="K1352" s="15"/>
      <c r="L1352" s="15"/>
      <c r="M1352" s="17"/>
      <c r="N1352" s="8"/>
      <c r="O1352" s="18">
        <f t="shared" si="382"/>
        <v>0</v>
      </c>
      <c r="P1352" s="9"/>
      <c r="Q1352" s="9"/>
      <c r="R1352" s="85">
        <v>0</v>
      </c>
      <c r="S1352" s="10">
        <f t="shared" si="380"/>
        <v>0</v>
      </c>
    </row>
    <row r="1353" spans="2:19" outlineLevel="1">
      <c r="B1353" s="13" t="s">
        <v>98</v>
      </c>
      <c r="C1353" s="7" t="str">
        <f t="shared" si="378"/>
        <v>MOTO NIVELADORA CATERPILLA 120 K POTY</v>
      </c>
      <c r="D1353" s="8">
        <f>D1285</f>
        <v>46094</v>
      </c>
      <c r="E1353" s="15"/>
      <c r="F1353" s="15"/>
      <c r="G1353" s="15">
        <f t="shared" si="379"/>
        <v>0</v>
      </c>
      <c r="H1353" s="16" t="s">
        <v>6</v>
      </c>
      <c r="I1353" s="10">
        <f t="shared" si="381"/>
        <v>0</v>
      </c>
      <c r="J1353" s="16" t="s">
        <v>201</v>
      </c>
      <c r="K1353" s="15"/>
      <c r="L1353" s="15"/>
      <c r="M1353" s="17"/>
      <c r="N1353" s="8"/>
      <c r="O1353" s="18">
        <f t="shared" si="382"/>
        <v>0</v>
      </c>
      <c r="P1353" s="9"/>
      <c r="Q1353" s="9"/>
      <c r="R1353" s="85">
        <v>0</v>
      </c>
      <c r="S1353" s="10">
        <f t="shared" si="380"/>
        <v>0</v>
      </c>
    </row>
    <row r="1354" spans="2:19" outlineLevel="1">
      <c r="B1354" s="13" t="s">
        <v>98</v>
      </c>
      <c r="C1354" s="7" t="str">
        <f t="shared" si="378"/>
        <v>MOTO NIVELADORA CATERPILLA 120 K POTY</v>
      </c>
      <c r="D1354" s="8">
        <f>D1286</f>
        <v>46095</v>
      </c>
      <c r="E1354" s="15"/>
      <c r="F1354" s="15"/>
      <c r="G1354" s="15">
        <f t="shared" si="379"/>
        <v>0</v>
      </c>
      <c r="H1354" s="16" t="s">
        <v>6</v>
      </c>
      <c r="I1354" s="10">
        <f t="shared" si="381"/>
        <v>0</v>
      </c>
      <c r="J1354" s="16" t="s">
        <v>201</v>
      </c>
      <c r="K1354" s="15"/>
      <c r="L1354" s="15"/>
      <c r="M1354" s="17"/>
      <c r="N1354" s="8"/>
      <c r="O1354" s="18">
        <f t="shared" si="382"/>
        <v>0</v>
      </c>
      <c r="P1354" s="9"/>
      <c r="Q1354" s="9"/>
      <c r="R1354" s="85">
        <v>0</v>
      </c>
      <c r="S1354" s="10">
        <f t="shared" si="380"/>
        <v>0</v>
      </c>
    </row>
    <row r="1355" spans="2:19" outlineLevel="1">
      <c r="B1355" s="13" t="s">
        <v>98</v>
      </c>
      <c r="C1355" s="7" t="str">
        <f t="shared" si="378"/>
        <v>MOTO NIVELADORA CATERPILLA 120 K POTY</v>
      </c>
      <c r="D1355" s="8">
        <f>D1287</f>
        <v>46096</v>
      </c>
      <c r="E1355" s="15"/>
      <c r="F1355" s="15"/>
      <c r="G1355" s="15">
        <f t="shared" si="379"/>
        <v>0</v>
      </c>
      <c r="H1355" s="16" t="s">
        <v>6</v>
      </c>
      <c r="I1355" s="10">
        <f t="shared" si="381"/>
        <v>0</v>
      </c>
      <c r="J1355" s="16" t="s">
        <v>201</v>
      </c>
      <c r="K1355" s="15"/>
      <c r="L1355" s="15"/>
      <c r="M1355" s="17"/>
      <c r="N1355" s="8"/>
      <c r="O1355" s="18">
        <f t="shared" si="382"/>
        <v>0</v>
      </c>
      <c r="P1355" s="9"/>
      <c r="Q1355" s="9"/>
      <c r="R1355" s="85">
        <v>0</v>
      </c>
      <c r="S1355" s="10">
        <f t="shared" si="380"/>
        <v>0</v>
      </c>
    </row>
    <row r="1356" spans="2:19" outlineLevel="1">
      <c r="B1356" s="13" t="s">
        <v>98</v>
      </c>
      <c r="C1356" s="7" t="str">
        <f t="shared" si="378"/>
        <v>MOTO NIVELADORA CATERPILLA 120 K POTY</v>
      </c>
      <c r="D1356" s="8">
        <f>D1288</f>
        <v>46097</v>
      </c>
      <c r="E1356" s="15"/>
      <c r="F1356" s="15"/>
      <c r="G1356" s="15">
        <f t="shared" si="379"/>
        <v>0</v>
      </c>
      <c r="H1356" s="16" t="s">
        <v>6</v>
      </c>
      <c r="I1356" s="10">
        <f t="shared" si="381"/>
        <v>0</v>
      </c>
      <c r="J1356" s="16" t="s">
        <v>201</v>
      </c>
      <c r="K1356" s="15"/>
      <c r="L1356" s="15"/>
      <c r="M1356" s="17"/>
      <c r="N1356" s="8"/>
      <c r="O1356" s="18">
        <f t="shared" si="382"/>
        <v>0</v>
      </c>
      <c r="P1356" s="9"/>
      <c r="Q1356" s="9"/>
      <c r="R1356" s="85">
        <v>0</v>
      </c>
      <c r="S1356" s="10">
        <f t="shared" si="380"/>
        <v>0</v>
      </c>
    </row>
    <row r="1357" spans="2:19" outlineLevel="1">
      <c r="B1357" s="13" t="s">
        <v>98</v>
      </c>
      <c r="C1357" s="7" t="str">
        <f t="shared" si="378"/>
        <v>MOTO NIVELADORA CATERPILLA 120 K POTY</v>
      </c>
      <c r="D1357" s="8">
        <f>D1289</f>
        <v>46098</v>
      </c>
      <c r="E1357" s="15"/>
      <c r="F1357" s="15"/>
      <c r="G1357" s="15">
        <f t="shared" si="379"/>
        <v>0</v>
      </c>
      <c r="H1357" s="16" t="s">
        <v>6</v>
      </c>
      <c r="I1357" s="10">
        <f t="shared" si="381"/>
        <v>0</v>
      </c>
      <c r="J1357" s="16" t="s">
        <v>201</v>
      </c>
      <c r="K1357" s="15"/>
      <c r="L1357" s="15"/>
      <c r="M1357" s="17"/>
      <c r="N1357" s="8"/>
      <c r="O1357" s="18">
        <f t="shared" si="382"/>
        <v>0</v>
      </c>
      <c r="P1357" s="9"/>
      <c r="Q1357" s="9"/>
      <c r="R1357" s="85">
        <v>0</v>
      </c>
      <c r="S1357" s="10">
        <f t="shared" si="380"/>
        <v>0</v>
      </c>
    </row>
    <row r="1358" spans="2:19" outlineLevel="1">
      <c r="B1358" s="13" t="s">
        <v>98</v>
      </c>
      <c r="C1358" s="7" t="str">
        <f t="shared" si="378"/>
        <v>MOTO NIVELADORA CATERPILLA 120 K POTY</v>
      </c>
      <c r="D1358" s="8">
        <f>D1290</f>
        <v>46099</v>
      </c>
      <c r="E1358" s="15"/>
      <c r="F1358" s="15"/>
      <c r="G1358" s="15">
        <f t="shared" si="379"/>
        <v>0</v>
      </c>
      <c r="H1358" s="16" t="s">
        <v>6</v>
      </c>
      <c r="I1358" s="10">
        <f t="shared" si="381"/>
        <v>0</v>
      </c>
      <c r="J1358" s="16" t="s">
        <v>201</v>
      </c>
      <c r="K1358" s="15"/>
      <c r="L1358" s="15"/>
      <c r="M1358" s="17"/>
      <c r="N1358" s="8"/>
      <c r="O1358" s="18">
        <f t="shared" si="382"/>
        <v>0</v>
      </c>
      <c r="P1358" s="9"/>
      <c r="Q1358" s="9"/>
      <c r="R1358" s="85">
        <v>0</v>
      </c>
      <c r="S1358" s="10">
        <f t="shared" si="380"/>
        <v>0</v>
      </c>
    </row>
    <row r="1359" spans="2:19" outlineLevel="1">
      <c r="B1359" s="13" t="s">
        <v>98</v>
      </c>
      <c r="C1359" s="7" t="str">
        <f t="shared" si="378"/>
        <v>MOTO NIVELADORA CATERPILLA 120 K POTY</v>
      </c>
      <c r="D1359" s="8">
        <f>D1291</f>
        <v>46100</v>
      </c>
      <c r="E1359" s="15"/>
      <c r="F1359" s="15"/>
      <c r="G1359" s="15">
        <f t="shared" si="379"/>
        <v>0</v>
      </c>
      <c r="H1359" s="16" t="s">
        <v>6</v>
      </c>
      <c r="I1359" s="10">
        <f t="shared" si="381"/>
        <v>0</v>
      </c>
      <c r="J1359" s="16" t="s">
        <v>201</v>
      </c>
      <c r="K1359" s="15"/>
      <c r="L1359" s="15"/>
      <c r="M1359" s="17"/>
      <c r="N1359" s="8"/>
      <c r="O1359" s="18">
        <f t="shared" si="382"/>
        <v>0</v>
      </c>
      <c r="P1359" s="9"/>
      <c r="Q1359" s="9"/>
      <c r="R1359" s="85">
        <v>0</v>
      </c>
      <c r="S1359" s="10">
        <f t="shared" si="380"/>
        <v>0</v>
      </c>
    </row>
    <row r="1360" spans="2:19" outlineLevel="1">
      <c r="B1360" s="13" t="s">
        <v>98</v>
      </c>
      <c r="C1360" s="7" t="str">
        <f t="shared" si="378"/>
        <v>MOTO NIVELADORA CATERPILLA 120 K POTY</v>
      </c>
      <c r="D1360" s="8">
        <f>D1292</f>
        <v>46101</v>
      </c>
      <c r="E1360" s="15"/>
      <c r="F1360" s="15"/>
      <c r="G1360" s="15">
        <f t="shared" si="379"/>
        <v>0</v>
      </c>
      <c r="H1360" s="16" t="s">
        <v>6</v>
      </c>
      <c r="I1360" s="10">
        <f t="shared" si="381"/>
        <v>0</v>
      </c>
      <c r="J1360" s="16" t="s">
        <v>201</v>
      </c>
      <c r="K1360" s="15"/>
      <c r="L1360" s="15"/>
      <c r="M1360" s="17"/>
      <c r="N1360" s="8"/>
      <c r="O1360" s="18">
        <f t="shared" si="382"/>
        <v>0</v>
      </c>
      <c r="P1360" s="9"/>
      <c r="Q1360" s="9"/>
      <c r="R1360" s="85">
        <v>0</v>
      </c>
      <c r="S1360" s="10">
        <f t="shared" si="380"/>
        <v>0</v>
      </c>
    </row>
    <row r="1361" spans="2:19" outlineLevel="1">
      <c r="B1361" s="13" t="s">
        <v>98</v>
      </c>
      <c r="C1361" s="7" t="str">
        <f t="shared" si="378"/>
        <v>MOTO NIVELADORA CATERPILLA 120 K POTY</v>
      </c>
      <c r="D1361" s="8">
        <f>D1293</f>
        <v>46102</v>
      </c>
      <c r="E1361" s="15"/>
      <c r="F1361" s="15"/>
      <c r="G1361" s="15">
        <f t="shared" si="379"/>
        <v>0</v>
      </c>
      <c r="H1361" s="16" t="s">
        <v>6</v>
      </c>
      <c r="I1361" s="10">
        <f t="shared" si="381"/>
        <v>0</v>
      </c>
      <c r="J1361" s="16" t="s">
        <v>201</v>
      </c>
      <c r="K1361" s="15"/>
      <c r="L1361" s="15"/>
      <c r="M1361" s="17"/>
      <c r="N1361" s="8"/>
      <c r="O1361" s="18">
        <f t="shared" si="382"/>
        <v>0</v>
      </c>
      <c r="P1361" s="9"/>
      <c r="Q1361" s="9"/>
      <c r="R1361" s="85">
        <v>0</v>
      </c>
      <c r="S1361" s="10">
        <f t="shared" si="380"/>
        <v>0</v>
      </c>
    </row>
    <row r="1362" spans="2:19" outlineLevel="1">
      <c r="B1362" s="13" t="s">
        <v>98</v>
      </c>
      <c r="C1362" s="7" t="str">
        <f t="shared" si="378"/>
        <v>MOTO NIVELADORA CATERPILLA 120 K POTY</v>
      </c>
      <c r="D1362" s="8">
        <f>D1294</f>
        <v>46103</v>
      </c>
      <c r="E1362" s="15"/>
      <c r="F1362" s="15"/>
      <c r="G1362" s="15">
        <f t="shared" si="379"/>
        <v>0</v>
      </c>
      <c r="H1362" s="16" t="s">
        <v>6</v>
      </c>
      <c r="I1362" s="10">
        <f t="shared" si="381"/>
        <v>0</v>
      </c>
      <c r="J1362" s="16" t="s">
        <v>201</v>
      </c>
      <c r="K1362" s="15"/>
      <c r="L1362" s="15"/>
      <c r="M1362" s="17"/>
      <c r="N1362" s="8"/>
      <c r="O1362" s="18">
        <f t="shared" si="382"/>
        <v>0</v>
      </c>
      <c r="P1362" s="9"/>
      <c r="Q1362" s="9"/>
      <c r="R1362" s="85">
        <v>0</v>
      </c>
      <c r="S1362" s="10">
        <f t="shared" si="380"/>
        <v>0</v>
      </c>
    </row>
    <row r="1363" spans="2:19" outlineLevel="1">
      <c r="B1363" s="13" t="s">
        <v>98</v>
      </c>
      <c r="C1363" s="7" t="str">
        <f t="shared" si="378"/>
        <v>MOTO NIVELADORA CATERPILLA 120 K POTY</v>
      </c>
      <c r="D1363" s="8">
        <f>D1295</f>
        <v>46104</v>
      </c>
      <c r="E1363" s="15"/>
      <c r="F1363" s="15"/>
      <c r="G1363" s="15">
        <f t="shared" si="379"/>
        <v>0</v>
      </c>
      <c r="H1363" s="16" t="s">
        <v>6</v>
      </c>
      <c r="I1363" s="10">
        <f t="shared" si="381"/>
        <v>0</v>
      </c>
      <c r="J1363" s="16" t="s">
        <v>201</v>
      </c>
      <c r="K1363" s="15"/>
      <c r="L1363" s="15"/>
      <c r="M1363" s="17"/>
      <c r="N1363" s="8"/>
      <c r="O1363" s="18">
        <f t="shared" si="382"/>
        <v>0</v>
      </c>
      <c r="P1363" s="9"/>
      <c r="Q1363" s="9"/>
      <c r="R1363" s="85">
        <v>0</v>
      </c>
      <c r="S1363" s="10">
        <f t="shared" si="380"/>
        <v>0</v>
      </c>
    </row>
    <row r="1364" spans="2:19" outlineLevel="1">
      <c r="B1364" s="13" t="s">
        <v>98</v>
      </c>
      <c r="C1364" s="7" t="str">
        <f t="shared" si="378"/>
        <v>MOTO NIVELADORA CATERPILLA 120 K POTY</v>
      </c>
      <c r="D1364" s="8">
        <f>D1296</f>
        <v>46105</v>
      </c>
      <c r="E1364" s="15"/>
      <c r="F1364" s="15"/>
      <c r="G1364" s="15">
        <f t="shared" si="379"/>
        <v>0</v>
      </c>
      <c r="H1364" s="16" t="s">
        <v>6</v>
      </c>
      <c r="I1364" s="10">
        <f t="shared" si="381"/>
        <v>0</v>
      </c>
      <c r="J1364" s="16" t="s">
        <v>201</v>
      </c>
      <c r="K1364" s="15"/>
      <c r="L1364" s="15"/>
      <c r="M1364" s="17"/>
      <c r="N1364" s="8"/>
      <c r="O1364" s="18">
        <f t="shared" si="382"/>
        <v>0</v>
      </c>
      <c r="P1364" s="9"/>
      <c r="Q1364" s="9"/>
      <c r="R1364" s="85">
        <v>0</v>
      </c>
      <c r="S1364" s="10">
        <f t="shared" si="380"/>
        <v>0</v>
      </c>
    </row>
    <row r="1365" spans="2:19" outlineLevel="1">
      <c r="B1365" s="13" t="s">
        <v>98</v>
      </c>
      <c r="C1365" s="7" t="str">
        <f t="shared" si="378"/>
        <v>MOTO NIVELADORA CATERPILLA 120 K POTY</v>
      </c>
      <c r="D1365" s="8">
        <f>D1297</f>
        <v>46106</v>
      </c>
      <c r="E1365" s="15"/>
      <c r="F1365" s="15"/>
      <c r="G1365" s="15">
        <f t="shared" si="379"/>
        <v>0</v>
      </c>
      <c r="H1365" s="16" t="s">
        <v>6</v>
      </c>
      <c r="I1365" s="10">
        <f t="shared" si="381"/>
        <v>0</v>
      </c>
      <c r="J1365" s="16" t="s">
        <v>201</v>
      </c>
      <c r="K1365" s="15"/>
      <c r="L1365" s="15"/>
      <c r="M1365" s="17"/>
      <c r="N1365" s="8"/>
      <c r="O1365" s="18">
        <f t="shared" si="382"/>
        <v>0</v>
      </c>
      <c r="P1365" s="9"/>
      <c r="Q1365" s="9"/>
      <c r="R1365" s="85">
        <v>0</v>
      </c>
      <c r="S1365" s="10">
        <f t="shared" si="380"/>
        <v>0</v>
      </c>
    </row>
    <row r="1366" spans="2:19" outlineLevel="1">
      <c r="B1366" s="13" t="s">
        <v>98</v>
      </c>
      <c r="C1366" s="7" t="str">
        <f t="shared" si="378"/>
        <v>MOTO NIVELADORA CATERPILLA 120 K POTY</v>
      </c>
      <c r="D1366" s="8">
        <f>D1298</f>
        <v>46107</v>
      </c>
      <c r="E1366" s="15"/>
      <c r="F1366" s="15"/>
      <c r="G1366" s="15">
        <f t="shared" si="379"/>
        <v>0</v>
      </c>
      <c r="H1366" s="16" t="s">
        <v>6</v>
      </c>
      <c r="I1366" s="10">
        <f t="shared" si="381"/>
        <v>0</v>
      </c>
      <c r="J1366" s="16" t="s">
        <v>201</v>
      </c>
      <c r="K1366" s="15"/>
      <c r="L1366" s="15"/>
      <c r="M1366" s="17"/>
      <c r="N1366" s="8"/>
      <c r="O1366" s="18">
        <f t="shared" si="382"/>
        <v>0</v>
      </c>
      <c r="P1366" s="9"/>
      <c r="Q1366" s="9"/>
      <c r="R1366" s="85">
        <v>0</v>
      </c>
      <c r="S1366" s="10">
        <f t="shared" si="380"/>
        <v>0</v>
      </c>
    </row>
    <row r="1367" spans="2:19" outlineLevel="1">
      <c r="B1367" s="13" t="s">
        <v>98</v>
      </c>
      <c r="C1367" s="7" t="str">
        <f t="shared" si="378"/>
        <v>MOTO NIVELADORA CATERPILLA 120 K POTY</v>
      </c>
      <c r="D1367" s="8">
        <f>D1299</f>
        <v>46108</v>
      </c>
      <c r="E1367" s="15"/>
      <c r="F1367" s="15"/>
      <c r="G1367" s="15">
        <f t="shared" si="379"/>
        <v>0</v>
      </c>
      <c r="H1367" s="16" t="s">
        <v>6</v>
      </c>
      <c r="I1367" s="10">
        <f t="shared" si="381"/>
        <v>0</v>
      </c>
      <c r="J1367" s="16" t="s">
        <v>201</v>
      </c>
      <c r="K1367" s="15"/>
      <c r="L1367" s="15"/>
      <c r="M1367" s="17"/>
      <c r="N1367" s="8"/>
      <c r="O1367" s="18">
        <f t="shared" si="382"/>
        <v>0</v>
      </c>
      <c r="P1367" s="9"/>
      <c r="Q1367" s="9"/>
      <c r="R1367" s="85">
        <v>0</v>
      </c>
      <c r="S1367" s="10">
        <f t="shared" si="380"/>
        <v>0</v>
      </c>
    </row>
    <row r="1368" spans="2:19" outlineLevel="1">
      <c r="B1368" s="13" t="s">
        <v>98</v>
      </c>
      <c r="C1368" s="7" t="str">
        <f t="shared" si="378"/>
        <v>MOTO NIVELADORA CATERPILLA 120 K POTY</v>
      </c>
      <c r="D1368" s="8">
        <f t="shared" ref="D1368" si="383">D1300</f>
        <v>46109</v>
      </c>
      <c r="E1368" s="15"/>
      <c r="F1368" s="15"/>
      <c r="G1368" s="15">
        <f t="shared" ref="G1368:G1370" si="384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85">SUM(R1368+Q1368+I1368)</f>
        <v>0</v>
      </c>
    </row>
    <row r="1369" spans="2:19" outlineLevel="1">
      <c r="B1369" s="13" t="s">
        <v>98</v>
      </c>
      <c r="C1369" s="7" t="str">
        <f t="shared" si="378"/>
        <v>MOTO NIVELADORA CATERPILLA 120 K POTY</v>
      </c>
      <c r="D1369" s="8">
        <f t="shared" ref="D1369:D1371" si="386">D1301</f>
        <v>46110</v>
      </c>
      <c r="E1369" s="15"/>
      <c r="F1369" s="15"/>
      <c r="G1369" s="15">
        <f t="shared" si="384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5"/>
        <v>0</v>
      </c>
    </row>
    <row r="1370" spans="2:19" outlineLevel="1">
      <c r="B1370" s="13" t="s">
        <v>98</v>
      </c>
      <c r="C1370" s="7" t="str">
        <f t="shared" si="378"/>
        <v>MOTO NIVELADORA CATERPILLA 120 K POTY</v>
      </c>
      <c r="D1370" s="8">
        <f t="shared" si="386"/>
        <v>46111</v>
      </c>
      <c r="E1370" s="15"/>
      <c r="F1370" s="15"/>
      <c r="G1370" s="15">
        <f t="shared" si="384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5"/>
        <v>0</v>
      </c>
    </row>
    <row r="1371" spans="2:19" outlineLevel="1">
      <c r="B1371" s="13" t="s">
        <v>98</v>
      </c>
      <c r="C1371" s="7" t="str">
        <f t="shared" si="378"/>
        <v>MOTO NIVELADORA CATERPILLA 120 K POTY</v>
      </c>
      <c r="D1371" s="8">
        <f t="shared" si="386"/>
        <v>46112</v>
      </c>
      <c r="E1371" s="15"/>
      <c r="F1371" s="15"/>
      <c r="G1371" s="15">
        <f t="shared" si="379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80"/>
        <v>0</v>
      </c>
    </row>
    <row r="1372" spans="2:19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5" t="str">
        <f>M$1</f>
        <v>BM JANEIRO 2026</v>
      </c>
      <c r="N1373" s="135"/>
      <c r="O1373" s="135"/>
      <c r="P1373" s="19" t="s">
        <v>10</v>
      </c>
      <c r="Q1373" s="136" t="s">
        <v>258</v>
      </c>
      <c r="R1373" s="136"/>
      <c r="S1373" s="136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outlineLevel="1">
      <c r="B1375" s="68" t="s">
        <v>100</v>
      </c>
      <c r="C1375" s="7" t="str">
        <f t="shared" ref="C1375:C1405" si="387">C$1373</f>
        <v>MOTO NIVELADORA CATERPILLAR 12N</v>
      </c>
      <c r="D1375" s="8">
        <f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outlineLevel="1">
      <c r="B1376" s="12" t="s">
        <v>0</v>
      </c>
      <c r="C1376" s="7" t="str">
        <f t="shared" si="387"/>
        <v>MOTO NIVELADORA CATERPILLAR 12N</v>
      </c>
      <c r="D1376" s="8">
        <f>D1308</f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88">SUM(R1376+Q1376+I1376)</f>
        <v>0</v>
      </c>
    </row>
    <row r="1377" spans="2:19" outlineLevel="1">
      <c r="B1377" s="13" t="s">
        <v>100</v>
      </c>
      <c r="C1377" s="7" t="str">
        <f t="shared" si="387"/>
        <v>MOTO NIVELADORA CATERPILLAR 12N</v>
      </c>
      <c r="D1377" s="8">
        <f>D1309</f>
        <v>46084</v>
      </c>
      <c r="E1377" s="15"/>
      <c r="F1377" s="15"/>
      <c r="G1377" s="15">
        <f t="shared" ref="G1377:G1405" si="389">F1377-E1377</f>
        <v>0</v>
      </c>
      <c r="H1377" s="16" t="s">
        <v>6</v>
      </c>
      <c r="I1377" s="10">
        <f t="shared" ref="I1377:I1401" si="390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391">O1376</f>
        <v>0</v>
      </c>
      <c r="P1377" s="9"/>
      <c r="Q1377" s="9"/>
      <c r="R1377" s="9"/>
      <c r="S1377" s="10">
        <f t="shared" si="388"/>
        <v>0</v>
      </c>
    </row>
    <row r="1378" spans="2:19" outlineLevel="1">
      <c r="B1378" s="13" t="s">
        <v>100</v>
      </c>
      <c r="C1378" s="7" t="str">
        <f t="shared" si="387"/>
        <v>MOTO NIVELADORA CATERPILLAR 12N</v>
      </c>
      <c r="D1378" s="8">
        <f>D1310</f>
        <v>46085</v>
      </c>
      <c r="E1378" s="15"/>
      <c r="F1378" s="15"/>
      <c r="G1378" s="15">
        <f t="shared" si="389"/>
        <v>0</v>
      </c>
      <c r="H1378" s="16" t="s">
        <v>6</v>
      </c>
      <c r="I1378" s="10">
        <f t="shared" si="390"/>
        <v>0</v>
      </c>
      <c r="J1378" s="16" t="s">
        <v>201</v>
      </c>
      <c r="K1378" s="15"/>
      <c r="L1378" s="15"/>
      <c r="M1378" s="17"/>
      <c r="N1378" s="8"/>
      <c r="O1378" s="18">
        <f t="shared" si="391"/>
        <v>0</v>
      </c>
      <c r="P1378" s="9"/>
      <c r="Q1378" s="9"/>
      <c r="R1378" s="9"/>
      <c r="S1378" s="10">
        <f t="shared" si="388"/>
        <v>0</v>
      </c>
    </row>
    <row r="1379" spans="2:19" outlineLevel="1">
      <c r="B1379" s="13" t="s">
        <v>100</v>
      </c>
      <c r="C1379" s="7" t="str">
        <f t="shared" si="387"/>
        <v>MOTO NIVELADORA CATERPILLAR 12N</v>
      </c>
      <c r="D1379" s="8">
        <f>D1311</f>
        <v>46086</v>
      </c>
      <c r="E1379" s="15"/>
      <c r="F1379" s="15"/>
      <c r="G1379" s="15">
        <f t="shared" si="389"/>
        <v>0</v>
      </c>
      <c r="H1379" s="16" t="s">
        <v>6</v>
      </c>
      <c r="I1379" s="10">
        <f t="shared" si="390"/>
        <v>0</v>
      </c>
      <c r="J1379" s="16" t="s">
        <v>201</v>
      </c>
      <c r="K1379" s="15"/>
      <c r="L1379" s="15"/>
      <c r="M1379" s="17"/>
      <c r="N1379" s="8"/>
      <c r="O1379" s="18">
        <f t="shared" si="391"/>
        <v>0</v>
      </c>
      <c r="P1379" s="9"/>
      <c r="Q1379" s="9"/>
      <c r="R1379" s="9"/>
      <c r="S1379" s="10">
        <f t="shared" si="388"/>
        <v>0</v>
      </c>
    </row>
    <row r="1380" spans="2:19" outlineLevel="1">
      <c r="B1380" s="13" t="s">
        <v>100</v>
      </c>
      <c r="C1380" s="7" t="str">
        <f t="shared" si="387"/>
        <v>MOTO NIVELADORA CATERPILLAR 12N</v>
      </c>
      <c r="D1380" s="8">
        <f>D1312</f>
        <v>46087</v>
      </c>
      <c r="E1380" s="15"/>
      <c r="F1380" s="15"/>
      <c r="G1380" s="15">
        <f t="shared" si="389"/>
        <v>0</v>
      </c>
      <c r="H1380" s="16" t="s">
        <v>6</v>
      </c>
      <c r="I1380" s="10">
        <f t="shared" si="390"/>
        <v>0</v>
      </c>
      <c r="J1380" s="16" t="s">
        <v>201</v>
      </c>
      <c r="K1380" s="15"/>
      <c r="L1380" s="15"/>
      <c r="M1380" s="17"/>
      <c r="N1380" s="8"/>
      <c r="O1380" s="18">
        <f t="shared" si="391"/>
        <v>0</v>
      </c>
      <c r="P1380" s="9"/>
      <c r="Q1380" s="9"/>
      <c r="R1380" s="9"/>
      <c r="S1380" s="10">
        <f t="shared" si="388"/>
        <v>0</v>
      </c>
    </row>
    <row r="1381" spans="2:19" outlineLevel="1">
      <c r="B1381" s="13" t="s">
        <v>100</v>
      </c>
      <c r="C1381" s="7" t="str">
        <f t="shared" si="387"/>
        <v>MOTO NIVELADORA CATERPILLAR 12N</v>
      </c>
      <c r="D1381" s="8">
        <f>D1313</f>
        <v>46088</v>
      </c>
      <c r="E1381" s="15"/>
      <c r="F1381" s="15"/>
      <c r="G1381" s="15">
        <f t="shared" si="389"/>
        <v>0</v>
      </c>
      <c r="H1381" s="16" t="s">
        <v>6</v>
      </c>
      <c r="I1381" s="10">
        <f t="shared" si="390"/>
        <v>0</v>
      </c>
      <c r="J1381" s="16" t="s">
        <v>201</v>
      </c>
      <c r="K1381" s="15"/>
      <c r="L1381" s="15"/>
      <c r="M1381" s="17"/>
      <c r="N1381" s="8"/>
      <c r="O1381" s="18">
        <f t="shared" si="391"/>
        <v>0</v>
      </c>
      <c r="P1381" s="9"/>
      <c r="Q1381" s="9"/>
      <c r="R1381" s="9"/>
      <c r="S1381" s="10">
        <f t="shared" si="388"/>
        <v>0</v>
      </c>
    </row>
    <row r="1382" spans="2:19" outlineLevel="1">
      <c r="B1382" s="13" t="s">
        <v>100</v>
      </c>
      <c r="C1382" s="7" t="str">
        <f t="shared" si="387"/>
        <v>MOTO NIVELADORA CATERPILLAR 12N</v>
      </c>
      <c r="D1382" s="8">
        <f>D1314</f>
        <v>46089</v>
      </c>
      <c r="E1382" s="15"/>
      <c r="F1382" s="15"/>
      <c r="G1382" s="15">
        <f t="shared" si="389"/>
        <v>0</v>
      </c>
      <c r="H1382" s="16" t="s">
        <v>6</v>
      </c>
      <c r="I1382" s="10">
        <f t="shared" si="390"/>
        <v>0</v>
      </c>
      <c r="J1382" s="16" t="s">
        <v>201</v>
      </c>
      <c r="K1382" s="15"/>
      <c r="L1382" s="15"/>
      <c r="M1382" s="17"/>
      <c r="N1382" s="8"/>
      <c r="O1382" s="18">
        <f t="shared" si="391"/>
        <v>0</v>
      </c>
      <c r="P1382" s="9"/>
      <c r="Q1382" s="9"/>
      <c r="R1382" s="9"/>
      <c r="S1382" s="10">
        <f t="shared" si="388"/>
        <v>0</v>
      </c>
    </row>
    <row r="1383" spans="2:19" outlineLevel="1">
      <c r="B1383" s="13" t="s">
        <v>100</v>
      </c>
      <c r="C1383" s="7" t="str">
        <f t="shared" si="387"/>
        <v>MOTO NIVELADORA CATERPILLAR 12N</v>
      </c>
      <c r="D1383" s="8">
        <f>D1315</f>
        <v>46090</v>
      </c>
      <c r="E1383" s="15"/>
      <c r="F1383" s="15"/>
      <c r="G1383" s="15">
        <f t="shared" si="389"/>
        <v>0</v>
      </c>
      <c r="H1383" s="16" t="s">
        <v>6</v>
      </c>
      <c r="I1383" s="10">
        <f t="shared" si="390"/>
        <v>0</v>
      </c>
      <c r="J1383" s="16" t="s">
        <v>201</v>
      </c>
      <c r="K1383" s="15"/>
      <c r="L1383" s="15"/>
      <c r="M1383" s="17"/>
      <c r="N1383" s="8"/>
      <c r="O1383" s="18">
        <f t="shared" si="391"/>
        <v>0</v>
      </c>
      <c r="P1383" s="9"/>
      <c r="Q1383" s="9"/>
      <c r="R1383" s="9"/>
      <c r="S1383" s="10">
        <f t="shared" si="388"/>
        <v>0</v>
      </c>
    </row>
    <row r="1384" spans="2:19" outlineLevel="1">
      <c r="B1384" s="13" t="s">
        <v>100</v>
      </c>
      <c r="C1384" s="7" t="str">
        <f t="shared" si="387"/>
        <v>MOTO NIVELADORA CATERPILLAR 12N</v>
      </c>
      <c r="D1384" s="8">
        <f>D1316</f>
        <v>46091</v>
      </c>
      <c r="E1384" s="15"/>
      <c r="F1384" s="15"/>
      <c r="G1384" s="15">
        <f t="shared" si="389"/>
        <v>0</v>
      </c>
      <c r="H1384" s="16" t="s">
        <v>6</v>
      </c>
      <c r="I1384" s="10">
        <f t="shared" si="390"/>
        <v>0</v>
      </c>
      <c r="J1384" s="16" t="s">
        <v>201</v>
      </c>
      <c r="K1384" s="15"/>
      <c r="L1384" s="15"/>
      <c r="M1384" s="17"/>
      <c r="N1384" s="8"/>
      <c r="O1384" s="18">
        <f t="shared" si="391"/>
        <v>0</v>
      </c>
      <c r="P1384" s="9"/>
      <c r="Q1384" s="9"/>
      <c r="R1384" s="9"/>
      <c r="S1384" s="10">
        <f t="shared" si="388"/>
        <v>0</v>
      </c>
    </row>
    <row r="1385" spans="2:19" outlineLevel="1">
      <c r="B1385" s="13" t="s">
        <v>100</v>
      </c>
      <c r="C1385" s="7" t="str">
        <f t="shared" si="387"/>
        <v>MOTO NIVELADORA CATERPILLAR 12N</v>
      </c>
      <c r="D1385" s="8">
        <f>D1317</f>
        <v>46092</v>
      </c>
      <c r="E1385" s="15"/>
      <c r="F1385" s="15"/>
      <c r="G1385" s="15">
        <f t="shared" si="389"/>
        <v>0</v>
      </c>
      <c r="H1385" s="16" t="s">
        <v>6</v>
      </c>
      <c r="I1385" s="10">
        <f t="shared" si="390"/>
        <v>0</v>
      </c>
      <c r="J1385" s="16" t="s">
        <v>201</v>
      </c>
      <c r="K1385" s="15"/>
      <c r="L1385" s="15"/>
      <c r="M1385" s="17"/>
      <c r="N1385" s="8"/>
      <c r="O1385" s="18">
        <f t="shared" si="391"/>
        <v>0</v>
      </c>
      <c r="P1385" s="9"/>
      <c r="Q1385" s="9"/>
      <c r="R1385" s="9"/>
      <c r="S1385" s="10">
        <f t="shared" si="388"/>
        <v>0</v>
      </c>
    </row>
    <row r="1386" spans="2:19" outlineLevel="1">
      <c r="B1386" s="13" t="s">
        <v>100</v>
      </c>
      <c r="C1386" s="7" t="str">
        <f t="shared" si="387"/>
        <v>MOTO NIVELADORA CATERPILLAR 12N</v>
      </c>
      <c r="D1386" s="8">
        <f>D1318</f>
        <v>46093</v>
      </c>
      <c r="E1386" s="15"/>
      <c r="F1386" s="15"/>
      <c r="G1386" s="15">
        <f t="shared" si="389"/>
        <v>0</v>
      </c>
      <c r="H1386" s="16" t="s">
        <v>6</v>
      </c>
      <c r="I1386" s="10">
        <f t="shared" si="390"/>
        <v>0</v>
      </c>
      <c r="J1386" s="16" t="s">
        <v>201</v>
      </c>
      <c r="K1386" s="15"/>
      <c r="L1386" s="15"/>
      <c r="M1386" s="17"/>
      <c r="N1386" s="8"/>
      <c r="O1386" s="18">
        <f t="shared" si="391"/>
        <v>0</v>
      </c>
      <c r="P1386" s="9"/>
      <c r="Q1386" s="9"/>
      <c r="R1386" s="9"/>
      <c r="S1386" s="10">
        <f t="shared" si="388"/>
        <v>0</v>
      </c>
    </row>
    <row r="1387" spans="2:19" outlineLevel="1">
      <c r="B1387" s="13" t="s">
        <v>100</v>
      </c>
      <c r="C1387" s="7" t="str">
        <f t="shared" si="387"/>
        <v>MOTO NIVELADORA CATERPILLAR 12N</v>
      </c>
      <c r="D1387" s="8">
        <f>D1319</f>
        <v>46094</v>
      </c>
      <c r="E1387" s="15"/>
      <c r="F1387" s="15"/>
      <c r="G1387" s="15">
        <f t="shared" si="389"/>
        <v>0</v>
      </c>
      <c r="H1387" s="16" t="s">
        <v>6</v>
      </c>
      <c r="I1387" s="10">
        <f t="shared" si="390"/>
        <v>0</v>
      </c>
      <c r="J1387" s="16" t="s">
        <v>201</v>
      </c>
      <c r="K1387" s="15"/>
      <c r="L1387" s="15"/>
      <c r="M1387" s="17"/>
      <c r="N1387" s="8"/>
      <c r="O1387" s="18">
        <f t="shared" si="391"/>
        <v>0</v>
      </c>
      <c r="P1387" s="9"/>
      <c r="Q1387" s="9"/>
      <c r="R1387" s="9"/>
      <c r="S1387" s="10">
        <f t="shared" si="388"/>
        <v>0</v>
      </c>
    </row>
    <row r="1388" spans="2:19" outlineLevel="1">
      <c r="B1388" s="13" t="s">
        <v>100</v>
      </c>
      <c r="C1388" s="7" t="str">
        <f t="shared" si="387"/>
        <v>MOTO NIVELADORA CATERPILLAR 12N</v>
      </c>
      <c r="D1388" s="8">
        <f>D1320</f>
        <v>46095</v>
      </c>
      <c r="E1388" s="15"/>
      <c r="F1388" s="15"/>
      <c r="G1388" s="15">
        <f t="shared" si="389"/>
        <v>0</v>
      </c>
      <c r="H1388" s="16" t="s">
        <v>6</v>
      </c>
      <c r="I1388" s="10">
        <f t="shared" si="390"/>
        <v>0</v>
      </c>
      <c r="J1388" s="16" t="s">
        <v>201</v>
      </c>
      <c r="K1388" s="15"/>
      <c r="L1388" s="15"/>
      <c r="M1388" s="17"/>
      <c r="N1388" s="8"/>
      <c r="O1388" s="18">
        <f t="shared" si="391"/>
        <v>0</v>
      </c>
      <c r="P1388" s="9"/>
      <c r="Q1388" s="9"/>
      <c r="R1388" s="9"/>
      <c r="S1388" s="10">
        <f t="shared" si="388"/>
        <v>0</v>
      </c>
    </row>
    <row r="1389" spans="2:19" outlineLevel="1">
      <c r="B1389" s="13" t="s">
        <v>100</v>
      </c>
      <c r="C1389" s="7" t="str">
        <f t="shared" si="387"/>
        <v>MOTO NIVELADORA CATERPILLAR 12N</v>
      </c>
      <c r="D1389" s="8">
        <f>D1321</f>
        <v>46096</v>
      </c>
      <c r="E1389" s="15"/>
      <c r="F1389" s="15"/>
      <c r="G1389" s="15">
        <f t="shared" si="389"/>
        <v>0</v>
      </c>
      <c r="H1389" s="16" t="s">
        <v>6</v>
      </c>
      <c r="I1389" s="10">
        <f t="shared" si="390"/>
        <v>0</v>
      </c>
      <c r="J1389" s="16" t="s">
        <v>201</v>
      </c>
      <c r="K1389" s="15"/>
      <c r="L1389" s="15"/>
      <c r="M1389" s="17"/>
      <c r="N1389" s="8"/>
      <c r="O1389" s="18">
        <f t="shared" si="391"/>
        <v>0</v>
      </c>
      <c r="P1389" s="9"/>
      <c r="Q1389" s="9"/>
      <c r="R1389" s="9"/>
      <c r="S1389" s="10">
        <f t="shared" si="388"/>
        <v>0</v>
      </c>
    </row>
    <row r="1390" spans="2:19" outlineLevel="1">
      <c r="B1390" s="13" t="s">
        <v>100</v>
      </c>
      <c r="C1390" s="7" t="str">
        <f t="shared" si="387"/>
        <v>MOTO NIVELADORA CATERPILLAR 12N</v>
      </c>
      <c r="D1390" s="8">
        <f>D1322</f>
        <v>46097</v>
      </c>
      <c r="E1390" s="15"/>
      <c r="F1390" s="15"/>
      <c r="G1390" s="15">
        <f t="shared" si="389"/>
        <v>0</v>
      </c>
      <c r="H1390" s="16" t="s">
        <v>6</v>
      </c>
      <c r="I1390" s="10">
        <f t="shared" si="390"/>
        <v>0</v>
      </c>
      <c r="J1390" s="16" t="s">
        <v>201</v>
      </c>
      <c r="K1390" s="15"/>
      <c r="L1390" s="15"/>
      <c r="M1390" s="17"/>
      <c r="N1390" s="8"/>
      <c r="O1390" s="18">
        <f t="shared" si="391"/>
        <v>0</v>
      </c>
      <c r="P1390" s="9"/>
      <c r="Q1390" s="9"/>
      <c r="R1390" s="9"/>
      <c r="S1390" s="10">
        <f t="shared" si="388"/>
        <v>0</v>
      </c>
    </row>
    <row r="1391" spans="2:19" outlineLevel="1">
      <c r="B1391" s="13" t="s">
        <v>100</v>
      </c>
      <c r="C1391" s="7" t="str">
        <f t="shared" si="387"/>
        <v>MOTO NIVELADORA CATERPILLAR 12N</v>
      </c>
      <c r="D1391" s="8">
        <f>D1323</f>
        <v>46098</v>
      </c>
      <c r="E1391" s="15"/>
      <c r="F1391" s="15"/>
      <c r="G1391" s="15">
        <f t="shared" si="389"/>
        <v>0</v>
      </c>
      <c r="H1391" s="16" t="s">
        <v>6</v>
      </c>
      <c r="I1391" s="10">
        <f t="shared" si="390"/>
        <v>0</v>
      </c>
      <c r="J1391" s="16" t="s">
        <v>201</v>
      </c>
      <c r="K1391" s="15"/>
      <c r="L1391" s="15"/>
      <c r="M1391" s="17"/>
      <c r="N1391" s="8"/>
      <c r="O1391" s="18">
        <f t="shared" si="391"/>
        <v>0</v>
      </c>
      <c r="P1391" s="9"/>
      <c r="Q1391" s="9"/>
      <c r="R1391" s="9"/>
      <c r="S1391" s="10">
        <f t="shared" si="388"/>
        <v>0</v>
      </c>
    </row>
    <row r="1392" spans="2:19" outlineLevel="1">
      <c r="B1392" s="13" t="s">
        <v>100</v>
      </c>
      <c r="C1392" s="7" t="str">
        <f t="shared" si="387"/>
        <v>MOTO NIVELADORA CATERPILLAR 12N</v>
      </c>
      <c r="D1392" s="8">
        <f>D1324</f>
        <v>46099</v>
      </c>
      <c r="E1392" s="15"/>
      <c r="F1392" s="15"/>
      <c r="G1392" s="15">
        <f t="shared" si="389"/>
        <v>0</v>
      </c>
      <c r="H1392" s="16" t="s">
        <v>6</v>
      </c>
      <c r="I1392" s="10">
        <f t="shared" si="390"/>
        <v>0</v>
      </c>
      <c r="J1392" s="16" t="s">
        <v>201</v>
      </c>
      <c r="K1392" s="15"/>
      <c r="L1392" s="15"/>
      <c r="M1392" s="17"/>
      <c r="N1392" s="8"/>
      <c r="O1392" s="18">
        <f t="shared" si="391"/>
        <v>0</v>
      </c>
      <c r="P1392" s="9"/>
      <c r="Q1392" s="9"/>
      <c r="R1392" s="9"/>
      <c r="S1392" s="10">
        <f t="shared" si="388"/>
        <v>0</v>
      </c>
    </row>
    <row r="1393" spans="2:19" outlineLevel="1">
      <c r="B1393" s="13" t="s">
        <v>100</v>
      </c>
      <c r="C1393" s="7" t="str">
        <f t="shared" si="387"/>
        <v>MOTO NIVELADORA CATERPILLAR 12N</v>
      </c>
      <c r="D1393" s="8">
        <f>D1325</f>
        <v>46100</v>
      </c>
      <c r="E1393" s="15"/>
      <c r="F1393" s="15"/>
      <c r="G1393" s="15">
        <f t="shared" si="389"/>
        <v>0</v>
      </c>
      <c r="H1393" s="16" t="s">
        <v>6</v>
      </c>
      <c r="I1393" s="10">
        <f t="shared" si="390"/>
        <v>0</v>
      </c>
      <c r="J1393" s="16" t="s">
        <v>201</v>
      </c>
      <c r="K1393" s="15"/>
      <c r="L1393" s="15"/>
      <c r="M1393" s="17"/>
      <c r="N1393" s="8"/>
      <c r="O1393" s="18">
        <f t="shared" si="391"/>
        <v>0</v>
      </c>
      <c r="P1393" s="9"/>
      <c r="Q1393" s="9"/>
      <c r="R1393" s="9"/>
      <c r="S1393" s="10">
        <f t="shared" si="388"/>
        <v>0</v>
      </c>
    </row>
    <row r="1394" spans="2:19" outlineLevel="1">
      <c r="B1394" s="13" t="s">
        <v>100</v>
      </c>
      <c r="C1394" s="7" t="str">
        <f t="shared" si="387"/>
        <v>MOTO NIVELADORA CATERPILLAR 12N</v>
      </c>
      <c r="D1394" s="8">
        <f>D1326</f>
        <v>46101</v>
      </c>
      <c r="E1394" s="15"/>
      <c r="F1394" s="15"/>
      <c r="G1394" s="15">
        <f t="shared" si="389"/>
        <v>0</v>
      </c>
      <c r="H1394" s="16" t="s">
        <v>6</v>
      </c>
      <c r="I1394" s="10">
        <f t="shared" si="390"/>
        <v>0</v>
      </c>
      <c r="J1394" s="16" t="s">
        <v>201</v>
      </c>
      <c r="K1394" s="15"/>
      <c r="L1394" s="15"/>
      <c r="M1394" s="17"/>
      <c r="N1394" s="8"/>
      <c r="O1394" s="18">
        <f t="shared" si="391"/>
        <v>0</v>
      </c>
      <c r="P1394" s="9"/>
      <c r="Q1394" s="9"/>
      <c r="R1394" s="9"/>
      <c r="S1394" s="10">
        <f t="shared" si="388"/>
        <v>0</v>
      </c>
    </row>
    <row r="1395" spans="2:19" outlineLevel="1">
      <c r="B1395" s="13" t="s">
        <v>100</v>
      </c>
      <c r="C1395" s="7" t="str">
        <f t="shared" si="387"/>
        <v>MOTO NIVELADORA CATERPILLAR 12N</v>
      </c>
      <c r="D1395" s="8">
        <f>D1327</f>
        <v>46102</v>
      </c>
      <c r="E1395" s="15"/>
      <c r="F1395" s="15"/>
      <c r="G1395" s="15">
        <f t="shared" si="389"/>
        <v>0</v>
      </c>
      <c r="H1395" s="16" t="s">
        <v>6</v>
      </c>
      <c r="I1395" s="10">
        <f t="shared" si="390"/>
        <v>0</v>
      </c>
      <c r="J1395" s="16" t="s">
        <v>201</v>
      </c>
      <c r="K1395" s="15"/>
      <c r="L1395" s="15"/>
      <c r="M1395" s="17"/>
      <c r="N1395" s="8"/>
      <c r="O1395" s="18">
        <f t="shared" si="391"/>
        <v>0</v>
      </c>
      <c r="P1395" s="9"/>
      <c r="Q1395" s="9"/>
      <c r="R1395" s="9"/>
      <c r="S1395" s="10">
        <f t="shared" si="388"/>
        <v>0</v>
      </c>
    </row>
    <row r="1396" spans="2:19" outlineLevel="1">
      <c r="B1396" s="13" t="s">
        <v>100</v>
      </c>
      <c r="C1396" s="7" t="str">
        <f t="shared" si="387"/>
        <v>MOTO NIVELADORA CATERPILLAR 12N</v>
      </c>
      <c r="D1396" s="8">
        <f>D1328</f>
        <v>46103</v>
      </c>
      <c r="E1396" s="15"/>
      <c r="F1396" s="15"/>
      <c r="G1396" s="15">
        <f t="shared" si="389"/>
        <v>0</v>
      </c>
      <c r="H1396" s="16" t="s">
        <v>6</v>
      </c>
      <c r="I1396" s="10">
        <f t="shared" si="390"/>
        <v>0</v>
      </c>
      <c r="J1396" s="16" t="s">
        <v>201</v>
      </c>
      <c r="K1396" s="15"/>
      <c r="L1396" s="15"/>
      <c r="M1396" s="17"/>
      <c r="N1396" s="8"/>
      <c r="O1396" s="18">
        <f t="shared" si="391"/>
        <v>0</v>
      </c>
      <c r="P1396" s="9"/>
      <c r="Q1396" s="9"/>
      <c r="R1396" s="9"/>
      <c r="S1396" s="10">
        <f t="shared" si="388"/>
        <v>0</v>
      </c>
    </row>
    <row r="1397" spans="2:19" outlineLevel="1">
      <c r="B1397" s="13" t="s">
        <v>100</v>
      </c>
      <c r="C1397" s="7" t="str">
        <f t="shared" si="387"/>
        <v>MOTO NIVELADORA CATERPILLAR 12N</v>
      </c>
      <c r="D1397" s="8">
        <f>D1329</f>
        <v>46104</v>
      </c>
      <c r="E1397" s="15"/>
      <c r="F1397" s="15"/>
      <c r="G1397" s="15">
        <f t="shared" si="389"/>
        <v>0</v>
      </c>
      <c r="H1397" s="16" t="s">
        <v>6</v>
      </c>
      <c r="I1397" s="10">
        <f t="shared" si="390"/>
        <v>0</v>
      </c>
      <c r="J1397" s="16" t="s">
        <v>201</v>
      </c>
      <c r="K1397" s="15"/>
      <c r="L1397" s="15"/>
      <c r="M1397" s="17"/>
      <c r="N1397" s="8"/>
      <c r="O1397" s="18">
        <f t="shared" si="391"/>
        <v>0</v>
      </c>
      <c r="P1397" s="9"/>
      <c r="Q1397" s="9"/>
      <c r="R1397" s="9"/>
      <c r="S1397" s="10">
        <f t="shared" si="388"/>
        <v>0</v>
      </c>
    </row>
    <row r="1398" spans="2:19" outlineLevel="1">
      <c r="B1398" s="13" t="s">
        <v>100</v>
      </c>
      <c r="C1398" s="7" t="str">
        <f t="shared" si="387"/>
        <v>MOTO NIVELADORA CATERPILLAR 12N</v>
      </c>
      <c r="D1398" s="8">
        <f>D1330</f>
        <v>46105</v>
      </c>
      <c r="E1398" s="15"/>
      <c r="F1398" s="15"/>
      <c r="G1398" s="15">
        <f t="shared" si="389"/>
        <v>0</v>
      </c>
      <c r="H1398" s="16" t="s">
        <v>6</v>
      </c>
      <c r="I1398" s="10">
        <f t="shared" si="390"/>
        <v>0</v>
      </c>
      <c r="J1398" s="16" t="s">
        <v>201</v>
      </c>
      <c r="K1398" s="15"/>
      <c r="L1398" s="15"/>
      <c r="M1398" s="17"/>
      <c r="N1398" s="8"/>
      <c r="O1398" s="18">
        <f t="shared" si="391"/>
        <v>0</v>
      </c>
      <c r="P1398" s="9"/>
      <c r="Q1398" s="9"/>
      <c r="R1398" s="9"/>
      <c r="S1398" s="10">
        <f t="shared" si="388"/>
        <v>0</v>
      </c>
    </row>
    <row r="1399" spans="2:19" outlineLevel="1">
      <c r="B1399" s="13" t="s">
        <v>100</v>
      </c>
      <c r="C1399" s="7" t="str">
        <f t="shared" si="387"/>
        <v>MOTO NIVELADORA CATERPILLAR 12N</v>
      </c>
      <c r="D1399" s="8">
        <f>D1331</f>
        <v>46106</v>
      </c>
      <c r="E1399" s="15"/>
      <c r="F1399" s="15"/>
      <c r="G1399" s="15">
        <f t="shared" si="389"/>
        <v>0</v>
      </c>
      <c r="H1399" s="16" t="s">
        <v>6</v>
      </c>
      <c r="I1399" s="10">
        <f t="shared" si="390"/>
        <v>0</v>
      </c>
      <c r="J1399" s="16" t="s">
        <v>201</v>
      </c>
      <c r="K1399" s="15"/>
      <c r="L1399" s="15"/>
      <c r="M1399" s="17"/>
      <c r="N1399" s="8"/>
      <c r="O1399" s="18">
        <f t="shared" si="391"/>
        <v>0</v>
      </c>
      <c r="P1399" s="9"/>
      <c r="Q1399" s="9"/>
      <c r="R1399" s="9"/>
      <c r="S1399" s="10">
        <f t="shared" si="388"/>
        <v>0</v>
      </c>
    </row>
    <row r="1400" spans="2:19" outlineLevel="1">
      <c r="B1400" s="13" t="s">
        <v>100</v>
      </c>
      <c r="C1400" s="7" t="str">
        <f t="shared" si="387"/>
        <v>MOTO NIVELADORA CATERPILLAR 12N</v>
      </c>
      <c r="D1400" s="8">
        <f>D1332</f>
        <v>46107</v>
      </c>
      <c r="E1400" s="15"/>
      <c r="F1400" s="15"/>
      <c r="G1400" s="15">
        <f t="shared" si="389"/>
        <v>0</v>
      </c>
      <c r="H1400" s="16" t="s">
        <v>6</v>
      </c>
      <c r="I1400" s="10">
        <f t="shared" si="390"/>
        <v>0</v>
      </c>
      <c r="J1400" s="16" t="s">
        <v>201</v>
      </c>
      <c r="K1400" s="15"/>
      <c r="L1400" s="15"/>
      <c r="M1400" s="17"/>
      <c r="N1400" s="8"/>
      <c r="O1400" s="18">
        <f t="shared" si="391"/>
        <v>0</v>
      </c>
      <c r="P1400" s="9"/>
      <c r="Q1400" s="9"/>
      <c r="R1400" s="9"/>
      <c r="S1400" s="10">
        <f t="shared" si="388"/>
        <v>0</v>
      </c>
    </row>
    <row r="1401" spans="2:19" outlineLevel="1">
      <c r="B1401" s="13" t="s">
        <v>100</v>
      </c>
      <c r="C1401" s="7" t="str">
        <f t="shared" si="387"/>
        <v>MOTO NIVELADORA CATERPILLAR 12N</v>
      </c>
      <c r="D1401" s="8">
        <f>D1333</f>
        <v>46108</v>
      </c>
      <c r="E1401" s="15"/>
      <c r="F1401" s="15"/>
      <c r="G1401" s="15">
        <f t="shared" si="389"/>
        <v>0</v>
      </c>
      <c r="H1401" s="16" t="s">
        <v>6</v>
      </c>
      <c r="I1401" s="10">
        <f t="shared" si="390"/>
        <v>0</v>
      </c>
      <c r="J1401" s="16" t="s">
        <v>201</v>
      </c>
      <c r="K1401" s="15"/>
      <c r="L1401" s="15"/>
      <c r="M1401" s="17"/>
      <c r="N1401" s="8"/>
      <c r="O1401" s="18">
        <f t="shared" si="391"/>
        <v>0</v>
      </c>
      <c r="P1401" s="9"/>
      <c r="Q1401" s="9"/>
      <c r="R1401" s="9"/>
      <c r="S1401" s="10">
        <f t="shared" si="388"/>
        <v>0</v>
      </c>
    </row>
    <row r="1402" spans="2:19" outlineLevel="1">
      <c r="B1402" s="13" t="s">
        <v>100</v>
      </c>
      <c r="C1402" s="7" t="str">
        <f t="shared" si="387"/>
        <v>MOTO NIVELADORA CATERPILLAR 12N</v>
      </c>
      <c r="D1402" s="8">
        <f t="shared" ref="D1402" si="392">D1334</f>
        <v>46109</v>
      </c>
      <c r="E1402" s="15"/>
      <c r="F1402" s="15"/>
      <c r="G1402" s="15">
        <f t="shared" ref="G1402:G1404" si="393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394">SUM(R1402+Q1402+I1402)</f>
        <v>0</v>
      </c>
    </row>
    <row r="1403" spans="2:19" outlineLevel="1">
      <c r="B1403" s="13" t="s">
        <v>100</v>
      </c>
      <c r="C1403" s="7" t="str">
        <f t="shared" si="387"/>
        <v>MOTO NIVELADORA CATERPILLAR 12N</v>
      </c>
      <c r="D1403" s="8">
        <f t="shared" ref="D1403:D1405" si="395">D1335</f>
        <v>46110</v>
      </c>
      <c r="E1403" s="15"/>
      <c r="F1403" s="15"/>
      <c r="G1403" s="15">
        <f t="shared" si="393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4"/>
        <v>0</v>
      </c>
    </row>
    <row r="1404" spans="2:19" outlineLevel="1">
      <c r="B1404" s="13" t="s">
        <v>100</v>
      </c>
      <c r="C1404" s="7" t="str">
        <f t="shared" si="387"/>
        <v>MOTO NIVELADORA CATERPILLAR 12N</v>
      </c>
      <c r="D1404" s="8">
        <f t="shared" si="395"/>
        <v>46111</v>
      </c>
      <c r="E1404" s="15"/>
      <c r="F1404" s="15"/>
      <c r="G1404" s="15">
        <f t="shared" si="393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4"/>
        <v>0</v>
      </c>
    </row>
    <row r="1405" spans="2:19" outlineLevel="1">
      <c r="B1405" s="13" t="s">
        <v>100</v>
      </c>
      <c r="C1405" s="7" t="str">
        <f t="shared" si="387"/>
        <v>MOTO NIVELADORA CATERPILLAR 12N</v>
      </c>
      <c r="D1405" s="8">
        <f t="shared" si="395"/>
        <v>46112</v>
      </c>
      <c r="E1405" s="15"/>
      <c r="F1405" s="15"/>
      <c r="G1405" s="15">
        <f t="shared" si="389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88"/>
        <v>0</v>
      </c>
    </row>
    <row r="1406" spans="2:19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5" t="str">
        <f>M$1</f>
        <v>BM JANEIRO 2026</v>
      </c>
      <c r="N1407" s="135"/>
      <c r="O1407" s="135"/>
      <c r="P1407" s="19" t="s">
        <v>10</v>
      </c>
      <c r="Q1407" s="136"/>
      <c r="R1407" s="136"/>
      <c r="S1407" s="136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outlineLevel="1">
      <c r="B1409" s="68" t="s">
        <v>102</v>
      </c>
      <c r="C1409" s="7" t="str">
        <f t="shared" ref="C1409:C1439" si="396">C$1407</f>
        <v>TRATOR DE ESTEIRA CATERPILLA D6N POTY</v>
      </c>
      <c r="D1409" s="8">
        <f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outlineLevel="1">
      <c r="B1410" s="12" t="s">
        <v>0</v>
      </c>
      <c r="C1410" s="7" t="str">
        <f t="shared" si="396"/>
        <v>TRATOR DE ESTEIRA CATERPILLA D6N POTY</v>
      </c>
      <c r="D1410" s="8">
        <f>D1342</f>
        <v>46083</v>
      </c>
      <c r="E1410" s="15"/>
      <c r="F1410" s="15"/>
      <c r="G1410" s="15">
        <f t="shared" ref="G1410:G1439" si="397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398">SUM(R1410+Q1410+I1410)</f>
        <v>0</v>
      </c>
    </row>
    <row r="1411" spans="2:19" outlineLevel="1">
      <c r="B1411" s="13" t="s">
        <v>102</v>
      </c>
      <c r="C1411" s="7" t="str">
        <f t="shared" si="396"/>
        <v>TRATOR DE ESTEIRA CATERPILLA D6N POTY</v>
      </c>
      <c r="D1411" s="8">
        <f>D1343</f>
        <v>46084</v>
      </c>
      <c r="E1411" s="15"/>
      <c r="F1411" s="15"/>
      <c r="G1411" s="15">
        <f t="shared" si="397"/>
        <v>0</v>
      </c>
      <c r="H1411" s="16" t="s">
        <v>6</v>
      </c>
      <c r="I1411" s="10">
        <f t="shared" ref="I1411:I1435" si="399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400">O1410</f>
        <v>45000</v>
      </c>
      <c r="P1411" s="9"/>
      <c r="Q1411" s="9"/>
      <c r="R1411" s="85">
        <v>0</v>
      </c>
      <c r="S1411" s="10">
        <f t="shared" si="398"/>
        <v>0</v>
      </c>
    </row>
    <row r="1412" spans="2:19" outlineLevel="1">
      <c r="B1412" s="13" t="s">
        <v>102</v>
      </c>
      <c r="C1412" s="7" t="str">
        <f t="shared" si="396"/>
        <v>TRATOR DE ESTEIRA CATERPILLA D6N POTY</v>
      </c>
      <c r="D1412" s="8">
        <f>D1344</f>
        <v>46085</v>
      </c>
      <c r="E1412" s="15"/>
      <c r="F1412" s="15"/>
      <c r="G1412" s="15">
        <f t="shared" si="397"/>
        <v>0</v>
      </c>
      <c r="H1412" s="16" t="s">
        <v>6</v>
      </c>
      <c r="I1412" s="10">
        <f t="shared" si="399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0"/>
        <v>45000</v>
      </c>
      <c r="P1412" s="9"/>
      <c r="Q1412" s="9"/>
      <c r="R1412" s="85">
        <v>0</v>
      </c>
      <c r="S1412" s="10">
        <f t="shared" si="398"/>
        <v>0</v>
      </c>
    </row>
    <row r="1413" spans="2:19" outlineLevel="1">
      <c r="B1413" s="13" t="s">
        <v>102</v>
      </c>
      <c r="C1413" s="7" t="str">
        <f t="shared" si="396"/>
        <v>TRATOR DE ESTEIRA CATERPILLA D6N POTY</v>
      </c>
      <c r="D1413" s="8">
        <f>D1345</f>
        <v>46086</v>
      </c>
      <c r="E1413" s="15"/>
      <c r="F1413" s="15"/>
      <c r="G1413" s="15">
        <f t="shared" si="397"/>
        <v>0</v>
      </c>
      <c r="H1413" s="16" t="s">
        <v>6</v>
      </c>
      <c r="I1413" s="10">
        <f t="shared" si="399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0"/>
        <v>45000</v>
      </c>
      <c r="P1413" s="9"/>
      <c r="Q1413" s="9"/>
      <c r="R1413" s="85">
        <v>0</v>
      </c>
      <c r="S1413" s="10">
        <f t="shared" si="398"/>
        <v>0</v>
      </c>
    </row>
    <row r="1414" spans="2:19" outlineLevel="1">
      <c r="B1414" s="13" t="s">
        <v>102</v>
      </c>
      <c r="C1414" s="7" t="str">
        <f t="shared" si="396"/>
        <v>TRATOR DE ESTEIRA CATERPILLA D6N POTY</v>
      </c>
      <c r="D1414" s="8">
        <f>D1346</f>
        <v>46087</v>
      </c>
      <c r="E1414" s="15"/>
      <c r="F1414" s="15"/>
      <c r="G1414" s="15">
        <f t="shared" si="397"/>
        <v>0</v>
      </c>
      <c r="H1414" s="16" t="s">
        <v>6</v>
      </c>
      <c r="I1414" s="10">
        <f t="shared" si="399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0"/>
        <v>45000</v>
      </c>
      <c r="P1414" s="9"/>
      <c r="Q1414" s="9"/>
      <c r="R1414" s="85">
        <v>0</v>
      </c>
      <c r="S1414" s="10">
        <f t="shared" si="398"/>
        <v>0</v>
      </c>
    </row>
    <row r="1415" spans="2:19" outlineLevel="1">
      <c r="B1415" s="13" t="s">
        <v>102</v>
      </c>
      <c r="C1415" s="7" t="str">
        <f t="shared" si="396"/>
        <v>TRATOR DE ESTEIRA CATERPILLA D6N POTY</v>
      </c>
      <c r="D1415" s="8">
        <f>D1347</f>
        <v>46088</v>
      </c>
      <c r="E1415" s="15"/>
      <c r="F1415" s="15"/>
      <c r="G1415" s="15">
        <f t="shared" si="397"/>
        <v>0</v>
      </c>
      <c r="H1415" s="16" t="s">
        <v>6</v>
      </c>
      <c r="I1415" s="10">
        <f t="shared" si="399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0"/>
        <v>45000</v>
      </c>
      <c r="P1415" s="9"/>
      <c r="Q1415" s="9"/>
      <c r="R1415" s="85">
        <v>0</v>
      </c>
      <c r="S1415" s="10">
        <f t="shared" si="398"/>
        <v>0</v>
      </c>
    </row>
    <row r="1416" spans="2:19" outlineLevel="1">
      <c r="B1416" s="13" t="s">
        <v>102</v>
      </c>
      <c r="C1416" s="7" t="str">
        <f t="shared" si="396"/>
        <v>TRATOR DE ESTEIRA CATERPILLA D6N POTY</v>
      </c>
      <c r="D1416" s="8">
        <f>D1348</f>
        <v>46089</v>
      </c>
      <c r="E1416" s="15"/>
      <c r="F1416" s="15"/>
      <c r="G1416" s="15">
        <f t="shared" si="397"/>
        <v>0</v>
      </c>
      <c r="H1416" s="16" t="s">
        <v>6</v>
      </c>
      <c r="I1416" s="10">
        <f t="shared" si="399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0"/>
        <v>45000</v>
      </c>
      <c r="P1416" s="9"/>
      <c r="Q1416" s="9"/>
      <c r="R1416" s="85">
        <v>0</v>
      </c>
      <c r="S1416" s="10">
        <f t="shared" si="398"/>
        <v>0</v>
      </c>
    </row>
    <row r="1417" spans="2:19" outlineLevel="1">
      <c r="B1417" s="13" t="s">
        <v>102</v>
      </c>
      <c r="C1417" s="7" t="str">
        <f t="shared" si="396"/>
        <v>TRATOR DE ESTEIRA CATERPILLA D6N POTY</v>
      </c>
      <c r="D1417" s="8">
        <f>D1349</f>
        <v>46090</v>
      </c>
      <c r="E1417" s="15"/>
      <c r="F1417" s="15"/>
      <c r="G1417" s="15">
        <f t="shared" si="397"/>
        <v>0</v>
      </c>
      <c r="H1417" s="16" t="s">
        <v>6</v>
      </c>
      <c r="I1417" s="10">
        <f t="shared" si="399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0"/>
        <v>45000</v>
      </c>
      <c r="P1417" s="9"/>
      <c r="Q1417" s="9"/>
      <c r="R1417" s="85">
        <v>0</v>
      </c>
      <c r="S1417" s="10">
        <f t="shared" si="398"/>
        <v>0</v>
      </c>
    </row>
    <row r="1418" spans="2:19" outlineLevel="1">
      <c r="B1418" s="13" t="s">
        <v>102</v>
      </c>
      <c r="C1418" s="7" t="str">
        <f t="shared" si="396"/>
        <v>TRATOR DE ESTEIRA CATERPILLA D6N POTY</v>
      </c>
      <c r="D1418" s="8">
        <f>D1350</f>
        <v>46091</v>
      </c>
      <c r="E1418" s="15"/>
      <c r="F1418" s="15"/>
      <c r="G1418" s="15">
        <f t="shared" si="397"/>
        <v>0</v>
      </c>
      <c r="H1418" s="16" t="s">
        <v>6</v>
      </c>
      <c r="I1418" s="10">
        <f t="shared" si="399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0"/>
        <v>45000</v>
      </c>
      <c r="P1418" s="9"/>
      <c r="Q1418" s="9"/>
      <c r="R1418" s="85">
        <v>0</v>
      </c>
      <c r="S1418" s="10">
        <f t="shared" si="398"/>
        <v>0</v>
      </c>
    </row>
    <row r="1419" spans="2:19" outlineLevel="1">
      <c r="B1419" s="13" t="s">
        <v>102</v>
      </c>
      <c r="C1419" s="7" t="str">
        <f t="shared" si="396"/>
        <v>TRATOR DE ESTEIRA CATERPILLA D6N POTY</v>
      </c>
      <c r="D1419" s="8">
        <f>D1351</f>
        <v>46092</v>
      </c>
      <c r="E1419" s="15"/>
      <c r="F1419" s="15"/>
      <c r="G1419" s="15">
        <f t="shared" si="397"/>
        <v>0</v>
      </c>
      <c r="H1419" s="16" t="s">
        <v>6</v>
      </c>
      <c r="I1419" s="10">
        <f t="shared" si="399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0"/>
        <v>45000</v>
      </c>
      <c r="P1419" s="9"/>
      <c r="Q1419" s="9"/>
      <c r="R1419" s="85">
        <v>0</v>
      </c>
      <c r="S1419" s="10">
        <f t="shared" si="398"/>
        <v>0</v>
      </c>
    </row>
    <row r="1420" spans="2:19" outlineLevel="1">
      <c r="B1420" s="13" t="s">
        <v>102</v>
      </c>
      <c r="C1420" s="7" t="str">
        <f t="shared" si="396"/>
        <v>TRATOR DE ESTEIRA CATERPILLA D6N POTY</v>
      </c>
      <c r="D1420" s="8">
        <f>D1352</f>
        <v>46093</v>
      </c>
      <c r="E1420" s="15"/>
      <c r="F1420" s="15"/>
      <c r="G1420" s="15">
        <f t="shared" si="397"/>
        <v>0</v>
      </c>
      <c r="H1420" s="16" t="s">
        <v>6</v>
      </c>
      <c r="I1420" s="10">
        <f t="shared" si="399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0"/>
        <v>45000</v>
      </c>
      <c r="P1420" s="9"/>
      <c r="Q1420" s="9"/>
      <c r="R1420" s="85">
        <v>0</v>
      </c>
      <c r="S1420" s="10">
        <f t="shared" si="398"/>
        <v>0</v>
      </c>
    </row>
    <row r="1421" spans="2:19" outlineLevel="1">
      <c r="B1421" s="13" t="s">
        <v>102</v>
      </c>
      <c r="C1421" s="7" t="str">
        <f t="shared" si="396"/>
        <v>TRATOR DE ESTEIRA CATERPILLA D6N POTY</v>
      </c>
      <c r="D1421" s="8">
        <f>D1353</f>
        <v>46094</v>
      </c>
      <c r="E1421" s="15"/>
      <c r="F1421" s="15"/>
      <c r="G1421" s="15">
        <f t="shared" si="397"/>
        <v>0</v>
      </c>
      <c r="H1421" s="16" t="s">
        <v>6</v>
      </c>
      <c r="I1421" s="10">
        <f t="shared" si="399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0"/>
        <v>45000</v>
      </c>
      <c r="P1421" s="9"/>
      <c r="Q1421" s="9"/>
      <c r="R1421" s="85">
        <v>0</v>
      </c>
      <c r="S1421" s="10">
        <f t="shared" si="398"/>
        <v>0</v>
      </c>
    </row>
    <row r="1422" spans="2:19" outlineLevel="1">
      <c r="B1422" s="13" t="s">
        <v>102</v>
      </c>
      <c r="C1422" s="7" t="str">
        <f t="shared" si="396"/>
        <v>TRATOR DE ESTEIRA CATERPILLA D6N POTY</v>
      </c>
      <c r="D1422" s="8">
        <f>D1354</f>
        <v>46095</v>
      </c>
      <c r="E1422" s="15"/>
      <c r="F1422" s="15"/>
      <c r="G1422" s="15">
        <f t="shared" si="397"/>
        <v>0</v>
      </c>
      <c r="H1422" s="16" t="s">
        <v>6</v>
      </c>
      <c r="I1422" s="10">
        <f t="shared" si="399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0"/>
        <v>45000</v>
      </c>
      <c r="P1422" s="9"/>
      <c r="Q1422" s="9"/>
      <c r="R1422" s="85">
        <v>0</v>
      </c>
      <c r="S1422" s="10">
        <f t="shared" si="398"/>
        <v>0</v>
      </c>
    </row>
    <row r="1423" spans="2:19" outlineLevel="1">
      <c r="B1423" s="13" t="s">
        <v>102</v>
      </c>
      <c r="C1423" s="7" t="str">
        <f t="shared" si="396"/>
        <v>TRATOR DE ESTEIRA CATERPILLA D6N POTY</v>
      </c>
      <c r="D1423" s="8">
        <f>D1355</f>
        <v>46096</v>
      </c>
      <c r="E1423" s="15"/>
      <c r="F1423" s="15"/>
      <c r="G1423" s="15">
        <f t="shared" si="397"/>
        <v>0</v>
      </c>
      <c r="H1423" s="16" t="s">
        <v>6</v>
      </c>
      <c r="I1423" s="10">
        <f t="shared" si="399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0"/>
        <v>45000</v>
      </c>
      <c r="P1423" s="9"/>
      <c r="Q1423" s="9"/>
      <c r="R1423" s="85">
        <v>0</v>
      </c>
      <c r="S1423" s="10">
        <f t="shared" si="398"/>
        <v>0</v>
      </c>
    </row>
    <row r="1424" spans="2:19" outlineLevel="1">
      <c r="B1424" s="13" t="s">
        <v>102</v>
      </c>
      <c r="C1424" s="7" t="str">
        <f t="shared" si="396"/>
        <v>TRATOR DE ESTEIRA CATERPILLA D6N POTY</v>
      </c>
      <c r="D1424" s="8">
        <f>D1356</f>
        <v>46097</v>
      </c>
      <c r="E1424" s="15"/>
      <c r="F1424" s="15"/>
      <c r="G1424" s="15">
        <f t="shared" si="397"/>
        <v>0</v>
      </c>
      <c r="H1424" s="16" t="s">
        <v>6</v>
      </c>
      <c r="I1424" s="10">
        <f t="shared" si="399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0"/>
        <v>45000</v>
      </c>
      <c r="P1424" s="9"/>
      <c r="Q1424" s="9"/>
      <c r="R1424" s="85">
        <v>0</v>
      </c>
      <c r="S1424" s="10">
        <f t="shared" si="398"/>
        <v>0</v>
      </c>
    </row>
    <row r="1425" spans="2:19" outlineLevel="1">
      <c r="B1425" s="13" t="s">
        <v>102</v>
      </c>
      <c r="C1425" s="7" t="str">
        <f t="shared" si="396"/>
        <v>TRATOR DE ESTEIRA CATERPILLA D6N POTY</v>
      </c>
      <c r="D1425" s="8">
        <f>D1357</f>
        <v>46098</v>
      </c>
      <c r="E1425" s="15"/>
      <c r="F1425" s="15"/>
      <c r="G1425" s="15">
        <f t="shared" si="397"/>
        <v>0</v>
      </c>
      <c r="H1425" s="16" t="s">
        <v>6</v>
      </c>
      <c r="I1425" s="10">
        <f t="shared" si="399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0"/>
        <v>45000</v>
      </c>
      <c r="P1425" s="9"/>
      <c r="Q1425" s="9"/>
      <c r="R1425" s="85">
        <v>0</v>
      </c>
      <c r="S1425" s="10">
        <f t="shared" si="398"/>
        <v>0</v>
      </c>
    </row>
    <row r="1426" spans="2:19" outlineLevel="1">
      <c r="B1426" s="13" t="s">
        <v>102</v>
      </c>
      <c r="C1426" s="7" t="str">
        <f t="shared" si="396"/>
        <v>TRATOR DE ESTEIRA CATERPILLA D6N POTY</v>
      </c>
      <c r="D1426" s="8">
        <f>D1358</f>
        <v>46099</v>
      </c>
      <c r="E1426" s="15"/>
      <c r="F1426" s="15"/>
      <c r="G1426" s="15">
        <f t="shared" si="397"/>
        <v>0</v>
      </c>
      <c r="H1426" s="16" t="s">
        <v>6</v>
      </c>
      <c r="I1426" s="10">
        <f t="shared" si="399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0"/>
        <v>45000</v>
      </c>
      <c r="P1426" s="9"/>
      <c r="Q1426" s="9"/>
      <c r="R1426" s="85">
        <v>0</v>
      </c>
      <c r="S1426" s="10">
        <f t="shared" si="398"/>
        <v>0</v>
      </c>
    </row>
    <row r="1427" spans="2:19" outlineLevel="1">
      <c r="B1427" s="13" t="s">
        <v>102</v>
      </c>
      <c r="C1427" s="7" t="str">
        <f t="shared" si="396"/>
        <v>TRATOR DE ESTEIRA CATERPILLA D6N POTY</v>
      </c>
      <c r="D1427" s="8">
        <f>D1359</f>
        <v>46100</v>
      </c>
      <c r="E1427" s="15"/>
      <c r="F1427" s="15"/>
      <c r="G1427" s="15">
        <f t="shared" si="397"/>
        <v>0</v>
      </c>
      <c r="H1427" s="16" t="s">
        <v>6</v>
      </c>
      <c r="I1427" s="10">
        <f t="shared" si="399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0"/>
        <v>45000</v>
      </c>
      <c r="P1427" s="9"/>
      <c r="Q1427" s="9"/>
      <c r="R1427" s="85">
        <v>0</v>
      </c>
      <c r="S1427" s="10">
        <f t="shared" si="398"/>
        <v>0</v>
      </c>
    </row>
    <row r="1428" spans="2:19" outlineLevel="1">
      <c r="B1428" s="13" t="s">
        <v>102</v>
      </c>
      <c r="C1428" s="7" t="str">
        <f t="shared" si="396"/>
        <v>TRATOR DE ESTEIRA CATERPILLA D6N POTY</v>
      </c>
      <c r="D1428" s="8">
        <f>D1360</f>
        <v>46101</v>
      </c>
      <c r="E1428" s="15"/>
      <c r="F1428" s="15"/>
      <c r="G1428" s="15">
        <f t="shared" si="397"/>
        <v>0</v>
      </c>
      <c r="H1428" s="16" t="s">
        <v>6</v>
      </c>
      <c r="I1428" s="10">
        <f t="shared" si="399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0"/>
        <v>45000</v>
      </c>
      <c r="P1428" s="9"/>
      <c r="Q1428" s="9"/>
      <c r="R1428" s="85">
        <v>0</v>
      </c>
      <c r="S1428" s="10">
        <f t="shared" si="398"/>
        <v>0</v>
      </c>
    </row>
    <row r="1429" spans="2:19" outlineLevel="1">
      <c r="B1429" s="13" t="s">
        <v>102</v>
      </c>
      <c r="C1429" s="7" t="str">
        <f t="shared" si="396"/>
        <v>TRATOR DE ESTEIRA CATERPILLA D6N POTY</v>
      </c>
      <c r="D1429" s="8">
        <f>D1361</f>
        <v>46102</v>
      </c>
      <c r="E1429" s="15"/>
      <c r="F1429" s="15"/>
      <c r="G1429" s="15">
        <f t="shared" si="397"/>
        <v>0</v>
      </c>
      <c r="H1429" s="16" t="s">
        <v>6</v>
      </c>
      <c r="I1429" s="10">
        <f t="shared" si="399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0"/>
        <v>45000</v>
      </c>
      <c r="P1429" s="9"/>
      <c r="Q1429" s="9"/>
      <c r="R1429" s="85">
        <v>0</v>
      </c>
      <c r="S1429" s="10">
        <f t="shared" si="398"/>
        <v>0</v>
      </c>
    </row>
    <row r="1430" spans="2:19" outlineLevel="1">
      <c r="B1430" s="13" t="s">
        <v>102</v>
      </c>
      <c r="C1430" s="7" t="str">
        <f t="shared" si="396"/>
        <v>TRATOR DE ESTEIRA CATERPILLA D6N POTY</v>
      </c>
      <c r="D1430" s="8">
        <f>D1362</f>
        <v>46103</v>
      </c>
      <c r="E1430" s="15"/>
      <c r="F1430" s="15"/>
      <c r="G1430" s="15">
        <f t="shared" si="397"/>
        <v>0</v>
      </c>
      <c r="H1430" s="16" t="s">
        <v>6</v>
      </c>
      <c r="I1430" s="10">
        <f t="shared" si="399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0"/>
        <v>45000</v>
      </c>
      <c r="P1430" s="9"/>
      <c r="Q1430" s="9"/>
      <c r="R1430" s="85">
        <v>0</v>
      </c>
      <c r="S1430" s="10">
        <f t="shared" si="398"/>
        <v>0</v>
      </c>
    </row>
    <row r="1431" spans="2:19" outlineLevel="1">
      <c r="B1431" s="13" t="s">
        <v>102</v>
      </c>
      <c r="C1431" s="7" t="str">
        <f t="shared" si="396"/>
        <v>TRATOR DE ESTEIRA CATERPILLA D6N POTY</v>
      </c>
      <c r="D1431" s="8">
        <f>D1363</f>
        <v>46104</v>
      </c>
      <c r="E1431" s="15"/>
      <c r="F1431" s="15"/>
      <c r="G1431" s="15">
        <f t="shared" si="397"/>
        <v>0</v>
      </c>
      <c r="H1431" s="16" t="s">
        <v>6</v>
      </c>
      <c r="I1431" s="10">
        <f t="shared" si="399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0"/>
        <v>45000</v>
      </c>
      <c r="P1431" s="9"/>
      <c r="Q1431" s="9"/>
      <c r="R1431" s="85">
        <v>0</v>
      </c>
      <c r="S1431" s="10">
        <f t="shared" si="398"/>
        <v>0</v>
      </c>
    </row>
    <row r="1432" spans="2:19" outlineLevel="1">
      <c r="B1432" s="13" t="s">
        <v>102</v>
      </c>
      <c r="C1432" s="7" t="str">
        <f t="shared" si="396"/>
        <v>TRATOR DE ESTEIRA CATERPILLA D6N POTY</v>
      </c>
      <c r="D1432" s="8">
        <f>D1364</f>
        <v>46105</v>
      </c>
      <c r="E1432" s="15"/>
      <c r="F1432" s="15"/>
      <c r="G1432" s="15">
        <f t="shared" si="397"/>
        <v>0</v>
      </c>
      <c r="H1432" s="16" t="s">
        <v>6</v>
      </c>
      <c r="I1432" s="10">
        <f t="shared" si="399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0"/>
        <v>45000</v>
      </c>
      <c r="P1432" s="9"/>
      <c r="Q1432" s="9"/>
      <c r="R1432" s="85">
        <v>0</v>
      </c>
      <c r="S1432" s="10">
        <f t="shared" si="398"/>
        <v>0</v>
      </c>
    </row>
    <row r="1433" spans="2:19" outlineLevel="1">
      <c r="B1433" s="13" t="s">
        <v>102</v>
      </c>
      <c r="C1433" s="7" t="str">
        <f t="shared" si="396"/>
        <v>TRATOR DE ESTEIRA CATERPILLA D6N POTY</v>
      </c>
      <c r="D1433" s="8">
        <f>D1365</f>
        <v>46106</v>
      </c>
      <c r="E1433" s="15"/>
      <c r="F1433" s="15"/>
      <c r="G1433" s="15">
        <f t="shared" si="397"/>
        <v>0</v>
      </c>
      <c r="H1433" s="16" t="s">
        <v>6</v>
      </c>
      <c r="I1433" s="10">
        <f t="shared" si="399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0"/>
        <v>45000</v>
      </c>
      <c r="P1433" s="9"/>
      <c r="Q1433" s="9"/>
      <c r="R1433" s="85">
        <v>0</v>
      </c>
      <c r="S1433" s="10">
        <f t="shared" si="398"/>
        <v>0</v>
      </c>
    </row>
    <row r="1434" spans="2:19" outlineLevel="1">
      <c r="B1434" s="13" t="s">
        <v>102</v>
      </c>
      <c r="C1434" s="7" t="str">
        <f t="shared" si="396"/>
        <v>TRATOR DE ESTEIRA CATERPILLA D6N POTY</v>
      </c>
      <c r="D1434" s="8">
        <f>D1366</f>
        <v>46107</v>
      </c>
      <c r="E1434" s="15"/>
      <c r="F1434" s="15"/>
      <c r="G1434" s="15">
        <f t="shared" si="397"/>
        <v>0</v>
      </c>
      <c r="H1434" s="16" t="s">
        <v>6</v>
      </c>
      <c r="I1434" s="10">
        <f t="shared" si="399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0"/>
        <v>45000</v>
      </c>
      <c r="P1434" s="9"/>
      <c r="Q1434" s="9"/>
      <c r="R1434" s="85">
        <v>0</v>
      </c>
      <c r="S1434" s="10">
        <f t="shared" si="398"/>
        <v>0</v>
      </c>
    </row>
    <row r="1435" spans="2:19" outlineLevel="1">
      <c r="B1435" s="13" t="s">
        <v>102</v>
      </c>
      <c r="C1435" s="7" t="str">
        <f t="shared" si="396"/>
        <v>TRATOR DE ESTEIRA CATERPILLA D6N POTY</v>
      </c>
      <c r="D1435" s="8">
        <f>D1367</f>
        <v>46108</v>
      </c>
      <c r="E1435" s="15"/>
      <c r="F1435" s="15"/>
      <c r="G1435" s="15">
        <f t="shared" si="397"/>
        <v>0</v>
      </c>
      <c r="H1435" s="16" t="s">
        <v>6</v>
      </c>
      <c r="I1435" s="10">
        <f t="shared" si="399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400"/>
        <v>45000</v>
      </c>
      <c r="P1435" s="9"/>
      <c r="Q1435" s="9"/>
      <c r="R1435" s="85">
        <v>0</v>
      </c>
      <c r="S1435" s="10">
        <f t="shared" si="398"/>
        <v>0</v>
      </c>
    </row>
    <row r="1436" spans="2:19" outlineLevel="1">
      <c r="B1436" s="13" t="s">
        <v>102</v>
      </c>
      <c r="C1436" s="7" t="str">
        <f t="shared" si="396"/>
        <v>TRATOR DE ESTEIRA CATERPILLA D6N POTY</v>
      </c>
      <c r="D1436" s="8">
        <f>D1368</f>
        <v>46109</v>
      </c>
      <c r="E1436" s="15"/>
      <c r="F1436" s="15"/>
      <c r="G1436" s="15">
        <f t="shared" ref="G1436:G1438" si="401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402">SUM(R1436+Q1436+I1436)</f>
        <v>0</v>
      </c>
    </row>
    <row r="1437" spans="2:19" outlineLevel="1">
      <c r="B1437" s="13" t="s">
        <v>102</v>
      </c>
      <c r="C1437" s="7" t="str">
        <f t="shared" si="396"/>
        <v>TRATOR DE ESTEIRA CATERPILLA D6N POTY</v>
      </c>
      <c r="D1437" s="8">
        <f>D1369</f>
        <v>46110</v>
      </c>
      <c r="E1437" s="15"/>
      <c r="F1437" s="15"/>
      <c r="G1437" s="15">
        <f t="shared" si="401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02"/>
        <v>0</v>
      </c>
    </row>
    <row r="1438" spans="2:19" outlineLevel="1">
      <c r="B1438" s="13" t="s">
        <v>102</v>
      </c>
      <c r="C1438" s="7" t="str">
        <f t="shared" si="396"/>
        <v>TRATOR DE ESTEIRA CATERPILLA D6N POTY</v>
      </c>
      <c r="D1438" s="8">
        <f>D1370</f>
        <v>46111</v>
      </c>
      <c r="E1438" s="15"/>
      <c r="F1438" s="15"/>
      <c r="G1438" s="15">
        <f t="shared" si="401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2"/>
        <v>0</v>
      </c>
    </row>
    <row r="1439" spans="2:19" outlineLevel="1">
      <c r="B1439" s="13" t="s">
        <v>102</v>
      </c>
      <c r="C1439" s="7" t="str">
        <f t="shared" si="396"/>
        <v>TRATOR DE ESTEIRA CATERPILLA D6N POTY</v>
      </c>
      <c r="D1439" s="8">
        <f>D1371</f>
        <v>46112</v>
      </c>
      <c r="E1439" s="15"/>
      <c r="F1439" s="15"/>
      <c r="G1439" s="15">
        <f t="shared" si="397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398"/>
        <v>0</v>
      </c>
    </row>
    <row r="1440" spans="2:19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5" t="str">
        <f>M$1</f>
        <v>BM JANEIRO 2026</v>
      </c>
      <c r="N1441" s="135"/>
      <c r="O1441" s="135"/>
      <c r="P1441" s="19" t="s">
        <v>10</v>
      </c>
      <c r="Q1441" s="136" t="s">
        <v>189</v>
      </c>
      <c r="R1441" s="136"/>
      <c r="S1441" s="136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outlineLevel="1">
      <c r="B1443" s="68" t="s">
        <v>104</v>
      </c>
      <c r="C1443" s="7" t="str">
        <f t="shared" ref="C1443:C1473" si="403">C$1441</f>
        <v>TRATOR AGRICULA MF 5710 K POTY</v>
      </c>
      <c r="D1443" s="8">
        <f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04">SUM(R1443+Q1443+I1443)</f>
        <v>0</v>
      </c>
    </row>
    <row r="1444" spans="2:19" outlineLevel="1">
      <c r="B1444" s="12" t="s">
        <v>0</v>
      </c>
      <c r="C1444" s="7" t="str">
        <f t="shared" si="403"/>
        <v>TRATOR AGRICULA MF 5710 K POTY</v>
      </c>
      <c r="D1444" s="8">
        <f>D1376</f>
        <v>46083</v>
      </c>
      <c r="E1444" s="15"/>
      <c r="F1444" s="15"/>
      <c r="G1444" s="15">
        <f t="shared" ref="G1444:G1468" si="405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04"/>
        <v>0</v>
      </c>
    </row>
    <row r="1445" spans="2:19" outlineLevel="1">
      <c r="B1445" s="13" t="s">
        <v>104</v>
      </c>
      <c r="C1445" s="7" t="str">
        <f t="shared" si="403"/>
        <v>TRATOR AGRICULA MF 5710 K POTY</v>
      </c>
      <c r="D1445" s="8">
        <f>D1377</f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06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04"/>
        <v>0</v>
      </c>
    </row>
    <row r="1446" spans="2:19" outlineLevel="1">
      <c r="B1446" s="13" t="s">
        <v>104</v>
      </c>
      <c r="C1446" s="7" t="str">
        <f t="shared" si="403"/>
        <v>TRATOR AGRICULA MF 5710 K POTY</v>
      </c>
      <c r="D1446" s="8">
        <f>D1378</f>
        <v>46085</v>
      </c>
      <c r="E1446" s="15"/>
      <c r="F1446" s="15"/>
      <c r="G1446" s="15">
        <f t="shared" si="405"/>
        <v>0</v>
      </c>
      <c r="H1446" s="16" t="s">
        <v>6</v>
      </c>
      <c r="I1446" s="10">
        <f t="shared" si="40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04"/>
        <v>0</v>
      </c>
    </row>
    <row r="1447" spans="2:19" outlineLevel="1">
      <c r="B1447" s="13" t="s">
        <v>104</v>
      </c>
      <c r="C1447" s="7" t="str">
        <f t="shared" si="403"/>
        <v>TRATOR AGRICULA MF 5710 K POTY</v>
      </c>
      <c r="D1447" s="8">
        <f>D1379</f>
        <v>46086</v>
      </c>
      <c r="E1447" s="15"/>
      <c r="F1447" s="15"/>
      <c r="G1447" s="15">
        <f t="shared" si="405"/>
        <v>0</v>
      </c>
      <c r="H1447" s="16" t="s">
        <v>6</v>
      </c>
      <c r="I1447" s="10">
        <f t="shared" si="40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04"/>
        <v>0</v>
      </c>
    </row>
    <row r="1448" spans="2:19" outlineLevel="1">
      <c r="B1448" s="13" t="s">
        <v>104</v>
      </c>
      <c r="C1448" s="7" t="str">
        <f t="shared" si="403"/>
        <v>TRATOR AGRICULA MF 5710 K POTY</v>
      </c>
      <c r="D1448" s="8">
        <f>D1380</f>
        <v>46087</v>
      </c>
      <c r="E1448" s="15"/>
      <c r="F1448" s="15"/>
      <c r="G1448" s="15">
        <f t="shared" si="405"/>
        <v>0</v>
      </c>
      <c r="H1448" s="16" t="s">
        <v>6</v>
      </c>
      <c r="I1448" s="10">
        <f t="shared" si="40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04"/>
        <v>0</v>
      </c>
    </row>
    <row r="1449" spans="2:19" outlineLevel="1">
      <c r="B1449" s="13" t="s">
        <v>104</v>
      </c>
      <c r="C1449" s="7" t="str">
        <f t="shared" si="403"/>
        <v>TRATOR AGRICULA MF 5710 K POTY</v>
      </c>
      <c r="D1449" s="8">
        <f>D1381</f>
        <v>46088</v>
      </c>
      <c r="E1449" s="15"/>
      <c r="F1449" s="15"/>
      <c r="G1449" s="15">
        <f t="shared" si="405"/>
        <v>0</v>
      </c>
      <c r="H1449" s="16" t="s">
        <v>6</v>
      </c>
      <c r="I1449" s="10">
        <f t="shared" si="40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04"/>
        <v>0</v>
      </c>
    </row>
    <row r="1450" spans="2:19" outlineLevel="1">
      <c r="B1450" s="13" t="s">
        <v>104</v>
      </c>
      <c r="C1450" s="7" t="str">
        <f t="shared" si="403"/>
        <v>TRATOR AGRICULA MF 5710 K POTY</v>
      </c>
      <c r="D1450" s="8">
        <f>D1382</f>
        <v>46089</v>
      </c>
      <c r="E1450" s="15"/>
      <c r="F1450" s="15"/>
      <c r="G1450" s="15">
        <f t="shared" si="405"/>
        <v>0</v>
      </c>
      <c r="H1450" s="16" t="s">
        <v>6</v>
      </c>
      <c r="I1450" s="10">
        <f t="shared" si="40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04"/>
        <v>0</v>
      </c>
    </row>
    <row r="1451" spans="2:19" outlineLevel="1">
      <c r="B1451" s="13" t="s">
        <v>104</v>
      </c>
      <c r="C1451" s="7" t="str">
        <f t="shared" si="403"/>
        <v>TRATOR AGRICULA MF 5710 K POTY</v>
      </c>
      <c r="D1451" s="8">
        <f>D1383</f>
        <v>46090</v>
      </c>
      <c r="E1451" s="15"/>
      <c r="F1451" s="15"/>
      <c r="G1451" s="15">
        <f t="shared" si="405"/>
        <v>0</v>
      </c>
      <c r="H1451" s="16" t="s">
        <v>6</v>
      </c>
      <c r="I1451" s="10">
        <f t="shared" si="40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04"/>
        <v>0</v>
      </c>
    </row>
    <row r="1452" spans="2:19" outlineLevel="1">
      <c r="B1452" s="13" t="s">
        <v>104</v>
      </c>
      <c r="C1452" s="7" t="str">
        <f t="shared" si="403"/>
        <v>TRATOR AGRICULA MF 5710 K POTY</v>
      </c>
      <c r="D1452" s="8">
        <f>D1384</f>
        <v>46091</v>
      </c>
      <c r="E1452" s="15"/>
      <c r="F1452" s="15"/>
      <c r="G1452" s="15">
        <f t="shared" si="405"/>
        <v>0</v>
      </c>
      <c r="H1452" s="16" t="s">
        <v>6</v>
      </c>
      <c r="I1452" s="10">
        <f t="shared" si="406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04"/>
        <v>0</v>
      </c>
    </row>
    <row r="1453" spans="2:19" outlineLevel="1">
      <c r="B1453" s="13" t="s">
        <v>104</v>
      </c>
      <c r="C1453" s="7" t="str">
        <f t="shared" si="403"/>
        <v>TRATOR AGRICULA MF 5710 K POTY</v>
      </c>
      <c r="D1453" s="8">
        <f>D1385</f>
        <v>46092</v>
      </c>
      <c r="E1453" s="15"/>
      <c r="F1453" s="15"/>
      <c r="G1453" s="15">
        <f t="shared" si="405"/>
        <v>0</v>
      </c>
      <c r="H1453" s="16" t="s">
        <v>6</v>
      </c>
      <c r="I1453" s="10">
        <f t="shared" si="40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04"/>
        <v>0</v>
      </c>
    </row>
    <row r="1454" spans="2:19" outlineLevel="1">
      <c r="B1454" s="13" t="s">
        <v>104</v>
      </c>
      <c r="C1454" s="7" t="str">
        <f t="shared" si="403"/>
        <v>TRATOR AGRICULA MF 5710 K POTY</v>
      </c>
      <c r="D1454" s="8">
        <f>D1386</f>
        <v>46093</v>
      </c>
      <c r="E1454" s="15"/>
      <c r="F1454" s="15"/>
      <c r="G1454" s="15">
        <f t="shared" si="405"/>
        <v>0</v>
      </c>
      <c r="H1454" s="16" t="s">
        <v>6</v>
      </c>
      <c r="I1454" s="10">
        <f t="shared" si="40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04"/>
        <v>0</v>
      </c>
    </row>
    <row r="1455" spans="2:19" outlineLevel="1">
      <c r="B1455" s="13" t="s">
        <v>104</v>
      </c>
      <c r="C1455" s="7" t="str">
        <f t="shared" si="403"/>
        <v>TRATOR AGRICULA MF 5710 K POTY</v>
      </c>
      <c r="D1455" s="8">
        <f>D1387</f>
        <v>46094</v>
      </c>
      <c r="E1455" s="15"/>
      <c r="F1455" s="15"/>
      <c r="G1455" s="15">
        <f t="shared" si="405"/>
        <v>0</v>
      </c>
      <c r="H1455" s="16" t="s">
        <v>6</v>
      </c>
      <c r="I1455" s="10">
        <f t="shared" si="40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04"/>
        <v>0</v>
      </c>
    </row>
    <row r="1456" spans="2:19" outlineLevel="1">
      <c r="B1456" s="13" t="s">
        <v>104</v>
      </c>
      <c r="C1456" s="7" t="str">
        <f t="shared" si="403"/>
        <v>TRATOR AGRICULA MF 5710 K POTY</v>
      </c>
      <c r="D1456" s="8">
        <f>D1388</f>
        <v>46095</v>
      </c>
      <c r="E1456" s="15"/>
      <c r="F1456" s="15"/>
      <c r="G1456" s="15">
        <f t="shared" si="405"/>
        <v>0</v>
      </c>
      <c r="H1456" s="16" t="s">
        <v>6</v>
      </c>
      <c r="I1456" s="10">
        <f t="shared" si="406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04"/>
        <v>0</v>
      </c>
    </row>
    <row r="1457" spans="2:19" outlineLevel="1">
      <c r="B1457" s="13" t="s">
        <v>104</v>
      </c>
      <c r="C1457" s="7" t="str">
        <f t="shared" si="403"/>
        <v>TRATOR AGRICULA MF 5710 K POTY</v>
      </c>
      <c r="D1457" s="8">
        <f>D1389</f>
        <v>46096</v>
      </c>
      <c r="E1457" s="15"/>
      <c r="F1457" s="15"/>
      <c r="G1457" s="15">
        <f t="shared" si="405"/>
        <v>0</v>
      </c>
      <c r="H1457" s="16" t="s">
        <v>6</v>
      </c>
      <c r="I1457" s="10">
        <f t="shared" si="406"/>
        <v>0</v>
      </c>
      <c r="J1457" s="16" t="s">
        <v>201</v>
      </c>
      <c r="K1457" s="15"/>
      <c r="L1457" s="15"/>
      <c r="M1457" s="17"/>
      <c r="N1457" s="9"/>
      <c r="O1457" s="18">
        <f t="shared" ref="O1457:O1469" si="407">O1456</f>
        <v>0</v>
      </c>
      <c r="P1457" s="9"/>
      <c r="Q1457" s="9"/>
      <c r="R1457" s="9"/>
      <c r="S1457" s="10">
        <f t="shared" si="404"/>
        <v>0</v>
      </c>
    </row>
    <row r="1458" spans="2:19" outlineLevel="1">
      <c r="B1458" s="13" t="s">
        <v>104</v>
      </c>
      <c r="C1458" s="7" t="str">
        <f t="shared" si="403"/>
        <v>TRATOR AGRICULA MF 5710 K POTY</v>
      </c>
      <c r="D1458" s="8">
        <f>D1390</f>
        <v>46097</v>
      </c>
      <c r="E1458" s="15"/>
      <c r="F1458" s="15"/>
      <c r="G1458" s="15">
        <f t="shared" si="405"/>
        <v>0</v>
      </c>
      <c r="H1458" s="16" t="s">
        <v>6</v>
      </c>
      <c r="I1458" s="10">
        <f t="shared" si="406"/>
        <v>0</v>
      </c>
      <c r="J1458" s="16" t="s">
        <v>201</v>
      </c>
      <c r="K1458" s="15"/>
      <c r="L1458" s="15"/>
      <c r="M1458" s="17"/>
      <c r="N1458" s="9"/>
      <c r="O1458" s="18">
        <f t="shared" si="407"/>
        <v>0</v>
      </c>
      <c r="P1458" s="9"/>
      <c r="Q1458" s="9"/>
      <c r="R1458" s="9"/>
      <c r="S1458" s="10">
        <f t="shared" ref="S1458:S1473" si="408">SUM(R1458+Q1458+I1458)</f>
        <v>0</v>
      </c>
    </row>
    <row r="1459" spans="2:19" outlineLevel="1">
      <c r="B1459" s="13" t="s">
        <v>104</v>
      </c>
      <c r="C1459" s="7" t="str">
        <f t="shared" si="403"/>
        <v>TRATOR AGRICULA MF 5710 K POTY</v>
      </c>
      <c r="D1459" s="8">
        <f>D1391</f>
        <v>46098</v>
      </c>
      <c r="E1459" s="15"/>
      <c r="F1459" s="15"/>
      <c r="G1459" s="15">
        <f t="shared" si="405"/>
        <v>0</v>
      </c>
      <c r="H1459" s="16" t="s">
        <v>6</v>
      </c>
      <c r="I1459" s="10">
        <f t="shared" si="406"/>
        <v>0</v>
      </c>
      <c r="J1459" s="16" t="s">
        <v>201</v>
      </c>
      <c r="K1459" s="15"/>
      <c r="L1459" s="15"/>
      <c r="M1459" s="17"/>
      <c r="N1459" s="9"/>
      <c r="O1459" s="18">
        <f t="shared" si="407"/>
        <v>0</v>
      </c>
      <c r="P1459" s="9"/>
      <c r="Q1459" s="9"/>
      <c r="R1459" s="9"/>
      <c r="S1459" s="10">
        <f t="shared" si="408"/>
        <v>0</v>
      </c>
    </row>
    <row r="1460" spans="2:19" outlineLevel="1">
      <c r="B1460" s="13" t="s">
        <v>104</v>
      </c>
      <c r="C1460" s="7" t="str">
        <f t="shared" si="403"/>
        <v>TRATOR AGRICULA MF 5710 K POTY</v>
      </c>
      <c r="D1460" s="8">
        <f>D1392</f>
        <v>46099</v>
      </c>
      <c r="E1460" s="15"/>
      <c r="F1460" s="15"/>
      <c r="G1460" s="15">
        <f t="shared" si="405"/>
        <v>0</v>
      </c>
      <c r="H1460" s="16" t="s">
        <v>6</v>
      </c>
      <c r="I1460" s="10">
        <f t="shared" si="406"/>
        <v>0</v>
      </c>
      <c r="J1460" s="16" t="s">
        <v>201</v>
      </c>
      <c r="K1460" s="15"/>
      <c r="L1460" s="15"/>
      <c r="M1460" s="17"/>
      <c r="N1460" s="9"/>
      <c r="O1460" s="18">
        <f t="shared" si="407"/>
        <v>0</v>
      </c>
      <c r="P1460" s="9"/>
      <c r="Q1460" s="9"/>
      <c r="R1460" s="9"/>
      <c r="S1460" s="10">
        <f t="shared" si="408"/>
        <v>0</v>
      </c>
    </row>
    <row r="1461" spans="2:19" outlineLevel="1">
      <c r="B1461" s="13" t="s">
        <v>104</v>
      </c>
      <c r="C1461" s="7" t="str">
        <f t="shared" si="403"/>
        <v>TRATOR AGRICULA MF 5710 K POTY</v>
      </c>
      <c r="D1461" s="8">
        <f>D1393</f>
        <v>46100</v>
      </c>
      <c r="E1461" s="15"/>
      <c r="F1461" s="15"/>
      <c r="G1461" s="15">
        <f t="shared" si="405"/>
        <v>0</v>
      </c>
      <c r="H1461" s="16" t="s">
        <v>6</v>
      </c>
      <c r="I1461" s="10">
        <f t="shared" si="406"/>
        <v>0</v>
      </c>
      <c r="J1461" s="16" t="s">
        <v>201</v>
      </c>
      <c r="K1461" s="15"/>
      <c r="L1461" s="15"/>
      <c r="M1461" s="17"/>
      <c r="N1461" s="9"/>
      <c r="O1461" s="18">
        <f t="shared" si="407"/>
        <v>0</v>
      </c>
      <c r="P1461" s="9"/>
      <c r="Q1461" s="9"/>
      <c r="R1461" s="9"/>
      <c r="S1461" s="10">
        <f t="shared" si="408"/>
        <v>0</v>
      </c>
    </row>
    <row r="1462" spans="2:19" outlineLevel="1">
      <c r="B1462" s="13" t="s">
        <v>104</v>
      </c>
      <c r="C1462" s="7" t="str">
        <f t="shared" si="403"/>
        <v>TRATOR AGRICULA MF 5710 K POTY</v>
      </c>
      <c r="D1462" s="8">
        <f>D1394</f>
        <v>46101</v>
      </c>
      <c r="E1462" s="15"/>
      <c r="F1462" s="15"/>
      <c r="G1462" s="15">
        <f t="shared" si="405"/>
        <v>0</v>
      </c>
      <c r="H1462" s="16" t="s">
        <v>6</v>
      </c>
      <c r="I1462" s="10">
        <f t="shared" si="406"/>
        <v>0</v>
      </c>
      <c r="J1462" s="16" t="s">
        <v>201</v>
      </c>
      <c r="K1462" s="15"/>
      <c r="L1462" s="15"/>
      <c r="M1462" s="17"/>
      <c r="N1462" s="9"/>
      <c r="O1462" s="18">
        <f t="shared" si="407"/>
        <v>0</v>
      </c>
      <c r="P1462" s="9"/>
      <c r="Q1462" s="9"/>
      <c r="R1462" s="9"/>
      <c r="S1462" s="10">
        <f t="shared" si="408"/>
        <v>0</v>
      </c>
    </row>
    <row r="1463" spans="2:19" outlineLevel="1">
      <c r="B1463" s="13" t="s">
        <v>104</v>
      </c>
      <c r="C1463" s="7" t="str">
        <f t="shared" si="403"/>
        <v>TRATOR AGRICULA MF 5710 K POTY</v>
      </c>
      <c r="D1463" s="8">
        <f>D1395</f>
        <v>46102</v>
      </c>
      <c r="E1463" s="15"/>
      <c r="F1463" s="15"/>
      <c r="G1463" s="15">
        <f t="shared" si="405"/>
        <v>0</v>
      </c>
      <c r="H1463" s="16" t="s">
        <v>6</v>
      </c>
      <c r="I1463" s="10">
        <f t="shared" si="406"/>
        <v>0</v>
      </c>
      <c r="J1463" s="16" t="s">
        <v>201</v>
      </c>
      <c r="K1463" s="15"/>
      <c r="L1463" s="15"/>
      <c r="M1463" s="17"/>
      <c r="N1463" s="9"/>
      <c r="O1463" s="18">
        <f t="shared" si="407"/>
        <v>0</v>
      </c>
      <c r="P1463" s="9"/>
      <c r="Q1463" s="9"/>
      <c r="R1463" s="9"/>
      <c r="S1463" s="10">
        <f t="shared" si="408"/>
        <v>0</v>
      </c>
    </row>
    <row r="1464" spans="2:19" outlineLevel="1">
      <c r="B1464" s="13" t="s">
        <v>104</v>
      </c>
      <c r="C1464" s="7" t="str">
        <f t="shared" si="403"/>
        <v>TRATOR AGRICULA MF 5710 K POTY</v>
      </c>
      <c r="D1464" s="8">
        <f>D1396</f>
        <v>46103</v>
      </c>
      <c r="E1464" s="15"/>
      <c r="F1464" s="15"/>
      <c r="G1464" s="15">
        <f t="shared" si="405"/>
        <v>0</v>
      </c>
      <c r="H1464" s="16" t="s">
        <v>6</v>
      </c>
      <c r="I1464" s="10">
        <f t="shared" si="406"/>
        <v>0</v>
      </c>
      <c r="J1464" s="16" t="s">
        <v>201</v>
      </c>
      <c r="K1464" s="15"/>
      <c r="L1464" s="15"/>
      <c r="M1464" s="17"/>
      <c r="N1464" s="9"/>
      <c r="O1464" s="18">
        <f t="shared" si="407"/>
        <v>0</v>
      </c>
      <c r="P1464" s="9"/>
      <c r="Q1464" s="9"/>
      <c r="R1464" s="9"/>
      <c r="S1464" s="10">
        <f t="shared" si="408"/>
        <v>0</v>
      </c>
    </row>
    <row r="1465" spans="2:19" outlineLevel="1">
      <c r="B1465" s="13" t="s">
        <v>104</v>
      </c>
      <c r="C1465" s="7" t="str">
        <f t="shared" si="403"/>
        <v>TRATOR AGRICULA MF 5710 K POTY</v>
      </c>
      <c r="D1465" s="8">
        <f>D1397</f>
        <v>46104</v>
      </c>
      <c r="E1465" s="15"/>
      <c r="F1465" s="15"/>
      <c r="G1465" s="15">
        <f t="shared" si="405"/>
        <v>0</v>
      </c>
      <c r="H1465" s="16" t="s">
        <v>6</v>
      </c>
      <c r="I1465" s="10">
        <f t="shared" si="406"/>
        <v>0</v>
      </c>
      <c r="J1465" s="16" t="s">
        <v>201</v>
      </c>
      <c r="K1465" s="15"/>
      <c r="L1465" s="15"/>
      <c r="M1465" s="17"/>
      <c r="N1465" s="9"/>
      <c r="O1465" s="18">
        <f t="shared" si="407"/>
        <v>0</v>
      </c>
      <c r="P1465" s="9"/>
      <c r="Q1465" s="9"/>
      <c r="R1465" s="9"/>
      <c r="S1465" s="10">
        <f t="shared" si="408"/>
        <v>0</v>
      </c>
    </row>
    <row r="1466" spans="2:19" outlineLevel="1">
      <c r="B1466" s="13" t="s">
        <v>104</v>
      </c>
      <c r="C1466" s="7" t="str">
        <f t="shared" si="403"/>
        <v>TRATOR AGRICULA MF 5710 K POTY</v>
      </c>
      <c r="D1466" s="8">
        <f>D1398</f>
        <v>46105</v>
      </c>
      <c r="E1466" s="15"/>
      <c r="F1466" s="15"/>
      <c r="G1466" s="15">
        <f t="shared" si="405"/>
        <v>0</v>
      </c>
      <c r="H1466" s="16" t="s">
        <v>6</v>
      </c>
      <c r="I1466" s="10">
        <f t="shared" si="406"/>
        <v>0</v>
      </c>
      <c r="J1466" s="16" t="s">
        <v>201</v>
      </c>
      <c r="K1466" s="15"/>
      <c r="L1466" s="15"/>
      <c r="M1466" s="17"/>
      <c r="N1466" s="9"/>
      <c r="O1466" s="18">
        <f t="shared" si="407"/>
        <v>0</v>
      </c>
      <c r="P1466" s="9"/>
      <c r="Q1466" s="9"/>
      <c r="R1466" s="9"/>
      <c r="S1466" s="10">
        <f t="shared" si="408"/>
        <v>0</v>
      </c>
    </row>
    <row r="1467" spans="2:19" outlineLevel="1">
      <c r="B1467" s="13" t="s">
        <v>104</v>
      </c>
      <c r="C1467" s="7" t="str">
        <f t="shared" si="403"/>
        <v>TRATOR AGRICULA MF 5710 K POTY</v>
      </c>
      <c r="D1467" s="8">
        <f>D1399</f>
        <v>46106</v>
      </c>
      <c r="E1467" s="15"/>
      <c r="F1467" s="15"/>
      <c r="G1467" s="15">
        <f t="shared" si="405"/>
        <v>0</v>
      </c>
      <c r="H1467" s="16" t="s">
        <v>6</v>
      </c>
      <c r="I1467" s="10">
        <f t="shared" si="406"/>
        <v>0</v>
      </c>
      <c r="J1467" s="16" t="s">
        <v>201</v>
      </c>
      <c r="K1467" s="15"/>
      <c r="L1467" s="15"/>
      <c r="M1467" s="17"/>
      <c r="N1467" s="9"/>
      <c r="O1467" s="18">
        <f t="shared" si="407"/>
        <v>0</v>
      </c>
      <c r="P1467" s="9"/>
      <c r="Q1467" s="9"/>
      <c r="R1467" s="9"/>
      <c r="S1467" s="10">
        <f t="shared" si="408"/>
        <v>0</v>
      </c>
    </row>
    <row r="1468" spans="2:19" outlineLevel="1">
      <c r="B1468" s="13" t="s">
        <v>104</v>
      </c>
      <c r="C1468" s="7" t="str">
        <f t="shared" si="403"/>
        <v>TRATOR AGRICULA MF 5710 K POTY</v>
      </c>
      <c r="D1468" s="8">
        <f>D1400</f>
        <v>46107</v>
      </c>
      <c r="E1468" s="15"/>
      <c r="F1468" s="15"/>
      <c r="G1468" s="15">
        <f t="shared" si="405"/>
        <v>0</v>
      </c>
      <c r="H1468" s="16" t="s">
        <v>6</v>
      </c>
      <c r="I1468" s="10">
        <f t="shared" si="406"/>
        <v>0</v>
      </c>
      <c r="J1468" s="16" t="s">
        <v>201</v>
      </c>
      <c r="K1468" s="15"/>
      <c r="L1468" s="15"/>
      <c r="M1468" s="17"/>
      <c r="N1468" s="9"/>
      <c r="O1468" s="18">
        <f t="shared" si="407"/>
        <v>0</v>
      </c>
      <c r="P1468" s="9"/>
      <c r="Q1468" s="9"/>
      <c r="R1468" s="9"/>
      <c r="S1468" s="10">
        <f t="shared" si="408"/>
        <v>0</v>
      </c>
    </row>
    <row r="1469" spans="2:19" outlineLevel="1">
      <c r="B1469" s="13" t="s">
        <v>104</v>
      </c>
      <c r="C1469" s="7" t="str">
        <f t="shared" si="403"/>
        <v>TRATOR AGRICULA MF 5710 K POTY</v>
      </c>
      <c r="D1469" s="8">
        <f>D1401</f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06"/>
        <v>0</v>
      </c>
      <c r="J1469" s="16" t="s">
        <v>201</v>
      </c>
      <c r="K1469" s="15"/>
      <c r="L1469" s="15"/>
      <c r="M1469" s="17"/>
      <c r="N1469" s="9"/>
      <c r="O1469" s="18">
        <f t="shared" si="407"/>
        <v>0</v>
      </c>
      <c r="P1469" s="9"/>
      <c r="Q1469" s="9"/>
      <c r="R1469" s="9"/>
      <c r="S1469" s="10">
        <f t="shared" si="408"/>
        <v>0</v>
      </c>
    </row>
    <row r="1470" spans="2:19" outlineLevel="1">
      <c r="B1470" s="13" t="s">
        <v>104</v>
      </c>
      <c r="C1470" s="7" t="str">
        <f t="shared" si="403"/>
        <v>TRATOR AGRICULA MF 5710 K POTY</v>
      </c>
      <c r="D1470" s="8">
        <f>D1402</f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09">SUM(R1470+Q1470+I1470)</f>
        <v>0</v>
      </c>
    </row>
    <row r="1471" spans="2:19" outlineLevel="1">
      <c r="B1471" s="13" t="s">
        <v>104</v>
      </c>
      <c r="C1471" s="7" t="str">
        <f t="shared" si="403"/>
        <v>TRATOR AGRICULA MF 5710 K POTY</v>
      </c>
      <c r="D1471" s="8">
        <f>D1403</f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09"/>
        <v>0</v>
      </c>
    </row>
    <row r="1472" spans="2:19" outlineLevel="1">
      <c r="B1472" s="13" t="s">
        <v>104</v>
      </c>
      <c r="C1472" s="7" t="str">
        <f t="shared" si="403"/>
        <v>TRATOR AGRICULA MF 5710 K POTY</v>
      </c>
      <c r="D1472" s="8">
        <f>D1404</f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09"/>
        <v>0</v>
      </c>
    </row>
    <row r="1473" spans="2:19" outlineLevel="1">
      <c r="B1473" s="13" t="s">
        <v>104</v>
      </c>
      <c r="C1473" s="7" t="str">
        <f t="shared" si="403"/>
        <v>TRATOR AGRICULA MF 5710 K POTY</v>
      </c>
      <c r="D1473" s="8">
        <f>D1405</f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08"/>
        <v>0</v>
      </c>
    </row>
    <row r="1474" spans="2:19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5" t="str">
        <f>M$1</f>
        <v>BM JANEIRO 2026</v>
      </c>
      <c r="N1475" s="135"/>
      <c r="O1475" s="135"/>
      <c r="P1475" s="19" t="s">
        <v>10</v>
      </c>
      <c r="Q1475" s="136"/>
      <c r="R1475" s="136"/>
      <c r="S1475" s="136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outlineLevel="1">
      <c r="B1477" s="68" t="s">
        <v>106</v>
      </c>
      <c r="C1477" s="7" t="str">
        <f t="shared" ref="C1477:C1507" si="410">C$1475</f>
        <v>RETRO ESCAVADEIRA VOLVO BL60 POTY</v>
      </c>
      <c r="D1477" s="8">
        <f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outlineLevel="1">
      <c r="B1478" s="12" t="s">
        <v>0</v>
      </c>
      <c r="C1478" s="7" t="str">
        <f t="shared" si="410"/>
        <v>RETRO ESCAVADEIRA VOLVO BL60 POTY</v>
      </c>
      <c r="D1478" s="8">
        <f>D1410</f>
        <v>46083</v>
      </c>
      <c r="E1478" s="15"/>
      <c r="F1478" s="15"/>
      <c r="G1478" s="15">
        <f t="shared" ref="G1478:G1507" si="411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12">SUM(R1478+Q1478+I1478)</f>
        <v>0</v>
      </c>
    </row>
    <row r="1479" spans="2:19" outlineLevel="1">
      <c r="B1479" s="13" t="s">
        <v>106</v>
      </c>
      <c r="C1479" s="7" t="str">
        <f t="shared" si="410"/>
        <v>RETRO ESCAVADEIRA VOLVO BL60 POTY</v>
      </c>
      <c r="D1479" s="8">
        <f>D1411</f>
        <v>46084</v>
      </c>
      <c r="E1479" s="15"/>
      <c r="F1479" s="15"/>
      <c r="G1479" s="15">
        <f t="shared" si="411"/>
        <v>0</v>
      </c>
      <c r="H1479" s="16" t="s">
        <v>6</v>
      </c>
      <c r="I1479" s="10">
        <f t="shared" ref="I1479:I1503" si="413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14">O1478</f>
        <v>14400</v>
      </c>
      <c r="P1479" s="9"/>
      <c r="Q1479" s="9"/>
      <c r="R1479" s="9"/>
      <c r="S1479" s="10">
        <f t="shared" si="412"/>
        <v>0</v>
      </c>
    </row>
    <row r="1480" spans="2:19" outlineLevel="1">
      <c r="B1480" s="13" t="s">
        <v>106</v>
      </c>
      <c r="C1480" s="7" t="str">
        <f t="shared" si="410"/>
        <v>RETRO ESCAVADEIRA VOLVO BL60 POTY</v>
      </c>
      <c r="D1480" s="8">
        <f>D1412</f>
        <v>46085</v>
      </c>
      <c r="E1480" s="15"/>
      <c r="F1480" s="15"/>
      <c r="G1480" s="15">
        <f t="shared" si="411"/>
        <v>0</v>
      </c>
      <c r="H1480" s="16" t="s">
        <v>6</v>
      </c>
      <c r="I1480" s="10">
        <f t="shared" si="413"/>
        <v>0</v>
      </c>
      <c r="J1480" s="16" t="s">
        <v>201</v>
      </c>
      <c r="K1480" s="15"/>
      <c r="L1480" s="15"/>
      <c r="M1480" s="17"/>
      <c r="N1480" s="8"/>
      <c r="O1480" s="18">
        <f t="shared" si="414"/>
        <v>14400</v>
      </c>
      <c r="P1480" s="9"/>
      <c r="Q1480" s="9"/>
      <c r="R1480" s="9"/>
      <c r="S1480" s="10">
        <f t="shared" si="412"/>
        <v>0</v>
      </c>
    </row>
    <row r="1481" spans="2:19" outlineLevel="1">
      <c r="B1481" s="13" t="s">
        <v>106</v>
      </c>
      <c r="C1481" s="7" t="str">
        <f t="shared" si="410"/>
        <v>RETRO ESCAVADEIRA VOLVO BL60 POTY</v>
      </c>
      <c r="D1481" s="8">
        <f>D1413</f>
        <v>46086</v>
      </c>
      <c r="E1481" s="15"/>
      <c r="F1481" s="15"/>
      <c r="G1481" s="15">
        <f t="shared" si="411"/>
        <v>0</v>
      </c>
      <c r="H1481" s="16" t="s">
        <v>6</v>
      </c>
      <c r="I1481" s="10">
        <f t="shared" si="413"/>
        <v>0</v>
      </c>
      <c r="J1481" s="16" t="s">
        <v>201</v>
      </c>
      <c r="K1481" s="15"/>
      <c r="L1481" s="15"/>
      <c r="M1481" s="17"/>
      <c r="N1481" s="8"/>
      <c r="O1481" s="18">
        <f t="shared" si="414"/>
        <v>14400</v>
      </c>
      <c r="P1481" s="9"/>
      <c r="Q1481" s="9"/>
      <c r="R1481" s="9"/>
      <c r="S1481" s="10">
        <f t="shared" si="412"/>
        <v>0</v>
      </c>
    </row>
    <row r="1482" spans="2:19" outlineLevel="1">
      <c r="B1482" s="13" t="s">
        <v>106</v>
      </c>
      <c r="C1482" s="7" t="str">
        <f t="shared" si="410"/>
        <v>RETRO ESCAVADEIRA VOLVO BL60 POTY</v>
      </c>
      <c r="D1482" s="8">
        <f>D1414</f>
        <v>46087</v>
      </c>
      <c r="E1482" s="15"/>
      <c r="F1482" s="15"/>
      <c r="G1482" s="15">
        <f t="shared" si="411"/>
        <v>0</v>
      </c>
      <c r="H1482" s="16" t="s">
        <v>6</v>
      </c>
      <c r="I1482" s="10">
        <f t="shared" si="413"/>
        <v>0</v>
      </c>
      <c r="J1482" s="16" t="s">
        <v>201</v>
      </c>
      <c r="K1482" s="15"/>
      <c r="L1482" s="15"/>
      <c r="M1482" s="17"/>
      <c r="N1482" s="8"/>
      <c r="O1482" s="18">
        <f t="shared" si="414"/>
        <v>14400</v>
      </c>
      <c r="P1482" s="9"/>
      <c r="Q1482" s="9"/>
      <c r="R1482" s="9"/>
      <c r="S1482" s="10">
        <f t="shared" si="412"/>
        <v>0</v>
      </c>
    </row>
    <row r="1483" spans="2:19" outlineLevel="1">
      <c r="B1483" s="13" t="s">
        <v>106</v>
      </c>
      <c r="C1483" s="7" t="str">
        <f t="shared" si="410"/>
        <v>RETRO ESCAVADEIRA VOLVO BL60 POTY</v>
      </c>
      <c r="D1483" s="8">
        <f>D1415</f>
        <v>46088</v>
      </c>
      <c r="E1483" s="15"/>
      <c r="F1483" s="15"/>
      <c r="G1483" s="15">
        <f t="shared" si="411"/>
        <v>0</v>
      </c>
      <c r="H1483" s="16" t="s">
        <v>6</v>
      </c>
      <c r="I1483" s="10">
        <f t="shared" si="413"/>
        <v>0</v>
      </c>
      <c r="J1483" s="16" t="s">
        <v>201</v>
      </c>
      <c r="K1483" s="15"/>
      <c r="L1483" s="15"/>
      <c r="M1483" s="17"/>
      <c r="N1483" s="8"/>
      <c r="O1483" s="18">
        <f t="shared" si="414"/>
        <v>14400</v>
      </c>
      <c r="P1483" s="9"/>
      <c r="Q1483" s="9"/>
      <c r="R1483" s="9"/>
      <c r="S1483" s="10">
        <f t="shared" si="412"/>
        <v>0</v>
      </c>
    </row>
    <row r="1484" spans="2:19" outlineLevel="1">
      <c r="B1484" s="13" t="s">
        <v>106</v>
      </c>
      <c r="C1484" s="7" t="str">
        <f t="shared" si="410"/>
        <v>RETRO ESCAVADEIRA VOLVO BL60 POTY</v>
      </c>
      <c r="D1484" s="8">
        <f>D1416</f>
        <v>46089</v>
      </c>
      <c r="E1484" s="15"/>
      <c r="F1484" s="15"/>
      <c r="G1484" s="15">
        <f t="shared" si="411"/>
        <v>0</v>
      </c>
      <c r="H1484" s="16" t="s">
        <v>6</v>
      </c>
      <c r="I1484" s="10">
        <f t="shared" si="413"/>
        <v>0</v>
      </c>
      <c r="J1484" s="16" t="s">
        <v>201</v>
      </c>
      <c r="K1484" s="15"/>
      <c r="L1484" s="15"/>
      <c r="M1484" s="17"/>
      <c r="N1484" s="8"/>
      <c r="O1484" s="18">
        <f t="shared" si="414"/>
        <v>14400</v>
      </c>
      <c r="P1484" s="9"/>
      <c r="Q1484" s="9"/>
      <c r="R1484" s="9"/>
      <c r="S1484" s="10">
        <f t="shared" si="412"/>
        <v>0</v>
      </c>
    </row>
    <row r="1485" spans="2:19" outlineLevel="1">
      <c r="B1485" s="13" t="s">
        <v>106</v>
      </c>
      <c r="C1485" s="7" t="str">
        <f t="shared" si="410"/>
        <v>RETRO ESCAVADEIRA VOLVO BL60 POTY</v>
      </c>
      <c r="D1485" s="8">
        <f>D1417</f>
        <v>46090</v>
      </c>
      <c r="E1485" s="15"/>
      <c r="F1485" s="15"/>
      <c r="G1485" s="15">
        <f t="shared" si="411"/>
        <v>0</v>
      </c>
      <c r="H1485" s="16" t="s">
        <v>6</v>
      </c>
      <c r="I1485" s="10">
        <f t="shared" si="413"/>
        <v>0</v>
      </c>
      <c r="J1485" s="16" t="s">
        <v>201</v>
      </c>
      <c r="K1485" s="15"/>
      <c r="L1485" s="15"/>
      <c r="M1485" s="17"/>
      <c r="N1485" s="8"/>
      <c r="O1485" s="18">
        <f t="shared" si="414"/>
        <v>14400</v>
      </c>
      <c r="P1485" s="9"/>
      <c r="Q1485" s="9"/>
      <c r="R1485" s="9"/>
      <c r="S1485" s="10">
        <f t="shared" si="412"/>
        <v>0</v>
      </c>
    </row>
    <row r="1486" spans="2:19" outlineLevel="1">
      <c r="B1486" s="13" t="s">
        <v>106</v>
      </c>
      <c r="C1486" s="7" t="str">
        <f t="shared" si="410"/>
        <v>RETRO ESCAVADEIRA VOLVO BL60 POTY</v>
      </c>
      <c r="D1486" s="8">
        <f>D1418</f>
        <v>46091</v>
      </c>
      <c r="E1486" s="15"/>
      <c r="F1486" s="15"/>
      <c r="G1486" s="15">
        <f t="shared" si="411"/>
        <v>0</v>
      </c>
      <c r="H1486" s="16" t="s">
        <v>6</v>
      </c>
      <c r="I1486" s="10">
        <f t="shared" si="413"/>
        <v>0</v>
      </c>
      <c r="J1486" s="16" t="s">
        <v>201</v>
      </c>
      <c r="K1486" s="15"/>
      <c r="L1486" s="15"/>
      <c r="M1486" s="17"/>
      <c r="N1486" s="8"/>
      <c r="O1486" s="18">
        <f t="shared" si="414"/>
        <v>14400</v>
      </c>
      <c r="P1486" s="9"/>
      <c r="Q1486" s="9"/>
      <c r="R1486" s="9"/>
      <c r="S1486" s="10">
        <f t="shared" si="412"/>
        <v>0</v>
      </c>
    </row>
    <row r="1487" spans="2:19" outlineLevel="1">
      <c r="B1487" s="13" t="s">
        <v>106</v>
      </c>
      <c r="C1487" s="7" t="str">
        <f t="shared" si="410"/>
        <v>RETRO ESCAVADEIRA VOLVO BL60 POTY</v>
      </c>
      <c r="D1487" s="8">
        <f>D1419</f>
        <v>46092</v>
      </c>
      <c r="E1487" s="15"/>
      <c r="F1487" s="15"/>
      <c r="G1487" s="15">
        <f t="shared" si="411"/>
        <v>0</v>
      </c>
      <c r="H1487" s="16" t="s">
        <v>6</v>
      </c>
      <c r="I1487" s="10">
        <f t="shared" si="413"/>
        <v>0</v>
      </c>
      <c r="J1487" s="16" t="s">
        <v>201</v>
      </c>
      <c r="K1487" s="15"/>
      <c r="L1487" s="15"/>
      <c r="M1487" s="17"/>
      <c r="N1487" s="8"/>
      <c r="O1487" s="18">
        <f t="shared" si="414"/>
        <v>14400</v>
      </c>
      <c r="P1487" s="9"/>
      <c r="Q1487" s="9"/>
      <c r="R1487" s="9"/>
      <c r="S1487" s="10">
        <f t="shared" si="412"/>
        <v>0</v>
      </c>
    </row>
    <row r="1488" spans="2:19" outlineLevel="1">
      <c r="B1488" s="13" t="s">
        <v>106</v>
      </c>
      <c r="C1488" s="7" t="str">
        <f t="shared" si="410"/>
        <v>RETRO ESCAVADEIRA VOLVO BL60 POTY</v>
      </c>
      <c r="D1488" s="8">
        <f>D1420</f>
        <v>46093</v>
      </c>
      <c r="E1488" s="15"/>
      <c r="F1488" s="15"/>
      <c r="G1488" s="15">
        <f t="shared" si="411"/>
        <v>0</v>
      </c>
      <c r="H1488" s="16" t="s">
        <v>6</v>
      </c>
      <c r="I1488" s="10">
        <f t="shared" si="413"/>
        <v>0</v>
      </c>
      <c r="J1488" s="16" t="s">
        <v>201</v>
      </c>
      <c r="K1488" s="15"/>
      <c r="L1488" s="15"/>
      <c r="M1488" s="17"/>
      <c r="N1488" s="8"/>
      <c r="O1488" s="18">
        <f t="shared" si="414"/>
        <v>14400</v>
      </c>
      <c r="P1488" s="9"/>
      <c r="Q1488" s="9"/>
      <c r="R1488" s="9"/>
      <c r="S1488" s="10">
        <f t="shared" si="412"/>
        <v>0</v>
      </c>
    </row>
    <row r="1489" spans="2:19" outlineLevel="1">
      <c r="B1489" s="13" t="s">
        <v>106</v>
      </c>
      <c r="C1489" s="7" t="str">
        <f t="shared" si="410"/>
        <v>RETRO ESCAVADEIRA VOLVO BL60 POTY</v>
      </c>
      <c r="D1489" s="8">
        <f>D1421</f>
        <v>46094</v>
      </c>
      <c r="E1489" s="15"/>
      <c r="F1489" s="15"/>
      <c r="G1489" s="15">
        <f t="shared" si="411"/>
        <v>0</v>
      </c>
      <c r="H1489" s="16" t="s">
        <v>6</v>
      </c>
      <c r="I1489" s="10">
        <f t="shared" si="413"/>
        <v>0</v>
      </c>
      <c r="J1489" s="16" t="s">
        <v>201</v>
      </c>
      <c r="K1489" s="15"/>
      <c r="L1489" s="15"/>
      <c r="M1489" s="17"/>
      <c r="N1489" s="8"/>
      <c r="O1489" s="18">
        <f t="shared" si="414"/>
        <v>14400</v>
      </c>
      <c r="P1489" s="9"/>
      <c r="Q1489" s="9"/>
      <c r="R1489" s="9"/>
      <c r="S1489" s="10">
        <f t="shared" si="412"/>
        <v>0</v>
      </c>
    </row>
    <row r="1490" spans="2:19" outlineLevel="1">
      <c r="B1490" s="13" t="s">
        <v>106</v>
      </c>
      <c r="C1490" s="7" t="str">
        <f t="shared" si="410"/>
        <v>RETRO ESCAVADEIRA VOLVO BL60 POTY</v>
      </c>
      <c r="D1490" s="8">
        <f>D1422</f>
        <v>46095</v>
      </c>
      <c r="E1490" s="15"/>
      <c r="F1490" s="15"/>
      <c r="G1490" s="15">
        <f t="shared" si="411"/>
        <v>0</v>
      </c>
      <c r="H1490" s="16" t="s">
        <v>6</v>
      </c>
      <c r="I1490" s="10">
        <f t="shared" si="413"/>
        <v>0</v>
      </c>
      <c r="J1490" s="16" t="s">
        <v>201</v>
      </c>
      <c r="K1490" s="15"/>
      <c r="L1490" s="15"/>
      <c r="M1490" s="17"/>
      <c r="N1490" s="8"/>
      <c r="O1490" s="18">
        <f t="shared" si="414"/>
        <v>14400</v>
      </c>
      <c r="P1490" s="9"/>
      <c r="Q1490" s="9"/>
      <c r="R1490" s="9"/>
      <c r="S1490" s="10">
        <f t="shared" si="412"/>
        <v>0</v>
      </c>
    </row>
    <row r="1491" spans="2:19" outlineLevel="1">
      <c r="B1491" s="13" t="s">
        <v>106</v>
      </c>
      <c r="C1491" s="7" t="str">
        <f t="shared" si="410"/>
        <v>RETRO ESCAVADEIRA VOLVO BL60 POTY</v>
      </c>
      <c r="D1491" s="8">
        <f>D1423</f>
        <v>46096</v>
      </c>
      <c r="E1491" s="15"/>
      <c r="F1491" s="15"/>
      <c r="G1491" s="15">
        <f t="shared" si="411"/>
        <v>0</v>
      </c>
      <c r="H1491" s="16" t="s">
        <v>6</v>
      </c>
      <c r="I1491" s="10">
        <f t="shared" si="413"/>
        <v>0</v>
      </c>
      <c r="J1491" s="16" t="s">
        <v>201</v>
      </c>
      <c r="K1491" s="15"/>
      <c r="L1491" s="15"/>
      <c r="M1491" s="17"/>
      <c r="N1491" s="8"/>
      <c r="O1491" s="18">
        <f t="shared" si="414"/>
        <v>14400</v>
      </c>
      <c r="P1491" s="9"/>
      <c r="Q1491" s="9"/>
      <c r="R1491" s="9"/>
      <c r="S1491" s="10">
        <f t="shared" si="412"/>
        <v>0</v>
      </c>
    </row>
    <row r="1492" spans="2:19" outlineLevel="1">
      <c r="B1492" s="13" t="s">
        <v>106</v>
      </c>
      <c r="C1492" s="7" t="str">
        <f t="shared" si="410"/>
        <v>RETRO ESCAVADEIRA VOLVO BL60 POTY</v>
      </c>
      <c r="D1492" s="8">
        <f>D1424</f>
        <v>46097</v>
      </c>
      <c r="E1492" s="15"/>
      <c r="F1492" s="15"/>
      <c r="G1492" s="15">
        <f t="shared" si="411"/>
        <v>0</v>
      </c>
      <c r="H1492" s="16" t="s">
        <v>6</v>
      </c>
      <c r="I1492" s="10">
        <f t="shared" si="413"/>
        <v>0</v>
      </c>
      <c r="J1492" s="16" t="s">
        <v>201</v>
      </c>
      <c r="K1492" s="15"/>
      <c r="L1492" s="15"/>
      <c r="M1492" s="17"/>
      <c r="N1492" s="8"/>
      <c r="O1492" s="18">
        <f t="shared" si="414"/>
        <v>14400</v>
      </c>
      <c r="P1492" s="9"/>
      <c r="Q1492" s="9"/>
      <c r="R1492" s="9"/>
      <c r="S1492" s="10">
        <f t="shared" si="412"/>
        <v>0</v>
      </c>
    </row>
    <row r="1493" spans="2:19" outlineLevel="1">
      <c r="B1493" s="13" t="s">
        <v>106</v>
      </c>
      <c r="C1493" s="7" t="str">
        <f t="shared" si="410"/>
        <v>RETRO ESCAVADEIRA VOLVO BL60 POTY</v>
      </c>
      <c r="D1493" s="8">
        <f>D1425</f>
        <v>46098</v>
      </c>
      <c r="E1493" s="15"/>
      <c r="F1493" s="15"/>
      <c r="G1493" s="15">
        <f t="shared" si="411"/>
        <v>0</v>
      </c>
      <c r="H1493" s="16" t="s">
        <v>6</v>
      </c>
      <c r="I1493" s="10">
        <f t="shared" si="413"/>
        <v>0</v>
      </c>
      <c r="J1493" s="16" t="s">
        <v>201</v>
      </c>
      <c r="K1493" s="15"/>
      <c r="L1493" s="15"/>
      <c r="M1493" s="17"/>
      <c r="N1493" s="8"/>
      <c r="O1493" s="18">
        <f t="shared" si="414"/>
        <v>14400</v>
      </c>
      <c r="P1493" s="9"/>
      <c r="Q1493" s="9"/>
      <c r="R1493" s="9"/>
      <c r="S1493" s="10">
        <f t="shared" si="412"/>
        <v>0</v>
      </c>
    </row>
    <row r="1494" spans="2:19" outlineLevel="1">
      <c r="B1494" s="13" t="s">
        <v>106</v>
      </c>
      <c r="C1494" s="7" t="str">
        <f t="shared" si="410"/>
        <v>RETRO ESCAVADEIRA VOLVO BL60 POTY</v>
      </c>
      <c r="D1494" s="8">
        <f>D1426</f>
        <v>46099</v>
      </c>
      <c r="E1494" s="15"/>
      <c r="F1494" s="15"/>
      <c r="G1494" s="15">
        <f t="shared" si="411"/>
        <v>0</v>
      </c>
      <c r="H1494" s="16" t="s">
        <v>6</v>
      </c>
      <c r="I1494" s="10">
        <f t="shared" si="413"/>
        <v>0</v>
      </c>
      <c r="J1494" s="16" t="s">
        <v>201</v>
      </c>
      <c r="K1494" s="15"/>
      <c r="L1494" s="15"/>
      <c r="M1494" s="17"/>
      <c r="N1494" s="8"/>
      <c r="O1494" s="18">
        <f t="shared" si="414"/>
        <v>14400</v>
      </c>
      <c r="P1494" s="9"/>
      <c r="Q1494" s="9"/>
      <c r="R1494" s="9"/>
      <c r="S1494" s="10">
        <f t="shared" si="412"/>
        <v>0</v>
      </c>
    </row>
    <row r="1495" spans="2:19" outlineLevel="1">
      <c r="B1495" s="13" t="s">
        <v>106</v>
      </c>
      <c r="C1495" s="7" t="str">
        <f t="shared" si="410"/>
        <v>RETRO ESCAVADEIRA VOLVO BL60 POTY</v>
      </c>
      <c r="D1495" s="8">
        <f>D1427</f>
        <v>46100</v>
      </c>
      <c r="E1495" s="15"/>
      <c r="F1495" s="15"/>
      <c r="G1495" s="15">
        <f t="shared" si="411"/>
        <v>0</v>
      </c>
      <c r="H1495" s="16" t="s">
        <v>6</v>
      </c>
      <c r="I1495" s="10">
        <f t="shared" si="413"/>
        <v>0</v>
      </c>
      <c r="J1495" s="16" t="s">
        <v>201</v>
      </c>
      <c r="K1495" s="15"/>
      <c r="L1495" s="15"/>
      <c r="M1495" s="17"/>
      <c r="N1495" s="8"/>
      <c r="O1495" s="18">
        <f t="shared" si="414"/>
        <v>14400</v>
      </c>
      <c r="P1495" s="9"/>
      <c r="Q1495" s="9"/>
      <c r="R1495" s="9"/>
      <c r="S1495" s="10">
        <f t="shared" si="412"/>
        <v>0</v>
      </c>
    </row>
    <row r="1496" spans="2:19" outlineLevel="1">
      <c r="B1496" s="13" t="s">
        <v>106</v>
      </c>
      <c r="C1496" s="7" t="str">
        <f t="shared" si="410"/>
        <v>RETRO ESCAVADEIRA VOLVO BL60 POTY</v>
      </c>
      <c r="D1496" s="8">
        <f>D1428</f>
        <v>46101</v>
      </c>
      <c r="E1496" s="15"/>
      <c r="F1496" s="15"/>
      <c r="G1496" s="15">
        <f t="shared" si="411"/>
        <v>0</v>
      </c>
      <c r="H1496" s="16" t="s">
        <v>6</v>
      </c>
      <c r="I1496" s="10">
        <f t="shared" si="413"/>
        <v>0</v>
      </c>
      <c r="J1496" s="16" t="s">
        <v>201</v>
      </c>
      <c r="K1496" s="15"/>
      <c r="L1496" s="15"/>
      <c r="M1496" s="17"/>
      <c r="N1496" s="8"/>
      <c r="O1496" s="18">
        <f t="shared" si="414"/>
        <v>14400</v>
      </c>
      <c r="P1496" s="9"/>
      <c r="Q1496" s="9"/>
      <c r="R1496" s="9"/>
      <c r="S1496" s="10">
        <f t="shared" si="412"/>
        <v>0</v>
      </c>
    </row>
    <row r="1497" spans="2:19" outlineLevel="1">
      <c r="B1497" s="13" t="s">
        <v>106</v>
      </c>
      <c r="C1497" s="7" t="str">
        <f t="shared" si="410"/>
        <v>RETRO ESCAVADEIRA VOLVO BL60 POTY</v>
      </c>
      <c r="D1497" s="8">
        <f>D1429</f>
        <v>46102</v>
      </c>
      <c r="E1497" s="15"/>
      <c r="F1497" s="15"/>
      <c r="G1497" s="15">
        <f t="shared" si="411"/>
        <v>0</v>
      </c>
      <c r="H1497" s="16" t="s">
        <v>6</v>
      </c>
      <c r="I1497" s="10">
        <f t="shared" si="413"/>
        <v>0</v>
      </c>
      <c r="J1497" s="16" t="s">
        <v>201</v>
      </c>
      <c r="K1497" s="15"/>
      <c r="L1497" s="15"/>
      <c r="M1497" s="17"/>
      <c r="N1497" s="8"/>
      <c r="O1497" s="18">
        <f t="shared" si="414"/>
        <v>14400</v>
      </c>
      <c r="P1497" s="9"/>
      <c r="Q1497" s="9"/>
      <c r="R1497" s="9"/>
      <c r="S1497" s="10">
        <f t="shared" si="412"/>
        <v>0</v>
      </c>
    </row>
    <row r="1498" spans="2:19" outlineLevel="1">
      <c r="B1498" s="13" t="s">
        <v>106</v>
      </c>
      <c r="C1498" s="7" t="str">
        <f t="shared" si="410"/>
        <v>RETRO ESCAVADEIRA VOLVO BL60 POTY</v>
      </c>
      <c r="D1498" s="8">
        <f>D1430</f>
        <v>46103</v>
      </c>
      <c r="E1498" s="15"/>
      <c r="F1498" s="15"/>
      <c r="G1498" s="15">
        <f t="shared" si="411"/>
        <v>0</v>
      </c>
      <c r="H1498" s="16" t="s">
        <v>6</v>
      </c>
      <c r="I1498" s="10">
        <f t="shared" si="413"/>
        <v>0</v>
      </c>
      <c r="J1498" s="16" t="s">
        <v>201</v>
      </c>
      <c r="K1498" s="15"/>
      <c r="L1498" s="15"/>
      <c r="M1498" s="17"/>
      <c r="N1498" s="8"/>
      <c r="O1498" s="18">
        <f t="shared" si="414"/>
        <v>14400</v>
      </c>
      <c r="P1498" s="9"/>
      <c r="Q1498" s="9"/>
      <c r="R1498" s="9"/>
      <c r="S1498" s="10">
        <f t="shared" si="412"/>
        <v>0</v>
      </c>
    </row>
    <row r="1499" spans="2:19" outlineLevel="1">
      <c r="B1499" s="13" t="s">
        <v>106</v>
      </c>
      <c r="C1499" s="7" t="str">
        <f t="shared" si="410"/>
        <v>RETRO ESCAVADEIRA VOLVO BL60 POTY</v>
      </c>
      <c r="D1499" s="8">
        <f>D1431</f>
        <v>46104</v>
      </c>
      <c r="E1499" s="15"/>
      <c r="F1499" s="15"/>
      <c r="G1499" s="15">
        <f t="shared" si="411"/>
        <v>0</v>
      </c>
      <c r="H1499" s="16" t="s">
        <v>6</v>
      </c>
      <c r="I1499" s="10">
        <f t="shared" si="413"/>
        <v>0</v>
      </c>
      <c r="J1499" s="16" t="s">
        <v>201</v>
      </c>
      <c r="K1499" s="15"/>
      <c r="L1499" s="15"/>
      <c r="M1499" s="17"/>
      <c r="N1499" s="8"/>
      <c r="O1499" s="18">
        <f t="shared" si="414"/>
        <v>14400</v>
      </c>
      <c r="P1499" s="9"/>
      <c r="Q1499" s="9"/>
      <c r="R1499" s="9"/>
      <c r="S1499" s="10">
        <f t="shared" si="412"/>
        <v>0</v>
      </c>
    </row>
    <row r="1500" spans="2:19" outlineLevel="1">
      <c r="B1500" s="13" t="s">
        <v>106</v>
      </c>
      <c r="C1500" s="7" t="str">
        <f t="shared" si="410"/>
        <v>RETRO ESCAVADEIRA VOLVO BL60 POTY</v>
      </c>
      <c r="D1500" s="8">
        <f>D1432</f>
        <v>46105</v>
      </c>
      <c r="E1500" s="15"/>
      <c r="F1500" s="15"/>
      <c r="G1500" s="15">
        <f t="shared" si="411"/>
        <v>0</v>
      </c>
      <c r="H1500" s="16" t="s">
        <v>6</v>
      </c>
      <c r="I1500" s="10">
        <f t="shared" si="413"/>
        <v>0</v>
      </c>
      <c r="J1500" s="16" t="s">
        <v>201</v>
      </c>
      <c r="K1500" s="15"/>
      <c r="L1500" s="15"/>
      <c r="M1500" s="17"/>
      <c r="N1500" s="8"/>
      <c r="O1500" s="18">
        <f t="shared" si="414"/>
        <v>14400</v>
      </c>
      <c r="P1500" s="9"/>
      <c r="Q1500" s="9"/>
      <c r="R1500" s="9"/>
      <c r="S1500" s="10">
        <f t="shared" si="412"/>
        <v>0</v>
      </c>
    </row>
    <row r="1501" spans="2:19" outlineLevel="1">
      <c r="B1501" s="13" t="s">
        <v>106</v>
      </c>
      <c r="C1501" s="7" t="str">
        <f t="shared" si="410"/>
        <v>RETRO ESCAVADEIRA VOLVO BL60 POTY</v>
      </c>
      <c r="D1501" s="8">
        <f>D1433</f>
        <v>46106</v>
      </c>
      <c r="E1501" s="15"/>
      <c r="F1501" s="15"/>
      <c r="G1501" s="15">
        <f t="shared" si="411"/>
        <v>0</v>
      </c>
      <c r="H1501" s="16" t="s">
        <v>6</v>
      </c>
      <c r="I1501" s="10">
        <f t="shared" si="413"/>
        <v>0</v>
      </c>
      <c r="J1501" s="16" t="s">
        <v>201</v>
      </c>
      <c r="K1501" s="15"/>
      <c r="L1501" s="15"/>
      <c r="M1501" s="17"/>
      <c r="N1501" s="8"/>
      <c r="O1501" s="18">
        <f t="shared" si="414"/>
        <v>14400</v>
      </c>
      <c r="P1501" s="9"/>
      <c r="Q1501" s="9"/>
      <c r="R1501" s="9"/>
      <c r="S1501" s="10">
        <f t="shared" si="412"/>
        <v>0</v>
      </c>
    </row>
    <row r="1502" spans="2:19" outlineLevel="1">
      <c r="B1502" s="13" t="s">
        <v>106</v>
      </c>
      <c r="C1502" s="7" t="str">
        <f t="shared" si="410"/>
        <v>RETRO ESCAVADEIRA VOLVO BL60 POTY</v>
      </c>
      <c r="D1502" s="8">
        <f>D1434</f>
        <v>46107</v>
      </c>
      <c r="E1502" s="15"/>
      <c r="F1502" s="15"/>
      <c r="G1502" s="15">
        <f t="shared" si="411"/>
        <v>0</v>
      </c>
      <c r="H1502" s="16" t="s">
        <v>6</v>
      </c>
      <c r="I1502" s="10">
        <f t="shared" si="413"/>
        <v>0</v>
      </c>
      <c r="J1502" s="16" t="s">
        <v>201</v>
      </c>
      <c r="K1502" s="15"/>
      <c r="L1502" s="15"/>
      <c r="M1502" s="17"/>
      <c r="N1502" s="8"/>
      <c r="O1502" s="18">
        <f t="shared" si="414"/>
        <v>14400</v>
      </c>
      <c r="P1502" s="9"/>
      <c r="Q1502" s="9"/>
      <c r="R1502" s="9"/>
      <c r="S1502" s="10">
        <f t="shared" si="412"/>
        <v>0</v>
      </c>
    </row>
    <row r="1503" spans="2:19" outlineLevel="1">
      <c r="B1503" s="13" t="s">
        <v>106</v>
      </c>
      <c r="C1503" s="7" t="str">
        <f t="shared" si="410"/>
        <v>RETRO ESCAVADEIRA VOLVO BL60 POTY</v>
      </c>
      <c r="D1503" s="8">
        <f>D1435</f>
        <v>46108</v>
      </c>
      <c r="E1503" s="15"/>
      <c r="F1503" s="15"/>
      <c r="G1503" s="15">
        <f t="shared" si="411"/>
        <v>0</v>
      </c>
      <c r="H1503" s="16" t="s">
        <v>6</v>
      </c>
      <c r="I1503" s="10">
        <f t="shared" si="413"/>
        <v>0</v>
      </c>
      <c r="J1503" s="16" t="s">
        <v>201</v>
      </c>
      <c r="K1503" s="15"/>
      <c r="L1503" s="15"/>
      <c r="M1503" s="17"/>
      <c r="N1503" s="8"/>
      <c r="O1503" s="18">
        <f t="shared" si="414"/>
        <v>14400</v>
      </c>
      <c r="P1503" s="9"/>
      <c r="Q1503" s="9"/>
      <c r="R1503" s="9"/>
      <c r="S1503" s="10">
        <f t="shared" si="412"/>
        <v>0</v>
      </c>
    </row>
    <row r="1504" spans="2:19" outlineLevel="1">
      <c r="B1504" s="13" t="s">
        <v>106</v>
      </c>
      <c r="C1504" s="7" t="str">
        <f t="shared" si="410"/>
        <v>RETRO ESCAVADEIRA VOLVO BL60 POTY</v>
      </c>
      <c r="D1504" s="8">
        <f t="shared" ref="D1504" si="415">D1436</f>
        <v>46109</v>
      </c>
      <c r="E1504" s="15"/>
      <c r="F1504" s="15"/>
      <c r="G1504" s="15">
        <f t="shared" ref="G1504:G1506" si="416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17">SUM(R1504+Q1504+I1504)</f>
        <v>0</v>
      </c>
    </row>
    <row r="1505" spans="2:19" outlineLevel="1">
      <c r="B1505" s="13" t="s">
        <v>106</v>
      </c>
      <c r="C1505" s="7" t="str">
        <f t="shared" si="410"/>
        <v>RETRO ESCAVADEIRA VOLVO BL60 POTY</v>
      </c>
      <c r="D1505" s="8">
        <f t="shared" ref="D1505:D1507" si="418">D1437</f>
        <v>46110</v>
      </c>
      <c r="E1505" s="15"/>
      <c r="F1505" s="15"/>
      <c r="G1505" s="15">
        <f t="shared" si="416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17"/>
        <v>0</v>
      </c>
    </row>
    <row r="1506" spans="2:19" outlineLevel="1">
      <c r="B1506" s="13" t="s">
        <v>106</v>
      </c>
      <c r="C1506" s="7" t="str">
        <f t="shared" si="410"/>
        <v>RETRO ESCAVADEIRA VOLVO BL60 POTY</v>
      </c>
      <c r="D1506" s="8">
        <f t="shared" si="418"/>
        <v>46111</v>
      </c>
      <c r="E1506" s="15"/>
      <c r="F1506" s="15"/>
      <c r="G1506" s="15">
        <f t="shared" si="416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17"/>
        <v>0</v>
      </c>
    </row>
    <row r="1507" spans="2:19" outlineLevel="1">
      <c r="B1507" s="13" t="s">
        <v>106</v>
      </c>
      <c r="C1507" s="7" t="str">
        <f t="shared" si="410"/>
        <v>RETRO ESCAVADEIRA VOLVO BL60 POTY</v>
      </c>
      <c r="D1507" s="8">
        <f t="shared" si="418"/>
        <v>46112</v>
      </c>
      <c r="E1507" s="15"/>
      <c r="F1507" s="15"/>
      <c r="G1507" s="15">
        <f t="shared" si="411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12"/>
        <v>0</v>
      </c>
    </row>
    <row r="1508" spans="2:19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5" t="str">
        <f>M$1</f>
        <v>BM JANEIRO 2026</v>
      </c>
      <c r="N1509" s="135"/>
      <c r="O1509" s="135"/>
      <c r="P1509" s="19" t="s">
        <v>10</v>
      </c>
      <c r="Q1509" s="136"/>
      <c r="R1509" s="136"/>
      <c r="S1509" s="136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outlineLevel="1">
      <c r="B1511" s="11" t="s">
        <v>108</v>
      </c>
      <c r="C1511" s="7" t="str">
        <f t="shared" ref="C1511:C1541" si="419">C$1509</f>
        <v>RETRO ESCAVADEIRA CATERPILLA 416E POTY</v>
      </c>
      <c r="D1511" s="8">
        <f>D1443</f>
        <v>46082</v>
      </c>
      <c r="E1511" s="15"/>
      <c r="F1511" s="15"/>
      <c r="G1511" s="15">
        <f t="shared" ref="G1511:G1514" si="420">F1511-E1511</f>
        <v>0</v>
      </c>
      <c r="H1511" s="16" t="s">
        <v>248</v>
      </c>
      <c r="I1511" s="10">
        <f>P1511</f>
        <v>514.28571428571433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O1511/28</f>
        <v>514.28571428571433</v>
      </c>
      <c r="Q1511" s="9"/>
      <c r="R1511" s="9"/>
      <c r="S1511" s="10">
        <f>SUM(R1511+Q1511+I1511)</f>
        <v>514.28571428571433</v>
      </c>
    </row>
    <row r="1512" spans="2:19" outlineLevel="1">
      <c r="B1512" s="12" t="s">
        <v>0</v>
      </c>
      <c r="C1512" s="7" t="str">
        <f t="shared" si="419"/>
        <v>RETRO ESCAVADEIRA CATERPILLA 416E POTY</v>
      </c>
      <c r="D1512" s="8">
        <f>D1444</f>
        <v>46083</v>
      </c>
      <c r="E1512" s="15"/>
      <c r="F1512" s="15"/>
      <c r="G1512" s="15">
        <f t="shared" si="420"/>
        <v>0</v>
      </c>
      <c r="H1512" s="16" t="s">
        <v>248</v>
      </c>
      <c r="I1512" s="10">
        <f>I1511</f>
        <v>514.28571428571433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21">SUM(R1512+Q1512+I1512)</f>
        <v>514.28571428571433</v>
      </c>
    </row>
    <row r="1513" spans="2:19" outlineLevel="1">
      <c r="B1513" s="13" t="s">
        <v>108</v>
      </c>
      <c r="C1513" s="7" t="str">
        <f t="shared" si="419"/>
        <v>RETRO ESCAVADEIRA CATERPILLA 416E POTY</v>
      </c>
      <c r="D1513" s="8">
        <f>D1445</f>
        <v>46084</v>
      </c>
      <c r="E1513" s="15"/>
      <c r="F1513" s="15"/>
      <c r="G1513" s="15">
        <f t="shared" si="420"/>
        <v>0</v>
      </c>
      <c r="H1513" s="16" t="s">
        <v>248</v>
      </c>
      <c r="I1513" s="10">
        <f t="shared" ref="I1513:I1537" si="422">I1512</f>
        <v>514.28571428571433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21"/>
        <v>514.28571428571433</v>
      </c>
    </row>
    <row r="1514" spans="2:19" outlineLevel="1">
      <c r="B1514" s="13" t="s">
        <v>108</v>
      </c>
      <c r="C1514" s="7" t="str">
        <f t="shared" si="419"/>
        <v>RETRO ESCAVADEIRA CATERPILLA 416E POTY</v>
      </c>
      <c r="D1514" s="8">
        <f>D1446</f>
        <v>46085</v>
      </c>
      <c r="E1514" s="15"/>
      <c r="F1514" s="15"/>
      <c r="G1514" s="15">
        <f t="shared" si="420"/>
        <v>0</v>
      </c>
      <c r="H1514" s="16" t="s">
        <v>248</v>
      </c>
      <c r="I1514" s="10">
        <f t="shared" si="422"/>
        <v>514.28571428571433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21"/>
        <v>514.28571428571433</v>
      </c>
    </row>
    <row r="1515" spans="2:19" outlineLevel="1">
      <c r="B1515" s="13" t="s">
        <v>108</v>
      </c>
      <c r="C1515" s="7" t="str">
        <f t="shared" si="419"/>
        <v>RETRO ESCAVADEIRA CATERPILLA 416E POTY</v>
      </c>
      <c r="D1515" s="8">
        <f>D1447</f>
        <v>46086</v>
      </c>
      <c r="E1515" s="15"/>
      <c r="F1515" s="15"/>
      <c r="G1515" s="15">
        <f t="shared" ref="G1515:G1541" si="423">F1515-E1515</f>
        <v>0</v>
      </c>
      <c r="H1515" s="16" t="s">
        <v>248</v>
      </c>
      <c r="I1515" s="10">
        <f t="shared" si="422"/>
        <v>514.28571428571433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21"/>
        <v>514.28571428571433</v>
      </c>
    </row>
    <row r="1516" spans="2:19" outlineLevel="1">
      <c r="B1516" s="13" t="s">
        <v>108</v>
      </c>
      <c r="C1516" s="7" t="str">
        <f t="shared" si="419"/>
        <v>RETRO ESCAVADEIRA CATERPILLA 416E POTY</v>
      </c>
      <c r="D1516" s="8">
        <f>D1448</f>
        <v>46087</v>
      </c>
      <c r="E1516" s="15"/>
      <c r="F1516" s="15"/>
      <c r="G1516" s="15">
        <f t="shared" si="423"/>
        <v>0</v>
      </c>
      <c r="H1516" s="16" t="s">
        <v>248</v>
      </c>
      <c r="I1516" s="10">
        <f t="shared" si="422"/>
        <v>514.28571428571433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21"/>
        <v>514.28571428571433</v>
      </c>
    </row>
    <row r="1517" spans="2:19" outlineLevel="1">
      <c r="B1517" s="13" t="s">
        <v>108</v>
      </c>
      <c r="C1517" s="7" t="str">
        <f t="shared" si="419"/>
        <v>RETRO ESCAVADEIRA CATERPILLA 416E POTY</v>
      </c>
      <c r="D1517" s="8">
        <f>D1449</f>
        <v>46088</v>
      </c>
      <c r="E1517" s="15"/>
      <c r="F1517" s="15"/>
      <c r="G1517" s="15">
        <f t="shared" si="423"/>
        <v>0</v>
      </c>
      <c r="H1517" s="16" t="s">
        <v>248</v>
      </c>
      <c r="I1517" s="10">
        <f t="shared" si="422"/>
        <v>514.28571428571433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21"/>
        <v>514.28571428571433</v>
      </c>
    </row>
    <row r="1518" spans="2:19" outlineLevel="1">
      <c r="B1518" s="13" t="s">
        <v>108</v>
      </c>
      <c r="C1518" s="7" t="str">
        <f t="shared" si="419"/>
        <v>RETRO ESCAVADEIRA CATERPILLA 416E POTY</v>
      </c>
      <c r="D1518" s="8">
        <f>D1450</f>
        <v>46089</v>
      </c>
      <c r="E1518" s="15"/>
      <c r="F1518" s="15"/>
      <c r="G1518" s="15">
        <f t="shared" si="423"/>
        <v>0</v>
      </c>
      <c r="H1518" s="16" t="s">
        <v>248</v>
      </c>
      <c r="I1518" s="10">
        <f t="shared" si="422"/>
        <v>514.28571428571433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21"/>
        <v>514.28571428571433</v>
      </c>
    </row>
    <row r="1519" spans="2:19" outlineLevel="1">
      <c r="B1519" s="13" t="s">
        <v>108</v>
      </c>
      <c r="C1519" s="7" t="str">
        <f t="shared" si="419"/>
        <v>RETRO ESCAVADEIRA CATERPILLA 416E POTY</v>
      </c>
      <c r="D1519" s="8">
        <f>D1451</f>
        <v>46090</v>
      </c>
      <c r="E1519" s="15"/>
      <c r="F1519" s="15"/>
      <c r="G1519" s="15">
        <f t="shared" si="423"/>
        <v>0</v>
      </c>
      <c r="H1519" s="16" t="s">
        <v>248</v>
      </c>
      <c r="I1519" s="10">
        <f t="shared" si="422"/>
        <v>514.28571428571433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21"/>
        <v>514.28571428571433</v>
      </c>
    </row>
    <row r="1520" spans="2:19" outlineLevel="1">
      <c r="B1520" s="13" t="s">
        <v>108</v>
      </c>
      <c r="C1520" s="7" t="str">
        <f t="shared" si="419"/>
        <v>RETRO ESCAVADEIRA CATERPILLA 416E POTY</v>
      </c>
      <c r="D1520" s="8">
        <f>D1452</f>
        <v>46091</v>
      </c>
      <c r="E1520" s="15"/>
      <c r="F1520" s="15"/>
      <c r="G1520" s="15">
        <f t="shared" si="423"/>
        <v>0</v>
      </c>
      <c r="H1520" s="16" t="s">
        <v>248</v>
      </c>
      <c r="I1520" s="10">
        <f t="shared" si="422"/>
        <v>514.28571428571433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21"/>
        <v>514.28571428571433</v>
      </c>
    </row>
    <row r="1521" spans="2:19" outlineLevel="1">
      <c r="B1521" s="13" t="s">
        <v>108</v>
      </c>
      <c r="C1521" s="7" t="str">
        <f t="shared" si="419"/>
        <v>RETRO ESCAVADEIRA CATERPILLA 416E POTY</v>
      </c>
      <c r="D1521" s="8">
        <f>D1453</f>
        <v>46092</v>
      </c>
      <c r="E1521" s="15"/>
      <c r="F1521" s="15"/>
      <c r="G1521" s="15">
        <f t="shared" si="423"/>
        <v>0</v>
      </c>
      <c r="H1521" s="16" t="s">
        <v>248</v>
      </c>
      <c r="I1521" s="10">
        <f t="shared" si="422"/>
        <v>514.28571428571433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21"/>
        <v>514.28571428571433</v>
      </c>
    </row>
    <row r="1522" spans="2:19" outlineLevel="1">
      <c r="B1522" s="13" t="s">
        <v>108</v>
      </c>
      <c r="C1522" s="7" t="str">
        <f t="shared" si="419"/>
        <v>RETRO ESCAVADEIRA CATERPILLA 416E POTY</v>
      </c>
      <c r="D1522" s="8">
        <f>D1454</f>
        <v>46093</v>
      </c>
      <c r="E1522" s="15"/>
      <c r="F1522" s="15"/>
      <c r="G1522" s="15">
        <f t="shared" si="423"/>
        <v>0</v>
      </c>
      <c r="H1522" s="16" t="s">
        <v>248</v>
      </c>
      <c r="I1522" s="10">
        <f t="shared" si="422"/>
        <v>514.28571428571433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21"/>
        <v>514.28571428571433</v>
      </c>
    </row>
    <row r="1523" spans="2:19" outlineLevel="1">
      <c r="B1523" s="13" t="s">
        <v>108</v>
      </c>
      <c r="C1523" s="7" t="str">
        <f t="shared" si="419"/>
        <v>RETRO ESCAVADEIRA CATERPILLA 416E POTY</v>
      </c>
      <c r="D1523" s="8">
        <f>D1455</f>
        <v>46094</v>
      </c>
      <c r="E1523" s="15"/>
      <c r="F1523" s="15"/>
      <c r="G1523" s="15">
        <f t="shared" si="423"/>
        <v>0</v>
      </c>
      <c r="H1523" s="16" t="s">
        <v>248</v>
      </c>
      <c r="I1523" s="10">
        <f t="shared" si="422"/>
        <v>514.28571428571433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21"/>
        <v>514.28571428571433</v>
      </c>
    </row>
    <row r="1524" spans="2:19" outlineLevel="1">
      <c r="B1524" s="13" t="s">
        <v>108</v>
      </c>
      <c r="C1524" s="7" t="str">
        <f t="shared" si="419"/>
        <v>RETRO ESCAVADEIRA CATERPILLA 416E POTY</v>
      </c>
      <c r="D1524" s="8">
        <f>D1456</f>
        <v>46095</v>
      </c>
      <c r="E1524" s="15"/>
      <c r="F1524" s="15"/>
      <c r="G1524" s="15">
        <f t="shared" si="423"/>
        <v>0</v>
      </c>
      <c r="H1524" s="16" t="s">
        <v>248</v>
      </c>
      <c r="I1524" s="10">
        <f t="shared" si="422"/>
        <v>514.28571428571433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21"/>
        <v>514.28571428571433</v>
      </c>
    </row>
    <row r="1525" spans="2:19" outlineLevel="1">
      <c r="B1525" s="13" t="s">
        <v>108</v>
      </c>
      <c r="C1525" s="7" t="str">
        <f t="shared" si="419"/>
        <v>RETRO ESCAVADEIRA CATERPILLA 416E POTY</v>
      </c>
      <c r="D1525" s="8">
        <f>D1457</f>
        <v>46096</v>
      </c>
      <c r="E1525" s="15"/>
      <c r="F1525" s="15"/>
      <c r="G1525" s="15">
        <f t="shared" si="423"/>
        <v>0</v>
      </c>
      <c r="H1525" s="16" t="s">
        <v>248</v>
      </c>
      <c r="I1525" s="10">
        <f t="shared" si="422"/>
        <v>514.28571428571433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21"/>
        <v>514.28571428571433</v>
      </c>
    </row>
    <row r="1526" spans="2:19" outlineLevel="1">
      <c r="B1526" s="13" t="s">
        <v>108</v>
      </c>
      <c r="C1526" s="7" t="str">
        <f t="shared" si="419"/>
        <v>RETRO ESCAVADEIRA CATERPILLA 416E POTY</v>
      </c>
      <c r="D1526" s="8">
        <f>D1458</f>
        <v>46097</v>
      </c>
      <c r="E1526" s="15"/>
      <c r="F1526" s="15"/>
      <c r="G1526" s="15">
        <f t="shared" si="423"/>
        <v>0</v>
      </c>
      <c r="H1526" s="16" t="s">
        <v>248</v>
      </c>
      <c r="I1526" s="10">
        <f t="shared" si="422"/>
        <v>514.28571428571433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21"/>
        <v>514.28571428571433</v>
      </c>
    </row>
    <row r="1527" spans="2:19" outlineLevel="1">
      <c r="B1527" s="13" t="s">
        <v>108</v>
      </c>
      <c r="C1527" s="7" t="str">
        <f t="shared" si="419"/>
        <v>RETRO ESCAVADEIRA CATERPILLA 416E POTY</v>
      </c>
      <c r="D1527" s="8">
        <f>D1459</f>
        <v>46098</v>
      </c>
      <c r="E1527" s="15"/>
      <c r="F1527" s="15"/>
      <c r="G1527" s="15">
        <f t="shared" si="423"/>
        <v>0</v>
      </c>
      <c r="H1527" s="16" t="s">
        <v>248</v>
      </c>
      <c r="I1527" s="10">
        <f t="shared" si="422"/>
        <v>514.28571428571433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21"/>
        <v>514.28571428571433</v>
      </c>
    </row>
    <row r="1528" spans="2:19" outlineLevel="1">
      <c r="B1528" s="13" t="s">
        <v>108</v>
      </c>
      <c r="C1528" s="7" t="str">
        <f t="shared" si="419"/>
        <v>RETRO ESCAVADEIRA CATERPILLA 416E POTY</v>
      </c>
      <c r="D1528" s="8">
        <f>D1460</f>
        <v>46099</v>
      </c>
      <c r="E1528" s="15"/>
      <c r="F1528" s="15"/>
      <c r="G1528" s="15">
        <f t="shared" si="423"/>
        <v>0</v>
      </c>
      <c r="H1528" s="16" t="s">
        <v>248</v>
      </c>
      <c r="I1528" s="10">
        <f t="shared" si="422"/>
        <v>514.28571428571433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21"/>
        <v>514.28571428571433</v>
      </c>
    </row>
    <row r="1529" spans="2:19" outlineLevel="1">
      <c r="B1529" s="13" t="s">
        <v>108</v>
      </c>
      <c r="C1529" s="7" t="str">
        <f t="shared" si="419"/>
        <v>RETRO ESCAVADEIRA CATERPILLA 416E POTY</v>
      </c>
      <c r="D1529" s="8">
        <f>D1461</f>
        <v>46100</v>
      </c>
      <c r="E1529" s="15"/>
      <c r="F1529" s="15"/>
      <c r="G1529" s="15">
        <f t="shared" si="423"/>
        <v>0</v>
      </c>
      <c r="H1529" s="16" t="s">
        <v>248</v>
      </c>
      <c r="I1529" s="10">
        <f t="shared" si="422"/>
        <v>514.28571428571433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21"/>
        <v>514.28571428571433</v>
      </c>
    </row>
    <row r="1530" spans="2:19" outlineLevel="1">
      <c r="B1530" s="13" t="s">
        <v>108</v>
      </c>
      <c r="C1530" s="7" t="str">
        <f t="shared" si="419"/>
        <v>RETRO ESCAVADEIRA CATERPILLA 416E POTY</v>
      </c>
      <c r="D1530" s="8">
        <f>D1462</f>
        <v>46101</v>
      </c>
      <c r="E1530" s="15"/>
      <c r="F1530" s="15"/>
      <c r="G1530" s="15">
        <f t="shared" si="423"/>
        <v>0</v>
      </c>
      <c r="H1530" s="16" t="s">
        <v>248</v>
      </c>
      <c r="I1530" s="10">
        <f t="shared" si="422"/>
        <v>514.28571428571433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21"/>
        <v>514.28571428571433</v>
      </c>
    </row>
    <row r="1531" spans="2:19" outlineLevel="1">
      <c r="B1531" s="13" t="s">
        <v>108</v>
      </c>
      <c r="C1531" s="7" t="str">
        <f t="shared" si="419"/>
        <v>RETRO ESCAVADEIRA CATERPILLA 416E POTY</v>
      </c>
      <c r="D1531" s="8">
        <f>D1463</f>
        <v>46102</v>
      </c>
      <c r="E1531" s="15"/>
      <c r="F1531" s="15"/>
      <c r="G1531" s="15">
        <f t="shared" si="423"/>
        <v>0</v>
      </c>
      <c r="H1531" s="16" t="s">
        <v>248</v>
      </c>
      <c r="I1531" s="10">
        <f t="shared" si="422"/>
        <v>514.28571428571433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21"/>
        <v>514.28571428571433</v>
      </c>
    </row>
    <row r="1532" spans="2:19" outlineLevel="1">
      <c r="B1532" s="13" t="s">
        <v>108</v>
      </c>
      <c r="C1532" s="7" t="str">
        <f t="shared" si="419"/>
        <v>RETRO ESCAVADEIRA CATERPILLA 416E POTY</v>
      </c>
      <c r="D1532" s="8">
        <f>D1464</f>
        <v>46103</v>
      </c>
      <c r="E1532" s="15"/>
      <c r="F1532" s="15"/>
      <c r="G1532" s="15">
        <f t="shared" si="423"/>
        <v>0</v>
      </c>
      <c r="H1532" s="16" t="s">
        <v>248</v>
      </c>
      <c r="I1532" s="10">
        <f t="shared" si="422"/>
        <v>514.28571428571433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21"/>
        <v>514.28571428571433</v>
      </c>
    </row>
    <row r="1533" spans="2:19" outlineLevel="1">
      <c r="B1533" s="13" t="s">
        <v>108</v>
      </c>
      <c r="C1533" s="7" t="str">
        <f t="shared" si="419"/>
        <v>RETRO ESCAVADEIRA CATERPILLA 416E POTY</v>
      </c>
      <c r="D1533" s="8">
        <f>D1465</f>
        <v>46104</v>
      </c>
      <c r="E1533" s="15"/>
      <c r="F1533" s="15"/>
      <c r="G1533" s="15">
        <f t="shared" si="423"/>
        <v>0</v>
      </c>
      <c r="H1533" s="16" t="s">
        <v>248</v>
      </c>
      <c r="I1533" s="10">
        <f t="shared" si="422"/>
        <v>514.28571428571433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21"/>
        <v>514.28571428571433</v>
      </c>
    </row>
    <row r="1534" spans="2:19" outlineLevel="1">
      <c r="B1534" s="13" t="s">
        <v>108</v>
      </c>
      <c r="C1534" s="7" t="str">
        <f t="shared" si="419"/>
        <v>RETRO ESCAVADEIRA CATERPILLA 416E POTY</v>
      </c>
      <c r="D1534" s="8">
        <f>D1466</f>
        <v>46105</v>
      </c>
      <c r="E1534" s="15"/>
      <c r="F1534" s="15"/>
      <c r="G1534" s="15">
        <f t="shared" si="423"/>
        <v>0</v>
      </c>
      <c r="H1534" s="16" t="s">
        <v>248</v>
      </c>
      <c r="I1534" s="10">
        <f t="shared" si="422"/>
        <v>514.28571428571433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21"/>
        <v>514.28571428571433</v>
      </c>
    </row>
    <row r="1535" spans="2:19" outlineLevel="1">
      <c r="B1535" s="13" t="s">
        <v>108</v>
      </c>
      <c r="C1535" s="7" t="str">
        <f t="shared" si="419"/>
        <v>RETRO ESCAVADEIRA CATERPILLA 416E POTY</v>
      </c>
      <c r="D1535" s="8">
        <f>D1467</f>
        <v>46106</v>
      </c>
      <c r="E1535" s="15"/>
      <c r="F1535" s="15"/>
      <c r="G1535" s="15">
        <f t="shared" si="423"/>
        <v>0</v>
      </c>
      <c r="H1535" s="16" t="s">
        <v>248</v>
      </c>
      <c r="I1535" s="10">
        <f t="shared" si="422"/>
        <v>514.28571428571433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21"/>
        <v>514.28571428571433</v>
      </c>
    </row>
    <row r="1536" spans="2:19" outlineLevel="1">
      <c r="B1536" s="13" t="s">
        <v>108</v>
      </c>
      <c r="C1536" s="7" t="str">
        <f t="shared" si="419"/>
        <v>RETRO ESCAVADEIRA CATERPILLA 416E POTY</v>
      </c>
      <c r="D1536" s="8">
        <f>D1468</f>
        <v>46107</v>
      </c>
      <c r="E1536" s="15"/>
      <c r="F1536" s="15"/>
      <c r="G1536" s="15">
        <f t="shared" si="423"/>
        <v>0</v>
      </c>
      <c r="H1536" s="16" t="s">
        <v>248</v>
      </c>
      <c r="I1536" s="10">
        <f t="shared" si="422"/>
        <v>514.28571428571433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21"/>
        <v>514.28571428571433</v>
      </c>
    </row>
    <row r="1537" spans="2:20" outlineLevel="1">
      <c r="B1537" s="13" t="s">
        <v>108</v>
      </c>
      <c r="C1537" s="7" t="str">
        <f t="shared" si="419"/>
        <v>RETRO ESCAVADEIRA CATERPILLA 416E POTY</v>
      </c>
      <c r="D1537" s="8">
        <f>D1469</f>
        <v>46108</v>
      </c>
      <c r="E1537" s="15"/>
      <c r="F1537" s="15"/>
      <c r="G1537" s="15">
        <f t="shared" si="423"/>
        <v>0</v>
      </c>
      <c r="H1537" s="16" t="s">
        <v>248</v>
      </c>
      <c r="I1537" s="10">
        <f t="shared" si="422"/>
        <v>514.28571428571433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21"/>
        <v>514.28571428571433</v>
      </c>
    </row>
    <row r="1538" spans="2:20" outlineLevel="1">
      <c r="B1538" s="13" t="s">
        <v>108</v>
      </c>
      <c r="C1538" s="7" t="str">
        <f t="shared" si="419"/>
        <v>RETRO ESCAVADEIRA CATERPILLA 416E POTY</v>
      </c>
      <c r="D1538" s="8">
        <f t="shared" ref="D1538" si="424">D1470</f>
        <v>46109</v>
      </c>
      <c r="E1538" s="15"/>
      <c r="F1538" s="15"/>
      <c r="G1538" s="15">
        <f t="shared" ref="G1538:G1540" si="425">F1538-E1538</f>
        <v>0</v>
      </c>
      <c r="H1538" s="16" t="s">
        <v>248</v>
      </c>
      <c r="I1538" s="10">
        <f>I1534</f>
        <v>514.28571428571433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26">SUM(R1538+Q1538+I1538)</f>
        <v>514.28571428571433</v>
      </c>
    </row>
    <row r="1539" spans="2:20" outlineLevel="1">
      <c r="B1539" s="13" t="s">
        <v>108</v>
      </c>
      <c r="C1539" s="7" t="str">
        <f t="shared" si="419"/>
        <v>RETRO ESCAVADEIRA CATERPILLA 416E POTY</v>
      </c>
      <c r="D1539" s="8">
        <f t="shared" ref="D1539:D1541" si="427">D1471</f>
        <v>46110</v>
      </c>
      <c r="E1539" s="15"/>
      <c r="F1539" s="15"/>
      <c r="G1539" s="15">
        <f t="shared" si="425"/>
        <v>0</v>
      </c>
      <c r="H1539" s="16" t="s">
        <v>248</v>
      </c>
      <c r="I1539" s="10">
        <f>I1535</f>
        <v>514.28571428571433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26"/>
        <v>514.28571428571433</v>
      </c>
    </row>
    <row r="1540" spans="2:20" outlineLevel="1">
      <c r="B1540" s="13" t="s">
        <v>108</v>
      </c>
      <c r="C1540" s="7" t="str">
        <f t="shared" si="419"/>
        <v>RETRO ESCAVADEIRA CATERPILLA 416E POTY</v>
      </c>
      <c r="D1540" s="8">
        <f t="shared" si="427"/>
        <v>46111</v>
      </c>
      <c r="E1540" s="15"/>
      <c r="F1540" s="15"/>
      <c r="G1540" s="15">
        <f t="shared" si="425"/>
        <v>0</v>
      </c>
      <c r="H1540" s="16" t="s">
        <v>248</v>
      </c>
      <c r="I1540" s="10">
        <f>I1536</f>
        <v>514.28571428571433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26"/>
        <v>514.28571428571433</v>
      </c>
    </row>
    <row r="1541" spans="2:20" outlineLevel="1">
      <c r="B1541" s="13" t="s">
        <v>108</v>
      </c>
      <c r="C1541" s="7" t="str">
        <f t="shared" si="419"/>
        <v>RETRO ESCAVADEIRA CATERPILLA 416E POTY</v>
      </c>
      <c r="D1541" s="8">
        <f t="shared" si="427"/>
        <v>46112</v>
      </c>
      <c r="E1541" s="15"/>
      <c r="F1541" s="15"/>
      <c r="G1541" s="15">
        <f t="shared" si="423"/>
        <v>0</v>
      </c>
      <c r="H1541" s="16" t="s">
        <v>248</v>
      </c>
      <c r="I1541" s="10">
        <f>I1537</f>
        <v>514.28571428571433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21"/>
        <v>514.28571428571433</v>
      </c>
    </row>
    <row r="1542" spans="2:20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5" t="str">
        <f>M$1</f>
        <v>BM JANEIRO 2026</v>
      </c>
      <c r="N1543" s="135"/>
      <c r="O1543" s="135"/>
      <c r="P1543" s="19" t="s">
        <v>10</v>
      </c>
      <c r="Q1543" s="136" t="s">
        <v>264</v>
      </c>
      <c r="R1543" s="136"/>
      <c r="S1543" s="136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outlineLevel="1">
      <c r="B1545" s="11" t="s">
        <v>110</v>
      </c>
      <c r="C1545" s="7" t="str">
        <f>C$1543</f>
        <v>ROLO COMBINADO HD14</v>
      </c>
      <c r="D1545" s="8">
        <f>D1477</f>
        <v>46082</v>
      </c>
      <c r="E1545" s="15"/>
      <c r="F1545" s="15"/>
      <c r="G1545" s="15">
        <f t="shared" ref="G1545:G1548" si="428">F1545-E1545</f>
        <v>0</v>
      </c>
      <c r="H1545" s="16" t="s">
        <v>272</v>
      </c>
      <c r="I1545" s="10">
        <f>P1545</f>
        <v>550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O1545/28</f>
        <v>550</v>
      </c>
      <c r="Q1545" s="9"/>
      <c r="R1545" s="9"/>
      <c r="S1545" s="10">
        <f>SUM(R1545+Q1545+I1545)</f>
        <v>550</v>
      </c>
    </row>
    <row r="1546" spans="2:20" outlineLevel="1">
      <c r="B1546" s="12" t="s">
        <v>0</v>
      </c>
      <c r="C1546" s="7" t="str">
        <f t="shared" ref="C1546:C1575" si="429">C$1543</f>
        <v>ROLO COMBINADO HD14</v>
      </c>
      <c r="D1546" s="8">
        <f>D1478</f>
        <v>46083</v>
      </c>
      <c r="E1546" s="15">
        <v>2707.7</v>
      </c>
      <c r="F1546" s="15">
        <v>2715.4</v>
      </c>
      <c r="G1546" s="15">
        <f t="shared" si="428"/>
        <v>7.7000000000002728</v>
      </c>
      <c r="H1546" s="16" t="s">
        <v>272</v>
      </c>
      <c r="I1546" s="10">
        <f>I1545</f>
        <v>550</v>
      </c>
      <c r="J1546" s="16"/>
      <c r="K1546" s="15">
        <v>1</v>
      </c>
      <c r="L1546" s="15">
        <v>15</v>
      </c>
      <c r="M1546" s="17">
        <v>46055</v>
      </c>
      <c r="N1546" s="9"/>
      <c r="O1546" s="9"/>
      <c r="P1546" s="9"/>
      <c r="Q1546" s="9"/>
      <c r="R1546" s="9"/>
      <c r="S1546" s="10">
        <f t="shared" ref="S1546:S1575" si="430">SUM(R1546+Q1546+I1546)</f>
        <v>550</v>
      </c>
    </row>
    <row r="1547" spans="2:20" outlineLevel="1">
      <c r="B1547" s="13" t="s">
        <v>110</v>
      </c>
      <c r="C1547" s="7" t="str">
        <f t="shared" si="429"/>
        <v>ROLO COMBINADO HD14</v>
      </c>
      <c r="D1547" s="8">
        <f>D1479</f>
        <v>46084</v>
      </c>
      <c r="E1547" s="15"/>
      <c r="F1547" s="15"/>
      <c r="G1547" s="15">
        <f t="shared" si="428"/>
        <v>0</v>
      </c>
      <c r="H1547" s="16" t="s">
        <v>272</v>
      </c>
      <c r="I1547" s="10">
        <f t="shared" ref="I1547:I1571" si="431">I1546</f>
        <v>550</v>
      </c>
      <c r="J1547" s="16" t="s">
        <v>16</v>
      </c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30"/>
        <v>550</v>
      </c>
    </row>
    <row r="1548" spans="2:20" outlineLevel="1">
      <c r="B1548" s="13" t="s">
        <v>110</v>
      </c>
      <c r="C1548" s="7" t="str">
        <f t="shared" si="429"/>
        <v>ROLO COMBINADO HD14</v>
      </c>
      <c r="D1548" s="8">
        <f>D1480</f>
        <v>46085</v>
      </c>
      <c r="E1548" s="15">
        <v>2715.4</v>
      </c>
      <c r="F1548" s="15">
        <v>2721.1</v>
      </c>
      <c r="G1548" s="15">
        <f t="shared" si="428"/>
        <v>5.6999999999998181</v>
      </c>
      <c r="H1548" s="16" t="s">
        <v>272</v>
      </c>
      <c r="I1548" s="10">
        <f t="shared" si="431"/>
        <v>550</v>
      </c>
      <c r="J1548" s="16"/>
      <c r="K1548" s="15">
        <v>1</v>
      </c>
      <c r="L1548" s="15">
        <v>20</v>
      </c>
      <c r="M1548" s="17">
        <v>46057</v>
      </c>
      <c r="N1548" s="9"/>
      <c r="O1548" s="9"/>
      <c r="P1548" s="9"/>
      <c r="Q1548" s="9"/>
      <c r="R1548" s="9"/>
      <c r="S1548" s="10">
        <f t="shared" si="430"/>
        <v>550</v>
      </c>
    </row>
    <row r="1549" spans="2:20" outlineLevel="1">
      <c r="B1549" s="13" t="s">
        <v>110</v>
      </c>
      <c r="C1549" s="7" t="str">
        <f t="shared" si="429"/>
        <v>ROLO COMBINADO HD14</v>
      </c>
      <c r="D1549" s="8">
        <f>D1481</f>
        <v>46086</v>
      </c>
      <c r="E1549" s="15">
        <v>2721.1</v>
      </c>
      <c r="F1549" s="15">
        <v>2726.4</v>
      </c>
      <c r="G1549" s="15">
        <f>F1549-E1549</f>
        <v>5.3000000000001819</v>
      </c>
      <c r="H1549" s="16" t="s">
        <v>278</v>
      </c>
      <c r="I1549" s="10">
        <f t="shared" si="431"/>
        <v>550</v>
      </c>
      <c r="J1549" s="16"/>
      <c r="K1549" s="15">
        <v>1</v>
      </c>
      <c r="L1549" s="15">
        <v>20</v>
      </c>
      <c r="M1549" s="17">
        <v>46058</v>
      </c>
      <c r="N1549" s="9"/>
      <c r="O1549" s="9"/>
      <c r="P1549" s="9"/>
      <c r="Q1549" s="9"/>
      <c r="R1549" s="9"/>
      <c r="S1549" s="10">
        <f t="shared" si="430"/>
        <v>550</v>
      </c>
      <c r="T1549" s="76"/>
    </row>
    <row r="1550" spans="2:20" outlineLevel="1">
      <c r="B1550" s="13" t="s">
        <v>110</v>
      </c>
      <c r="C1550" s="7" t="str">
        <f t="shared" si="429"/>
        <v>ROLO COMBINADO HD14</v>
      </c>
      <c r="D1550" s="8">
        <f>D1482</f>
        <v>46087</v>
      </c>
      <c r="E1550" s="15"/>
      <c r="F1550" s="15"/>
      <c r="G1550" s="15">
        <f t="shared" ref="G1550:G1575" si="432">F1550-E1550</f>
        <v>0</v>
      </c>
      <c r="H1550" s="16" t="s">
        <v>278</v>
      </c>
      <c r="I1550" s="10">
        <f t="shared" si="431"/>
        <v>550</v>
      </c>
      <c r="J1550" s="16" t="s">
        <v>16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430"/>
        <v>550</v>
      </c>
    </row>
    <row r="1551" spans="2:20" outlineLevel="1">
      <c r="B1551" s="13" t="s">
        <v>110</v>
      </c>
      <c r="C1551" s="7" t="str">
        <f t="shared" si="429"/>
        <v>ROLO COMBINADO HD14</v>
      </c>
      <c r="D1551" s="8">
        <f>D1483</f>
        <v>46088</v>
      </c>
      <c r="E1551" s="15">
        <v>2726.4</v>
      </c>
      <c r="F1551" s="15">
        <v>2735.6</v>
      </c>
      <c r="G1551" s="15">
        <f>F1551-E1551</f>
        <v>9.1999999999998181</v>
      </c>
      <c r="H1551" s="16" t="s">
        <v>278</v>
      </c>
      <c r="I1551" s="10">
        <f t="shared" si="431"/>
        <v>550</v>
      </c>
      <c r="J1551" s="16"/>
      <c r="K1551" s="15">
        <v>1</v>
      </c>
      <c r="L1551" s="15">
        <v>20</v>
      </c>
      <c r="M1551" s="17">
        <v>46060</v>
      </c>
      <c r="N1551" s="9"/>
      <c r="O1551" s="9"/>
      <c r="P1551" s="9"/>
      <c r="Q1551" s="9"/>
      <c r="R1551" s="9"/>
      <c r="S1551" s="10">
        <f t="shared" si="430"/>
        <v>550</v>
      </c>
    </row>
    <row r="1552" spans="2:20" outlineLevel="1">
      <c r="B1552" s="13" t="s">
        <v>110</v>
      </c>
      <c r="C1552" s="7" t="str">
        <f t="shared" si="429"/>
        <v>ROLO COMBINADO HD14</v>
      </c>
      <c r="D1552" s="8">
        <f>D1484</f>
        <v>46089</v>
      </c>
      <c r="E1552" s="15"/>
      <c r="F1552" s="15"/>
      <c r="G1552" s="15">
        <f t="shared" si="432"/>
        <v>0</v>
      </c>
      <c r="H1552" s="16" t="s">
        <v>278</v>
      </c>
      <c r="I1552" s="10">
        <f t="shared" si="431"/>
        <v>550</v>
      </c>
      <c r="J1552" s="16" t="s">
        <v>16</v>
      </c>
      <c r="K1552" s="15"/>
      <c r="L1552" s="15"/>
      <c r="M1552" s="17"/>
      <c r="N1552" s="9"/>
      <c r="O1552" s="9"/>
      <c r="P1552" s="9"/>
      <c r="Q1552" s="9"/>
      <c r="R1552" s="9"/>
      <c r="S1552" s="10">
        <f t="shared" si="430"/>
        <v>550</v>
      </c>
    </row>
    <row r="1553" spans="2:19" outlineLevel="1">
      <c r="B1553" s="13" t="s">
        <v>110</v>
      </c>
      <c r="C1553" s="7" t="str">
        <f t="shared" si="429"/>
        <v>ROLO COMBINADO HD14</v>
      </c>
      <c r="D1553" s="8">
        <f>D1485</f>
        <v>46090</v>
      </c>
      <c r="E1553" s="15">
        <v>2735.6</v>
      </c>
      <c r="F1553" s="15">
        <v>2742.9</v>
      </c>
      <c r="G1553" s="15">
        <f t="shared" si="432"/>
        <v>7.3000000000001819</v>
      </c>
      <c r="H1553" s="16" t="s">
        <v>278</v>
      </c>
      <c r="I1553" s="10">
        <f t="shared" si="431"/>
        <v>550</v>
      </c>
      <c r="J1553" s="16"/>
      <c r="K1553" s="15">
        <v>1</v>
      </c>
      <c r="L1553" s="15">
        <v>75</v>
      </c>
      <c r="M1553" s="17">
        <v>46062</v>
      </c>
      <c r="N1553" s="9"/>
      <c r="O1553" s="18"/>
      <c r="P1553" s="9"/>
      <c r="Q1553" s="9"/>
      <c r="R1553" s="9"/>
      <c r="S1553" s="10">
        <f t="shared" si="430"/>
        <v>550</v>
      </c>
    </row>
    <row r="1554" spans="2:19" outlineLevel="1">
      <c r="B1554" s="13" t="s">
        <v>110</v>
      </c>
      <c r="C1554" s="7" t="str">
        <f t="shared" si="429"/>
        <v>ROLO COMBINADO HD14</v>
      </c>
      <c r="D1554" s="8">
        <f>D1486</f>
        <v>46091</v>
      </c>
      <c r="E1554" s="15">
        <v>2742.9</v>
      </c>
      <c r="F1554" s="15">
        <v>2751.9</v>
      </c>
      <c r="G1554" s="15">
        <f t="shared" si="432"/>
        <v>9</v>
      </c>
      <c r="H1554" s="16" t="s">
        <v>278</v>
      </c>
      <c r="I1554" s="10">
        <f t="shared" si="431"/>
        <v>550</v>
      </c>
      <c r="J1554" s="16"/>
      <c r="K1554" s="15">
        <v>1</v>
      </c>
      <c r="L1554" s="15">
        <v>20</v>
      </c>
      <c r="M1554" s="17">
        <v>46063</v>
      </c>
      <c r="N1554" s="9"/>
      <c r="O1554" s="18">
        <f t="shared" ref="O1554:O1571" si="433">O1553</f>
        <v>0</v>
      </c>
      <c r="P1554" s="9"/>
      <c r="Q1554" s="9"/>
      <c r="R1554" s="9"/>
      <c r="S1554" s="10">
        <f t="shared" si="430"/>
        <v>550</v>
      </c>
    </row>
    <row r="1555" spans="2:19" outlineLevel="1">
      <c r="B1555" s="13" t="s">
        <v>110</v>
      </c>
      <c r="C1555" s="7" t="str">
        <f t="shared" si="429"/>
        <v>ROLO COMBINADO HD14</v>
      </c>
      <c r="D1555" s="8">
        <f>D1487</f>
        <v>46092</v>
      </c>
      <c r="E1555" s="15">
        <v>2751.9</v>
      </c>
      <c r="F1555" s="15">
        <v>2753.3</v>
      </c>
      <c r="G1555" s="15">
        <f t="shared" si="432"/>
        <v>1.4000000000000909</v>
      </c>
      <c r="H1555" s="16" t="s">
        <v>282</v>
      </c>
      <c r="I1555" s="10">
        <f t="shared" si="431"/>
        <v>550</v>
      </c>
      <c r="J1555" s="16"/>
      <c r="K1555" s="15">
        <v>1</v>
      </c>
      <c r="L1555" s="15"/>
      <c r="M1555" s="17"/>
      <c r="N1555" s="9"/>
      <c r="O1555" s="18">
        <f t="shared" si="433"/>
        <v>0</v>
      </c>
      <c r="P1555" s="9"/>
      <c r="Q1555" s="9"/>
      <c r="R1555" s="9"/>
      <c r="S1555" s="10">
        <f t="shared" si="430"/>
        <v>550</v>
      </c>
    </row>
    <row r="1556" spans="2:19" outlineLevel="1">
      <c r="B1556" s="13" t="s">
        <v>110</v>
      </c>
      <c r="C1556" s="7" t="str">
        <f t="shared" si="429"/>
        <v>ROLO COMBINADO HD14</v>
      </c>
      <c r="D1556" s="8">
        <f>D1488</f>
        <v>46093</v>
      </c>
      <c r="E1556" s="15">
        <v>2753.3</v>
      </c>
      <c r="F1556" s="15">
        <v>2758.3</v>
      </c>
      <c r="G1556" s="15">
        <f t="shared" si="432"/>
        <v>5</v>
      </c>
      <c r="H1556" s="16" t="s">
        <v>282</v>
      </c>
      <c r="I1556" s="10">
        <f t="shared" si="431"/>
        <v>550</v>
      </c>
      <c r="J1556" s="16"/>
      <c r="K1556" s="15">
        <v>1</v>
      </c>
      <c r="L1556" s="15">
        <v>20</v>
      </c>
      <c r="M1556" s="17">
        <v>46065</v>
      </c>
      <c r="N1556" s="9"/>
      <c r="O1556" s="18">
        <f t="shared" si="433"/>
        <v>0</v>
      </c>
      <c r="P1556" s="9"/>
      <c r="Q1556" s="9"/>
      <c r="R1556" s="9"/>
      <c r="S1556" s="10">
        <f t="shared" si="430"/>
        <v>550</v>
      </c>
    </row>
    <row r="1557" spans="2:19" outlineLevel="1">
      <c r="B1557" s="13" t="s">
        <v>110</v>
      </c>
      <c r="C1557" s="7" t="str">
        <f t="shared" si="429"/>
        <v>ROLO COMBINADO HD14</v>
      </c>
      <c r="D1557" s="8">
        <f>D1489</f>
        <v>46094</v>
      </c>
      <c r="E1557" s="15"/>
      <c r="F1557" s="15"/>
      <c r="G1557" s="15">
        <f t="shared" si="432"/>
        <v>0</v>
      </c>
      <c r="H1557" s="16" t="s">
        <v>282</v>
      </c>
      <c r="I1557" s="10">
        <f t="shared" si="431"/>
        <v>550</v>
      </c>
      <c r="J1557" s="16" t="s">
        <v>16</v>
      </c>
      <c r="K1557" s="15"/>
      <c r="L1557" s="15"/>
      <c r="M1557" s="17"/>
      <c r="N1557" s="9"/>
      <c r="O1557" s="18">
        <f t="shared" si="433"/>
        <v>0</v>
      </c>
      <c r="P1557" s="9"/>
      <c r="Q1557" s="9"/>
      <c r="R1557" s="9"/>
      <c r="S1557" s="10">
        <f t="shared" si="430"/>
        <v>550</v>
      </c>
    </row>
    <row r="1558" spans="2:19" outlineLevel="1">
      <c r="B1558" s="13" t="s">
        <v>110</v>
      </c>
      <c r="C1558" s="7" t="str">
        <f t="shared" si="429"/>
        <v>ROLO COMBINADO HD14</v>
      </c>
      <c r="D1558" s="8">
        <f>D1490</f>
        <v>46095</v>
      </c>
      <c r="E1558" s="15"/>
      <c r="F1558" s="15"/>
      <c r="G1558" s="15">
        <f t="shared" si="432"/>
        <v>0</v>
      </c>
      <c r="H1558" s="16" t="s">
        <v>282</v>
      </c>
      <c r="I1558" s="10">
        <f t="shared" si="431"/>
        <v>550</v>
      </c>
      <c r="J1558" s="16" t="s">
        <v>16</v>
      </c>
      <c r="K1558" s="15"/>
      <c r="L1558" s="15"/>
      <c r="M1558" s="17"/>
      <c r="N1558" s="9"/>
      <c r="O1558" s="18">
        <f t="shared" si="433"/>
        <v>0</v>
      </c>
      <c r="P1558" s="9"/>
      <c r="Q1558" s="9"/>
      <c r="R1558" s="9"/>
      <c r="S1558" s="10">
        <f t="shared" si="430"/>
        <v>550</v>
      </c>
    </row>
    <row r="1559" spans="2:19" outlineLevel="1">
      <c r="B1559" s="13" t="s">
        <v>110</v>
      </c>
      <c r="C1559" s="7" t="str">
        <f t="shared" si="429"/>
        <v>ROLO COMBINADO HD14</v>
      </c>
      <c r="D1559" s="8">
        <f>D1491</f>
        <v>46096</v>
      </c>
      <c r="E1559" s="15"/>
      <c r="F1559" s="15"/>
      <c r="G1559" s="15">
        <f t="shared" si="432"/>
        <v>0</v>
      </c>
      <c r="H1559" s="16" t="s">
        <v>282</v>
      </c>
      <c r="I1559" s="10">
        <f t="shared" si="431"/>
        <v>550</v>
      </c>
      <c r="J1559" s="16" t="s">
        <v>16</v>
      </c>
      <c r="K1559" s="15"/>
      <c r="L1559" s="15"/>
      <c r="M1559" s="17"/>
      <c r="N1559" s="9"/>
      <c r="O1559" s="18">
        <f t="shared" si="433"/>
        <v>0</v>
      </c>
      <c r="P1559" s="9"/>
      <c r="Q1559" s="9"/>
      <c r="R1559" s="9"/>
      <c r="S1559" s="10">
        <f t="shared" si="430"/>
        <v>550</v>
      </c>
    </row>
    <row r="1560" spans="2:19" outlineLevel="1">
      <c r="B1560" s="13" t="s">
        <v>110</v>
      </c>
      <c r="C1560" s="7" t="str">
        <f t="shared" si="429"/>
        <v>ROLO COMBINADO HD14</v>
      </c>
      <c r="D1560" s="8">
        <f>D1492</f>
        <v>46097</v>
      </c>
      <c r="E1560" s="15">
        <v>2762</v>
      </c>
      <c r="F1560" s="15">
        <v>2766</v>
      </c>
      <c r="G1560" s="15">
        <f t="shared" si="432"/>
        <v>4</v>
      </c>
      <c r="H1560" s="16" t="s">
        <v>282</v>
      </c>
      <c r="I1560" s="10">
        <f t="shared" si="431"/>
        <v>550</v>
      </c>
      <c r="J1560" s="16"/>
      <c r="K1560" s="15">
        <v>1</v>
      </c>
      <c r="L1560" s="15"/>
      <c r="M1560" s="17"/>
      <c r="N1560" s="9"/>
      <c r="O1560" s="18">
        <f t="shared" si="433"/>
        <v>0</v>
      </c>
      <c r="P1560" s="9"/>
      <c r="Q1560" s="9"/>
      <c r="R1560" s="9"/>
      <c r="S1560" s="10">
        <f t="shared" si="430"/>
        <v>550</v>
      </c>
    </row>
    <row r="1561" spans="2:19" outlineLevel="1">
      <c r="B1561" s="13" t="s">
        <v>110</v>
      </c>
      <c r="C1561" s="7" t="str">
        <f t="shared" si="429"/>
        <v>ROLO COMBINADO HD14</v>
      </c>
      <c r="D1561" s="8">
        <f>D1493</f>
        <v>46098</v>
      </c>
      <c r="E1561" s="15"/>
      <c r="F1561" s="15"/>
      <c r="G1561" s="15">
        <f t="shared" si="432"/>
        <v>0</v>
      </c>
      <c r="H1561" s="16" t="s">
        <v>282</v>
      </c>
      <c r="I1561" s="10">
        <f t="shared" si="431"/>
        <v>550</v>
      </c>
      <c r="J1561" s="16" t="s">
        <v>16</v>
      </c>
      <c r="K1561" s="15"/>
      <c r="L1561" s="15"/>
      <c r="M1561" s="17"/>
      <c r="N1561" s="9"/>
      <c r="O1561" s="18">
        <f t="shared" si="433"/>
        <v>0</v>
      </c>
      <c r="P1561" s="9"/>
      <c r="Q1561" s="9"/>
      <c r="R1561" s="9"/>
      <c r="S1561" s="10">
        <f t="shared" si="430"/>
        <v>550</v>
      </c>
    </row>
    <row r="1562" spans="2:19" outlineLevel="1">
      <c r="B1562" s="13" t="s">
        <v>110</v>
      </c>
      <c r="C1562" s="7" t="str">
        <f t="shared" si="429"/>
        <v>ROLO COMBINADO HD14</v>
      </c>
      <c r="D1562" s="8">
        <f>D1494</f>
        <v>46099</v>
      </c>
      <c r="E1562" s="15">
        <v>2766</v>
      </c>
      <c r="F1562" s="15">
        <v>2772.6</v>
      </c>
      <c r="G1562" s="15">
        <f t="shared" si="432"/>
        <v>6.5999999999999091</v>
      </c>
      <c r="H1562" s="16" t="s">
        <v>282</v>
      </c>
      <c r="I1562" s="10">
        <f t="shared" si="431"/>
        <v>550</v>
      </c>
      <c r="J1562" s="16"/>
      <c r="K1562" s="15">
        <v>1</v>
      </c>
      <c r="L1562" s="15">
        <v>40</v>
      </c>
      <c r="M1562" s="17"/>
      <c r="N1562" s="9"/>
      <c r="O1562" s="18">
        <f t="shared" si="433"/>
        <v>0</v>
      </c>
      <c r="P1562" s="9"/>
      <c r="Q1562" s="9"/>
      <c r="R1562" s="9"/>
      <c r="S1562" s="10">
        <f t="shared" si="430"/>
        <v>550</v>
      </c>
    </row>
    <row r="1563" spans="2:19" outlineLevel="1">
      <c r="B1563" s="13" t="s">
        <v>110</v>
      </c>
      <c r="C1563" s="7" t="str">
        <f t="shared" si="429"/>
        <v>ROLO COMBINADO HD14</v>
      </c>
      <c r="D1563" s="8">
        <f>D1495</f>
        <v>46100</v>
      </c>
      <c r="E1563" s="15">
        <v>2772.6</v>
      </c>
      <c r="F1563" s="15">
        <v>2778.1</v>
      </c>
      <c r="G1563" s="15">
        <f t="shared" si="432"/>
        <v>5.5</v>
      </c>
      <c r="H1563" s="16" t="s">
        <v>282</v>
      </c>
      <c r="I1563" s="10">
        <f t="shared" si="431"/>
        <v>550</v>
      </c>
      <c r="J1563" s="16"/>
      <c r="K1563" s="15">
        <v>1</v>
      </c>
      <c r="L1563" s="15"/>
      <c r="M1563" s="17"/>
      <c r="N1563" s="9"/>
      <c r="O1563" s="18">
        <f t="shared" si="433"/>
        <v>0</v>
      </c>
      <c r="P1563" s="9"/>
      <c r="Q1563" s="9"/>
      <c r="R1563" s="9"/>
      <c r="S1563" s="10">
        <f t="shared" si="430"/>
        <v>550</v>
      </c>
    </row>
    <row r="1564" spans="2:19" outlineLevel="1">
      <c r="B1564" s="13" t="s">
        <v>110</v>
      </c>
      <c r="C1564" s="7" t="str">
        <f t="shared" si="429"/>
        <v>ROLO COMBINADO HD14</v>
      </c>
      <c r="D1564" s="8">
        <f>D1496</f>
        <v>46101</v>
      </c>
      <c r="E1564" s="15">
        <v>2778.1</v>
      </c>
      <c r="F1564" s="15">
        <v>2780.2</v>
      </c>
      <c r="G1564" s="15">
        <f t="shared" si="432"/>
        <v>2.0999999999999091</v>
      </c>
      <c r="H1564" s="16" t="s">
        <v>282</v>
      </c>
      <c r="I1564" s="10">
        <f t="shared" si="431"/>
        <v>550</v>
      </c>
      <c r="J1564" s="16"/>
      <c r="K1564" s="15">
        <v>1</v>
      </c>
      <c r="L1564" s="15"/>
      <c r="M1564" s="17"/>
      <c r="N1564" s="9"/>
      <c r="O1564" s="18">
        <f t="shared" si="433"/>
        <v>0</v>
      </c>
      <c r="P1564" s="9"/>
      <c r="Q1564" s="9"/>
      <c r="R1564" s="9"/>
      <c r="S1564" s="10">
        <f t="shared" si="430"/>
        <v>550</v>
      </c>
    </row>
    <row r="1565" spans="2:19" outlineLevel="1">
      <c r="B1565" s="13" t="s">
        <v>110</v>
      </c>
      <c r="C1565" s="7" t="str">
        <f t="shared" si="429"/>
        <v>ROLO COMBINADO HD14</v>
      </c>
      <c r="D1565" s="8">
        <f>D1497</f>
        <v>46102</v>
      </c>
      <c r="E1565" s="15">
        <v>2780.2</v>
      </c>
      <c r="F1565" s="15">
        <v>2786.6</v>
      </c>
      <c r="G1565" s="15">
        <f t="shared" si="432"/>
        <v>6.4000000000000909</v>
      </c>
      <c r="H1565" s="16" t="s">
        <v>338</v>
      </c>
      <c r="I1565" s="10">
        <f t="shared" si="431"/>
        <v>550</v>
      </c>
      <c r="J1565" s="16"/>
      <c r="K1565" s="15">
        <v>1</v>
      </c>
      <c r="L1565" s="15">
        <v>40</v>
      </c>
      <c r="M1565" s="17"/>
      <c r="N1565" s="9"/>
      <c r="O1565" s="18">
        <f t="shared" si="433"/>
        <v>0</v>
      </c>
      <c r="P1565" s="9"/>
      <c r="Q1565" s="9"/>
      <c r="R1565" s="9"/>
      <c r="S1565" s="10">
        <f t="shared" si="430"/>
        <v>550</v>
      </c>
    </row>
    <row r="1566" spans="2:19" outlineLevel="1">
      <c r="B1566" s="13" t="s">
        <v>110</v>
      </c>
      <c r="C1566" s="7" t="str">
        <f t="shared" si="429"/>
        <v>ROLO COMBINADO HD14</v>
      </c>
      <c r="D1566" s="8">
        <f>D1498</f>
        <v>46103</v>
      </c>
      <c r="E1566" s="15"/>
      <c r="F1566" s="15"/>
      <c r="G1566" s="15">
        <f t="shared" si="432"/>
        <v>0</v>
      </c>
      <c r="H1566" s="16" t="s">
        <v>338</v>
      </c>
      <c r="I1566" s="10">
        <f t="shared" si="431"/>
        <v>550</v>
      </c>
      <c r="J1566" s="16" t="s">
        <v>16</v>
      </c>
      <c r="K1566" s="15"/>
      <c r="L1566" s="15"/>
      <c r="M1566" s="17"/>
      <c r="N1566" s="9"/>
      <c r="O1566" s="18">
        <f t="shared" si="433"/>
        <v>0</v>
      </c>
      <c r="P1566" s="9"/>
      <c r="Q1566" s="9"/>
      <c r="R1566" s="9"/>
      <c r="S1566" s="10">
        <f t="shared" si="430"/>
        <v>550</v>
      </c>
    </row>
    <row r="1567" spans="2:19" outlineLevel="1">
      <c r="B1567" s="13" t="s">
        <v>110</v>
      </c>
      <c r="C1567" s="7" t="str">
        <f t="shared" si="429"/>
        <v>ROLO COMBINADO HD14</v>
      </c>
      <c r="D1567" s="8">
        <f>D1499</f>
        <v>46104</v>
      </c>
      <c r="E1567" s="15">
        <v>2786.6</v>
      </c>
      <c r="F1567" s="15">
        <v>2793</v>
      </c>
      <c r="G1567" s="15">
        <f t="shared" si="432"/>
        <v>6.4000000000000909</v>
      </c>
      <c r="H1567" s="16" t="s">
        <v>338</v>
      </c>
      <c r="I1567" s="10">
        <f t="shared" si="431"/>
        <v>550</v>
      </c>
      <c r="J1567" s="16"/>
      <c r="K1567" s="15">
        <v>1</v>
      </c>
      <c r="L1567" s="15"/>
      <c r="M1567" s="17"/>
      <c r="N1567" s="9"/>
      <c r="O1567" s="18">
        <f t="shared" si="433"/>
        <v>0</v>
      </c>
      <c r="P1567" s="9"/>
      <c r="Q1567" s="9"/>
      <c r="R1567" s="9"/>
      <c r="S1567" s="10">
        <f t="shared" si="430"/>
        <v>550</v>
      </c>
    </row>
    <row r="1568" spans="2:19" outlineLevel="1">
      <c r="B1568" s="13" t="s">
        <v>110</v>
      </c>
      <c r="C1568" s="7" t="str">
        <f t="shared" si="429"/>
        <v>ROLO COMBINADO HD14</v>
      </c>
      <c r="D1568" s="8">
        <f>D1500</f>
        <v>46105</v>
      </c>
      <c r="E1568" s="15">
        <v>2794</v>
      </c>
      <c r="F1568" s="15">
        <v>2797.8</v>
      </c>
      <c r="G1568" s="15">
        <f t="shared" si="432"/>
        <v>3.8000000000001819</v>
      </c>
      <c r="H1568" s="16" t="s">
        <v>338</v>
      </c>
      <c r="I1568" s="10">
        <f t="shared" si="431"/>
        <v>550</v>
      </c>
      <c r="J1568" s="16"/>
      <c r="K1568" s="15">
        <v>1</v>
      </c>
      <c r="L1568" s="15">
        <v>40</v>
      </c>
      <c r="M1568" s="17"/>
      <c r="N1568" s="9"/>
      <c r="O1568" s="18">
        <f t="shared" si="433"/>
        <v>0</v>
      </c>
      <c r="P1568" s="9"/>
      <c r="Q1568" s="9"/>
      <c r="R1568" s="9"/>
      <c r="S1568" s="10">
        <f t="shared" si="430"/>
        <v>550</v>
      </c>
    </row>
    <row r="1569" spans="2:20" outlineLevel="1">
      <c r="B1569" s="13" t="s">
        <v>110</v>
      </c>
      <c r="C1569" s="7" t="str">
        <f t="shared" si="429"/>
        <v>ROLO COMBINADO HD14</v>
      </c>
      <c r="D1569" s="8">
        <f>D1501</f>
        <v>46106</v>
      </c>
      <c r="E1569" s="15">
        <v>2797.8</v>
      </c>
      <c r="F1569" s="15">
        <v>2802.1</v>
      </c>
      <c r="G1569" s="15">
        <f t="shared" si="432"/>
        <v>4.2999999999997272</v>
      </c>
      <c r="H1569" s="16" t="s">
        <v>338</v>
      </c>
      <c r="I1569" s="10">
        <f t="shared" si="431"/>
        <v>550</v>
      </c>
      <c r="J1569" s="16"/>
      <c r="K1569" s="15">
        <v>1</v>
      </c>
      <c r="L1569" s="15"/>
      <c r="M1569" s="17"/>
      <c r="N1569" s="9"/>
      <c r="O1569" s="18">
        <f t="shared" si="433"/>
        <v>0</v>
      </c>
      <c r="P1569" s="9"/>
      <c r="Q1569" s="9"/>
      <c r="R1569" s="9"/>
      <c r="S1569" s="10">
        <f t="shared" si="430"/>
        <v>550</v>
      </c>
    </row>
    <row r="1570" spans="2:20" outlineLevel="1">
      <c r="B1570" s="13" t="s">
        <v>110</v>
      </c>
      <c r="C1570" s="7" t="str">
        <f t="shared" si="429"/>
        <v>ROLO COMBINADO HD14</v>
      </c>
      <c r="D1570" s="8">
        <f>D1502</f>
        <v>46107</v>
      </c>
      <c r="E1570" s="15">
        <v>2802.1</v>
      </c>
      <c r="F1570" s="15">
        <v>2808.3</v>
      </c>
      <c r="G1570" s="15">
        <f t="shared" si="432"/>
        <v>6.2000000000002728</v>
      </c>
      <c r="H1570" s="16" t="s">
        <v>338</v>
      </c>
      <c r="I1570" s="10">
        <f t="shared" si="431"/>
        <v>550</v>
      </c>
      <c r="J1570" s="16"/>
      <c r="K1570" s="15">
        <v>1</v>
      </c>
      <c r="L1570" s="15">
        <v>20</v>
      </c>
      <c r="M1570" s="17"/>
      <c r="N1570" s="9"/>
      <c r="O1570" s="18">
        <f t="shared" si="433"/>
        <v>0</v>
      </c>
      <c r="P1570" s="9"/>
      <c r="Q1570" s="9"/>
      <c r="R1570" s="9"/>
      <c r="S1570" s="10">
        <f t="shared" si="430"/>
        <v>550</v>
      </c>
    </row>
    <row r="1571" spans="2:20" outlineLevel="1">
      <c r="B1571" s="13" t="s">
        <v>110</v>
      </c>
      <c r="C1571" s="7" t="str">
        <f t="shared" si="429"/>
        <v>ROLO COMBINADO HD14</v>
      </c>
      <c r="D1571" s="8">
        <f>D1503</f>
        <v>46108</v>
      </c>
      <c r="E1571" s="15">
        <v>2808.3</v>
      </c>
      <c r="F1571" s="15">
        <v>2808.7</v>
      </c>
      <c r="G1571" s="15">
        <f t="shared" si="432"/>
        <v>0.3999999999996362</v>
      </c>
      <c r="H1571" s="16" t="s">
        <v>338</v>
      </c>
      <c r="I1571" s="10">
        <f t="shared" si="431"/>
        <v>550</v>
      </c>
      <c r="J1571" s="16"/>
      <c r="K1571" s="15">
        <v>1</v>
      </c>
      <c r="L1571" s="15">
        <v>40</v>
      </c>
      <c r="M1571" s="17"/>
      <c r="N1571" s="9"/>
      <c r="O1571" s="18">
        <f t="shared" si="433"/>
        <v>0</v>
      </c>
      <c r="P1571" s="9"/>
      <c r="Q1571" s="9"/>
      <c r="R1571" s="9"/>
      <c r="S1571" s="10">
        <f t="shared" si="430"/>
        <v>550</v>
      </c>
    </row>
    <row r="1572" spans="2:20" outlineLevel="1">
      <c r="B1572" s="13" t="s">
        <v>110</v>
      </c>
      <c r="C1572" s="7" t="str">
        <f t="shared" si="429"/>
        <v>ROLO COMBINADO HD14</v>
      </c>
      <c r="D1572" s="8">
        <f t="shared" ref="D1572" si="434">D1504</f>
        <v>46109</v>
      </c>
      <c r="E1572" s="15">
        <v>2808.7</v>
      </c>
      <c r="F1572" s="15">
        <v>2812.2</v>
      </c>
      <c r="G1572" s="15">
        <f t="shared" ref="G1572:G1574" si="435">F1572-E1572</f>
        <v>3.5</v>
      </c>
      <c r="H1572" s="16" t="s">
        <v>338</v>
      </c>
      <c r="I1572" s="10">
        <f>I1568</f>
        <v>550</v>
      </c>
      <c r="J1572" s="16"/>
      <c r="K1572" s="15">
        <v>1</v>
      </c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36">SUM(R1572+Q1572+I1572)</f>
        <v>550</v>
      </c>
    </row>
    <row r="1573" spans="2:20" outlineLevel="1">
      <c r="B1573" s="13" t="s">
        <v>110</v>
      </c>
      <c r="C1573" s="7" t="str">
        <f t="shared" si="429"/>
        <v>ROLO COMBINADO HD14</v>
      </c>
      <c r="D1573" s="8">
        <f t="shared" ref="D1573:D1575" si="437">D1505</f>
        <v>46110</v>
      </c>
      <c r="E1573" s="15">
        <v>2808.7</v>
      </c>
      <c r="F1573" s="15">
        <v>2812.2</v>
      </c>
      <c r="G1573" s="15">
        <f t="shared" si="435"/>
        <v>3.5</v>
      </c>
      <c r="H1573" s="16" t="s">
        <v>338</v>
      </c>
      <c r="I1573" s="10">
        <f>I1569</f>
        <v>550</v>
      </c>
      <c r="J1573" s="16"/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36"/>
        <v>550</v>
      </c>
    </row>
    <row r="1574" spans="2:20" outlineLevel="1">
      <c r="B1574" s="13" t="s">
        <v>110</v>
      </c>
      <c r="C1574" s="7" t="str">
        <f t="shared" si="429"/>
        <v>ROLO COMBINADO HD14</v>
      </c>
      <c r="D1574" s="8">
        <f t="shared" si="437"/>
        <v>46111</v>
      </c>
      <c r="E1574" s="15">
        <v>2808.7</v>
      </c>
      <c r="F1574" s="15">
        <v>2812.2</v>
      </c>
      <c r="G1574" s="15">
        <f t="shared" si="435"/>
        <v>3.5</v>
      </c>
      <c r="H1574" s="16" t="s">
        <v>338</v>
      </c>
      <c r="I1574" s="10">
        <f>I1570</f>
        <v>550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36"/>
        <v>550</v>
      </c>
    </row>
    <row r="1575" spans="2:20" outlineLevel="1">
      <c r="B1575" s="13" t="s">
        <v>110</v>
      </c>
      <c r="C1575" s="7" t="str">
        <f t="shared" si="429"/>
        <v>ROLO COMBINADO HD14</v>
      </c>
      <c r="D1575" s="8">
        <f t="shared" si="437"/>
        <v>46112</v>
      </c>
      <c r="E1575" s="15">
        <v>2808.7</v>
      </c>
      <c r="F1575" s="15">
        <v>2812.2</v>
      </c>
      <c r="G1575" s="15">
        <f t="shared" si="432"/>
        <v>3.5</v>
      </c>
      <c r="H1575" s="16" t="s">
        <v>338</v>
      </c>
      <c r="I1575" s="10">
        <f>I1571</f>
        <v>550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30"/>
        <v>550</v>
      </c>
    </row>
    <row r="1576" spans="2:20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5" t="str">
        <f>M$1</f>
        <v>BM JANEIRO 2026</v>
      </c>
      <c r="N1577" s="135"/>
      <c r="O1577" s="135"/>
      <c r="P1577" s="19" t="s">
        <v>10</v>
      </c>
      <c r="Q1577" s="136" t="s">
        <v>243</v>
      </c>
      <c r="R1577" s="136"/>
      <c r="S1577" s="136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>D1511</f>
        <v>46082</v>
      </c>
      <c r="E1579" s="15"/>
      <c r="F1579" s="15"/>
      <c r="G1579" s="15">
        <f t="shared" ref="G1579:G1582" si="438">F1579-E1579</f>
        <v>0</v>
      </c>
      <c r="H1579" s="16" t="s">
        <v>244</v>
      </c>
      <c r="I1579" s="10">
        <f>P1579</f>
        <v>550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O1579/28</f>
        <v>550</v>
      </c>
      <c r="Q1579" s="9"/>
      <c r="R1579" s="9"/>
      <c r="S1579" s="10">
        <f>SUM(R1579+Q1579+I1579)</f>
        <v>550</v>
      </c>
    </row>
    <row r="1580" spans="2:20" outlineLevel="1">
      <c r="B1580" s="12" t="s">
        <v>0</v>
      </c>
      <c r="C1580" s="7" t="str">
        <f t="shared" ref="C1580:C1609" si="439">C$1577</f>
        <v>CAMINHÃO ESPARGIDOR BOB 13180 PL HYJ 6B05</v>
      </c>
      <c r="D1580" s="8">
        <f>D1512</f>
        <v>46083</v>
      </c>
      <c r="E1580" s="15"/>
      <c r="F1580" s="15"/>
      <c r="G1580" s="15">
        <f t="shared" si="438"/>
        <v>0</v>
      </c>
      <c r="H1580" s="16" t="s">
        <v>244</v>
      </c>
      <c r="I1580" s="10">
        <f>I1579</f>
        <v>550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ref="S1580:S1609" si="440">SUM(R1580+Q1580+I1580)</f>
        <v>550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>D1513</f>
        <v>46084</v>
      </c>
      <c r="E1581" s="15"/>
      <c r="F1581" s="15"/>
      <c r="G1581" s="15">
        <f t="shared" si="438"/>
        <v>0</v>
      </c>
      <c r="H1581" s="16" t="s">
        <v>244</v>
      </c>
      <c r="I1581" s="10">
        <f t="shared" ref="I1581:I1605" si="441">I1580</f>
        <v>550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40"/>
        <v>550</v>
      </c>
    </row>
    <row r="1582" spans="2:20" outlineLevel="1">
      <c r="B1582" s="13" t="s">
        <v>112</v>
      </c>
      <c r="C1582" s="7" t="str">
        <f t="shared" si="439"/>
        <v>CAMINHÃO ESPARGIDOR BOB 13180 PL HYJ 6B05</v>
      </c>
      <c r="D1582" s="8">
        <f>D1514</f>
        <v>46085</v>
      </c>
      <c r="E1582" s="15"/>
      <c r="F1582" s="15"/>
      <c r="G1582" s="15">
        <f t="shared" si="438"/>
        <v>0</v>
      </c>
      <c r="H1582" s="16" t="s">
        <v>244</v>
      </c>
      <c r="I1582" s="10">
        <f t="shared" si="441"/>
        <v>550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40"/>
        <v>550</v>
      </c>
    </row>
    <row r="1583" spans="2:20" outlineLevel="1">
      <c r="B1583" s="13" t="s">
        <v>112</v>
      </c>
      <c r="C1583" s="7" t="str">
        <f t="shared" si="439"/>
        <v>CAMINHÃO ESPARGIDOR BOB 13180 PL HYJ 6B05</v>
      </c>
      <c r="D1583" s="8">
        <f>D1515</f>
        <v>46086</v>
      </c>
      <c r="E1583" s="15"/>
      <c r="F1583" s="15"/>
      <c r="G1583" s="15">
        <f t="shared" ref="G1583:G1609" si="442">F1583-E1583</f>
        <v>0</v>
      </c>
      <c r="H1583" s="16" t="s">
        <v>244</v>
      </c>
      <c r="I1583" s="10">
        <f t="shared" si="441"/>
        <v>550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40"/>
        <v>550</v>
      </c>
    </row>
    <row r="1584" spans="2:20" outlineLevel="1">
      <c r="B1584" s="13" t="s">
        <v>112</v>
      </c>
      <c r="C1584" s="7" t="str">
        <f t="shared" si="439"/>
        <v>CAMINHÃO ESPARGIDOR BOB 13180 PL HYJ 6B05</v>
      </c>
      <c r="D1584" s="8">
        <f>D1516</f>
        <v>46087</v>
      </c>
      <c r="E1584" s="15"/>
      <c r="F1584" s="15"/>
      <c r="G1584" s="15">
        <f t="shared" si="442"/>
        <v>0</v>
      </c>
      <c r="H1584" s="16" t="s">
        <v>244</v>
      </c>
      <c r="I1584" s="10">
        <f t="shared" si="441"/>
        <v>550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40"/>
        <v>550</v>
      </c>
    </row>
    <row r="1585" spans="2:19" outlineLevel="1">
      <c r="B1585" s="13" t="s">
        <v>112</v>
      </c>
      <c r="C1585" s="7" t="str">
        <f t="shared" si="439"/>
        <v>CAMINHÃO ESPARGIDOR BOB 13180 PL HYJ 6B05</v>
      </c>
      <c r="D1585" s="8">
        <f>D1517</f>
        <v>46088</v>
      </c>
      <c r="E1585" s="15"/>
      <c r="F1585" s="15"/>
      <c r="G1585" s="15">
        <f t="shared" si="442"/>
        <v>0</v>
      </c>
      <c r="H1585" s="16" t="s">
        <v>244</v>
      </c>
      <c r="I1585" s="10">
        <f t="shared" si="441"/>
        <v>550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40"/>
        <v>550</v>
      </c>
    </row>
    <row r="1586" spans="2:19" outlineLevel="1">
      <c r="B1586" s="13" t="s">
        <v>112</v>
      </c>
      <c r="C1586" s="7" t="str">
        <f t="shared" si="439"/>
        <v>CAMINHÃO ESPARGIDOR BOB 13180 PL HYJ 6B05</v>
      </c>
      <c r="D1586" s="8">
        <f>D1518</f>
        <v>46089</v>
      </c>
      <c r="E1586" s="15"/>
      <c r="F1586" s="15"/>
      <c r="G1586" s="15">
        <f t="shared" si="442"/>
        <v>0</v>
      </c>
      <c r="H1586" s="16" t="s">
        <v>244</v>
      </c>
      <c r="I1586" s="10">
        <f t="shared" si="441"/>
        <v>550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40"/>
        <v>550</v>
      </c>
    </row>
    <row r="1587" spans="2:19" outlineLevel="1">
      <c r="B1587" s="13" t="s">
        <v>112</v>
      </c>
      <c r="C1587" s="7" t="str">
        <f t="shared" si="439"/>
        <v>CAMINHÃO ESPARGIDOR BOB 13180 PL HYJ 6B05</v>
      </c>
      <c r="D1587" s="8">
        <f>D1519</f>
        <v>46090</v>
      </c>
      <c r="E1587" s="15"/>
      <c r="F1587" s="15"/>
      <c r="G1587" s="15">
        <f t="shared" si="442"/>
        <v>0</v>
      </c>
      <c r="H1587" s="16" t="s">
        <v>244</v>
      </c>
      <c r="I1587" s="10">
        <f t="shared" si="441"/>
        <v>550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40"/>
        <v>550</v>
      </c>
    </row>
    <row r="1588" spans="2:19" outlineLevel="1">
      <c r="B1588" s="13" t="s">
        <v>112</v>
      </c>
      <c r="C1588" s="7" t="str">
        <f t="shared" si="439"/>
        <v>CAMINHÃO ESPARGIDOR BOB 13180 PL HYJ 6B05</v>
      </c>
      <c r="D1588" s="8">
        <f>D1520</f>
        <v>46091</v>
      </c>
      <c r="E1588" s="15"/>
      <c r="F1588" s="15"/>
      <c r="G1588" s="15">
        <f t="shared" si="442"/>
        <v>0</v>
      </c>
      <c r="H1588" s="16" t="s">
        <v>244</v>
      </c>
      <c r="I1588" s="10">
        <f t="shared" si="441"/>
        <v>550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40"/>
        <v>550</v>
      </c>
    </row>
    <row r="1589" spans="2:19" outlineLevel="1">
      <c r="B1589" s="13" t="s">
        <v>112</v>
      </c>
      <c r="C1589" s="7" t="str">
        <f t="shared" si="439"/>
        <v>CAMINHÃO ESPARGIDOR BOB 13180 PL HYJ 6B05</v>
      </c>
      <c r="D1589" s="8">
        <f>D1521</f>
        <v>46092</v>
      </c>
      <c r="E1589" s="15"/>
      <c r="F1589" s="15"/>
      <c r="G1589" s="15">
        <f t="shared" si="442"/>
        <v>0</v>
      </c>
      <c r="H1589" s="16" t="s">
        <v>244</v>
      </c>
      <c r="I1589" s="10">
        <f t="shared" si="441"/>
        <v>550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40"/>
        <v>550</v>
      </c>
    </row>
    <row r="1590" spans="2:19" outlineLevel="1">
      <c r="B1590" s="13" t="s">
        <v>112</v>
      </c>
      <c r="C1590" s="7" t="str">
        <f t="shared" si="439"/>
        <v>CAMINHÃO ESPARGIDOR BOB 13180 PL HYJ 6B05</v>
      </c>
      <c r="D1590" s="8">
        <f>D1522</f>
        <v>46093</v>
      </c>
      <c r="E1590" s="15"/>
      <c r="F1590" s="15"/>
      <c r="G1590" s="15">
        <f t="shared" si="442"/>
        <v>0</v>
      </c>
      <c r="H1590" s="16" t="s">
        <v>244</v>
      </c>
      <c r="I1590" s="10">
        <f t="shared" si="441"/>
        <v>550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40"/>
        <v>550</v>
      </c>
    </row>
    <row r="1591" spans="2:19" outlineLevel="1">
      <c r="B1591" s="13" t="s">
        <v>112</v>
      </c>
      <c r="C1591" s="7" t="str">
        <f t="shared" si="439"/>
        <v>CAMINHÃO ESPARGIDOR BOB 13180 PL HYJ 6B05</v>
      </c>
      <c r="D1591" s="8">
        <f>D1523</f>
        <v>46094</v>
      </c>
      <c r="E1591" s="15"/>
      <c r="F1591" s="15"/>
      <c r="G1591" s="15">
        <f t="shared" si="442"/>
        <v>0</v>
      </c>
      <c r="H1591" s="16" t="s">
        <v>244</v>
      </c>
      <c r="I1591" s="10">
        <f t="shared" si="441"/>
        <v>550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40"/>
        <v>550</v>
      </c>
    </row>
    <row r="1592" spans="2:19" outlineLevel="1">
      <c r="B1592" s="13" t="s">
        <v>112</v>
      </c>
      <c r="C1592" s="7" t="str">
        <f t="shared" si="439"/>
        <v>CAMINHÃO ESPARGIDOR BOB 13180 PL HYJ 6B05</v>
      </c>
      <c r="D1592" s="8">
        <f>D1524</f>
        <v>46095</v>
      </c>
      <c r="E1592" s="15"/>
      <c r="F1592" s="15"/>
      <c r="G1592" s="15">
        <f t="shared" si="442"/>
        <v>0</v>
      </c>
      <c r="H1592" s="16" t="s">
        <v>244</v>
      </c>
      <c r="I1592" s="10">
        <f t="shared" si="441"/>
        <v>550</v>
      </c>
      <c r="J1592" s="16" t="s">
        <v>16</v>
      </c>
      <c r="K1592" s="15"/>
      <c r="L1592" s="15"/>
      <c r="M1592" s="17"/>
      <c r="N1592" s="8"/>
      <c r="O1592" s="18">
        <f t="shared" ref="O1592:O1605" si="443">O1591</f>
        <v>0</v>
      </c>
      <c r="P1592" s="9"/>
      <c r="Q1592" s="9"/>
      <c r="R1592" s="9"/>
      <c r="S1592" s="10">
        <f t="shared" si="440"/>
        <v>550</v>
      </c>
    </row>
    <row r="1593" spans="2:19" outlineLevel="1">
      <c r="B1593" s="13" t="s">
        <v>112</v>
      </c>
      <c r="C1593" s="7" t="str">
        <f t="shared" si="439"/>
        <v>CAMINHÃO ESPARGIDOR BOB 13180 PL HYJ 6B05</v>
      </c>
      <c r="D1593" s="8">
        <f>D1525</f>
        <v>46096</v>
      </c>
      <c r="E1593" s="15"/>
      <c r="F1593" s="15"/>
      <c r="G1593" s="15">
        <f t="shared" si="442"/>
        <v>0</v>
      </c>
      <c r="H1593" s="16" t="s">
        <v>244</v>
      </c>
      <c r="I1593" s="10">
        <f t="shared" si="441"/>
        <v>550</v>
      </c>
      <c r="J1593" s="16" t="s">
        <v>16</v>
      </c>
      <c r="K1593" s="15"/>
      <c r="L1593" s="15"/>
      <c r="M1593" s="17"/>
      <c r="N1593" s="9"/>
      <c r="O1593" s="18">
        <f t="shared" si="443"/>
        <v>0</v>
      </c>
      <c r="P1593" s="9"/>
      <c r="Q1593" s="9"/>
      <c r="R1593" s="9"/>
      <c r="S1593" s="10">
        <f t="shared" si="440"/>
        <v>550</v>
      </c>
    </row>
    <row r="1594" spans="2:19" outlineLevel="1">
      <c r="B1594" s="13" t="s">
        <v>112</v>
      </c>
      <c r="C1594" s="7" t="str">
        <f t="shared" si="439"/>
        <v>CAMINHÃO ESPARGIDOR BOB 13180 PL HYJ 6B05</v>
      </c>
      <c r="D1594" s="8">
        <f>D1526</f>
        <v>46097</v>
      </c>
      <c r="E1594" s="15"/>
      <c r="F1594" s="15"/>
      <c r="G1594" s="15">
        <f t="shared" si="442"/>
        <v>0</v>
      </c>
      <c r="H1594" s="16" t="s">
        <v>244</v>
      </c>
      <c r="I1594" s="10">
        <f t="shared" si="441"/>
        <v>550</v>
      </c>
      <c r="J1594" s="16" t="s">
        <v>16</v>
      </c>
      <c r="K1594" s="15"/>
      <c r="L1594" s="15"/>
      <c r="M1594" s="17"/>
      <c r="N1594" s="8"/>
      <c r="O1594" s="18">
        <f t="shared" si="443"/>
        <v>0</v>
      </c>
      <c r="P1594" s="9"/>
      <c r="Q1594" s="9"/>
      <c r="R1594" s="9"/>
      <c r="S1594" s="10">
        <f t="shared" si="440"/>
        <v>550</v>
      </c>
    </row>
    <row r="1595" spans="2:19" outlineLevel="1">
      <c r="B1595" s="13" t="s">
        <v>112</v>
      </c>
      <c r="C1595" s="7" t="str">
        <f t="shared" si="439"/>
        <v>CAMINHÃO ESPARGIDOR BOB 13180 PL HYJ 6B05</v>
      </c>
      <c r="D1595" s="8">
        <f>D1527</f>
        <v>46098</v>
      </c>
      <c r="E1595" s="15"/>
      <c r="F1595" s="15"/>
      <c r="G1595" s="15">
        <f t="shared" si="442"/>
        <v>0</v>
      </c>
      <c r="H1595" s="16" t="s">
        <v>244</v>
      </c>
      <c r="I1595" s="10">
        <f t="shared" si="441"/>
        <v>550</v>
      </c>
      <c r="J1595" s="16" t="s">
        <v>16</v>
      </c>
      <c r="K1595" s="15"/>
      <c r="L1595" s="15"/>
      <c r="M1595" s="17"/>
      <c r="N1595" s="8"/>
      <c r="O1595" s="18">
        <f t="shared" si="443"/>
        <v>0</v>
      </c>
      <c r="P1595" s="9"/>
      <c r="Q1595" s="9"/>
      <c r="R1595" s="9"/>
      <c r="S1595" s="10">
        <f t="shared" si="440"/>
        <v>550</v>
      </c>
    </row>
    <row r="1596" spans="2:19" outlineLevel="1">
      <c r="B1596" s="13" t="s">
        <v>112</v>
      </c>
      <c r="C1596" s="7" t="str">
        <f t="shared" si="439"/>
        <v>CAMINHÃO ESPARGIDOR BOB 13180 PL HYJ 6B05</v>
      </c>
      <c r="D1596" s="8">
        <f>D1528</f>
        <v>46099</v>
      </c>
      <c r="E1596" s="15"/>
      <c r="F1596" s="15"/>
      <c r="G1596" s="15">
        <f t="shared" si="442"/>
        <v>0</v>
      </c>
      <c r="H1596" s="16" t="s">
        <v>244</v>
      </c>
      <c r="I1596" s="10">
        <f t="shared" si="441"/>
        <v>550</v>
      </c>
      <c r="J1596" s="16" t="s">
        <v>16</v>
      </c>
      <c r="K1596" s="15"/>
      <c r="L1596" s="15"/>
      <c r="M1596" s="17"/>
      <c r="N1596" s="9"/>
      <c r="O1596" s="18">
        <f t="shared" si="443"/>
        <v>0</v>
      </c>
      <c r="P1596" s="9"/>
      <c r="Q1596" s="9"/>
      <c r="R1596" s="9"/>
      <c r="S1596" s="10">
        <f t="shared" si="440"/>
        <v>550</v>
      </c>
    </row>
    <row r="1597" spans="2:19" outlineLevel="1">
      <c r="B1597" s="13" t="s">
        <v>112</v>
      </c>
      <c r="C1597" s="7" t="str">
        <f t="shared" si="439"/>
        <v>CAMINHÃO ESPARGIDOR BOB 13180 PL HYJ 6B05</v>
      </c>
      <c r="D1597" s="8">
        <f>D1529</f>
        <v>46100</v>
      </c>
      <c r="E1597" s="15"/>
      <c r="F1597" s="15"/>
      <c r="G1597" s="15">
        <f t="shared" si="442"/>
        <v>0</v>
      </c>
      <c r="H1597" s="16" t="s">
        <v>244</v>
      </c>
      <c r="I1597" s="10">
        <f t="shared" si="441"/>
        <v>550</v>
      </c>
      <c r="J1597" s="16" t="s">
        <v>16</v>
      </c>
      <c r="K1597" s="15"/>
      <c r="L1597" s="15"/>
      <c r="M1597" s="17"/>
      <c r="N1597" s="8"/>
      <c r="O1597" s="18">
        <f t="shared" si="443"/>
        <v>0</v>
      </c>
      <c r="P1597" s="9"/>
      <c r="Q1597" s="9"/>
      <c r="R1597" s="9"/>
      <c r="S1597" s="10">
        <f t="shared" si="440"/>
        <v>550</v>
      </c>
    </row>
    <row r="1598" spans="2:19" outlineLevel="1">
      <c r="B1598" s="13" t="s">
        <v>112</v>
      </c>
      <c r="C1598" s="7" t="str">
        <f t="shared" si="439"/>
        <v>CAMINHÃO ESPARGIDOR BOB 13180 PL HYJ 6B05</v>
      </c>
      <c r="D1598" s="8">
        <f>D1530</f>
        <v>46101</v>
      </c>
      <c r="E1598" s="15"/>
      <c r="F1598" s="15"/>
      <c r="G1598" s="15">
        <f t="shared" si="442"/>
        <v>0</v>
      </c>
      <c r="H1598" s="16" t="s">
        <v>244</v>
      </c>
      <c r="I1598" s="10">
        <f t="shared" si="441"/>
        <v>550</v>
      </c>
      <c r="J1598" s="16" t="s">
        <v>16</v>
      </c>
      <c r="K1598" s="15"/>
      <c r="L1598" s="15"/>
      <c r="M1598" s="17"/>
      <c r="N1598" s="8"/>
      <c r="O1598" s="18">
        <f t="shared" si="443"/>
        <v>0</v>
      </c>
      <c r="P1598" s="9"/>
      <c r="Q1598" s="9"/>
      <c r="R1598" s="9"/>
      <c r="S1598" s="10">
        <f t="shared" si="440"/>
        <v>550</v>
      </c>
    </row>
    <row r="1599" spans="2:19" outlineLevel="1">
      <c r="B1599" s="13" t="s">
        <v>112</v>
      </c>
      <c r="C1599" s="7" t="str">
        <f t="shared" si="439"/>
        <v>CAMINHÃO ESPARGIDOR BOB 13180 PL HYJ 6B05</v>
      </c>
      <c r="D1599" s="8">
        <f>D1531</f>
        <v>46102</v>
      </c>
      <c r="E1599" s="15"/>
      <c r="F1599" s="15"/>
      <c r="G1599" s="15">
        <f t="shared" si="442"/>
        <v>0</v>
      </c>
      <c r="H1599" s="16" t="s">
        <v>244</v>
      </c>
      <c r="I1599" s="10">
        <f t="shared" si="441"/>
        <v>550</v>
      </c>
      <c r="J1599" s="16" t="s">
        <v>16</v>
      </c>
      <c r="K1599" s="15"/>
      <c r="L1599" s="15"/>
      <c r="M1599" s="17"/>
      <c r="N1599" s="8"/>
      <c r="O1599" s="18">
        <f t="shared" si="443"/>
        <v>0</v>
      </c>
      <c r="P1599" s="9"/>
      <c r="Q1599" s="9"/>
      <c r="R1599" s="9"/>
      <c r="S1599" s="10">
        <f t="shared" si="440"/>
        <v>550</v>
      </c>
    </row>
    <row r="1600" spans="2:19" outlineLevel="1">
      <c r="B1600" s="13" t="s">
        <v>112</v>
      </c>
      <c r="C1600" s="7" t="str">
        <f t="shared" si="439"/>
        <v>CAMINHÃO ESPARGIDOR BOB 13180 PL HYJ 6B05</v>
      </c>
      <c r="D1600" s="8">
        <f>D1532</f>
        <v>46103</v>
      </c>
      <c r="E1600" s="15"/>
      <c r="F1600" s="15"/>
      <c r="G1600" s="15">
        <f t="shared" si="442"/>
        <v>0</v>
      </c>
      <c r="H1600" s="16" t="s">
        <v>244</v>
      </c>
      <c r="I1600" s="10">
        <f t="shared" si="441"/>
        <v>550</v>
      </c>
      <c r="J1600" s="16" t="s">
        <v>16</v>
      </c>
      <c r="K1600" s="15"/>
      <c r="L1600" s="15"/>
      <c r="M1600" s="17"/>
      <c r="N1600" s="8"/>
      <c r="O1600" s="18">
        <f t="shared" si="443"/>
        <v>0</v>
      </c>
      <c r="P1600" s="9"/>
      <c r="Q1600" s="9"/>
      <c r="R1600" s="9"/>
      <c r="S1600" s="10">
        <f t="shared" si="440"/>
        <v>550</v>
      </c>
    </row>
    <row r="1601" spans="2:20" outlineLevel="1">
      <c r="B1601" s="13" t="s">
        <v>112</v>
      </c>
      <c r="C1601" s="7" t="str">
        <f t="shared" si="439"/>
        <v>CAMINHÃO ESPARGIDOR BOB 13180 PL HYJ 6B05</v>
      </c>
      <c r="D1601" s="8">
        <f>D1533</f>
        <v>46104</v>
      </c>
      <c r="E1601" s="15"/>
      <c r="F1601" s="15"/>
      <c r="G1601" s="15">
        <f t="shared" si="442"/>
        <v>0</v>
      </c>
      <c r="H1601" s="16" t="s">
        <v>244</v>
      </c>
      <c r="I1601" s="10">
        <f t="shared" si="441"/>
        <v>550</v>
      </c>
      <c r="J1601" s="16" t="s">
        <v>16</v>
      </c>
      <c r="K1601" s="15"/>
      <c r="L1601" s="15"/>
      <c r="M1601" s="17"/>
      <c r="N1601" s="8"/>
      <c r="O1601" s="18">
        <f t="shared" si="443"/>
        <v>0</v>
      </c>
      <c r="P1601" s="9"/>
      <c r="Q1601" s="9"/>
      <c r="R1601" s="9"/>
      <c r="S1601" s="10">
        <f t="shared" si="440"/>
        <v>550</v>
      </c>
    </row>
    <row r="1602" spans="2:20" outlineLevel="1">
      <c r="B1602" s="13" t="s">
        <v>112</v>
      </c>
      <c r="C1602" s="7" t="str">
        <f t="shared" si="439"/>
        <v>CAMINHÃO ESPARGIDOR BOB 13180 PL HYJ 6B05</v>
      </c>
      <c r="D1602" s="8">
        <f>D1534</f>
        <v>46105</v>
      </c>
      <c r="E1602" s="15"/>
      <c r="F1602" s="15"/>
      <c r="G1602" s="15">
        <f t="shared" si="442"/>
        <v>0</v>
      </c>
      <c r="H1602" s="16" t="s">
        <v>244</v>
      </c>
      <c r="I1602" s="10">
        <f t="shared" si="441"/>
        <v>550</v>
      </c>
      <c r="J1602" s="16" t="s">
        <v>16</v>
      </c>
      <c r="K1602" s="15"/>
      <c r="L1602" s="15"/>
      <c r="M1602" s="17"/>
      <c r="N1602" s="8"/>
      <c r="O1602" s="18">
        <f t="shared" si="443"/>
        <v>0</v>
      </c>
      <c r="P1602" s="9"/>
      <c r="Q1602" s="9"/>
      <c r="R1602" s="9"/>
      <c r="S1602" s="10">
        <f t="shared" si="440"/>
        <v>550</v>
      </c>
    </row>
    <row r="1603" spans="2:20" outlineLevel="1">
      <c r="B1603" s="13" t="s">
        <v>112</v>
      </c>
      <c r="C1603" s="7" t="str">
        <f t="shared" si="439"/>
        <v>CAMINHÃO ESPARGIDOR BOB 13180 PL HYJ 6B05</v>
      </c>
      <c r="D1603" s="8">
        <f>D1535</f>
        <v>46106</v>
      </c>
      <c r="E1603" s="15"/>
      <c r="F1603" s="15"/>
      <c r="G1603" s="15">
        <f t="shared" si="442"/>
        <v>0</v>
      </c>
      <c r="H1603" s="16" t="s">
        <v>244</v>
      </c>
      <c r="I1603" s="10">
        <f t="shared" si="441"/>
        <v>550</v>
      </c>
      <c r="J1603" s="16" t="s">
        <v>16</v>
      </c>
      <c r="K1603" s="15"/>
      <c r="L1603" s="15"/>
      <c r="M1603" s="17"/>
      <c r="N1603" s="8"/>
      <c r="O1603" s="18">
        <f t="shared" si="443"/>
        <v>0</v>
      </c>
      <c r="P1603" s="9"/>
      <c r="Q1603" s="9"/>
      <c r="R1603" s="9"/>
      <c r="S1603" s="10">
        <f t="shared" si="440"/>
        <v>550</v>
      </c>
    </row>
    <row r="1604" spans="2:20" outlineLevel="1">
      <c r="B1604" s="13" t="s">
        <v>112</v>
      </c>
      <c r="C1604" s="7" t="str">
        <f t="shared" si="439"/>
        <v>CAMINHÃO ESPARGIDOR BOB 13180 PL HYJ 6B05</v>
      </c>
      <c r="D1604" s="8">
        <f>D1536</f>
        <v>46107</v>
      </c>
      <c r="E1604" s="15"/>
      <c r="F1604" s="15"/>
      <c r="G1604" s="15">
        <f t="shared" si="442"/>
        <v>0</v>
      </c>
      <c r="H1604" s="16" t="s">
        <v>244</v>
      </c>
      <c r="I1604" s="10">
        <f t="shared" si="441"/>
        <v>550</v>
      </c>
      <c r="J1604" s="16" t="s">
        <v>16</v>
      </c>
      <c r="K1604" s="15"/>
      <c r="L1604" s="15"/>
      <c r="M1604" s="17"/>
      <c r="N1604" s="8"/>
      <c r="O1604" s="18">
        <f t="shared" si="443"/>
        <v>0</v>
      </c>
      <c r="P1604" s="9"/>
      <c r="Q1604" s="9"/>
      <c r="R1604" s="9"/>
      <c r="S1604" s="10">
        <f t="shared" si="440"/>
        <v>550</v>
      </c>
    </row>
    <row r="1605" spans="2:20" outlineLevel="1">
      <c r="B1605" s="13" t="s">
        <v>112</v>
      </c>
      <c r="C1605" s="7" t="str">
        <f t="shared" si="439"/>
        <v>CAMINHÃO ESPARGIDOR BOB 13180 PL HYJ 6B05</v>
      </c>
      <c r="D1605" s="8">
        <f>D1537</f>
        <v>46108</v>
      </c>
      <c r="E1605" s="15"/>
      <c r="F1605" s="15"/>
      <c r="G1605" s="15">
        <f t="shared" si="442"/>
        <v>0</v>
      </c>
      <c r="H1605" s="16" t="s">
        <v>244</v>
      </c>
      <c r="I1605" s="10">
        <f t="shared" si="441"/>
        <v>550</v>
      </c>
      <c r="J1605" s="16" t="s">
        <v>16</v>
      </c>
      <c r="K1605" s="15"/>
      <c r="L1605" s="15"/>
      <c r="M1605" s="17"/>
      <c r="N1605" s="8"/>
      <c r="O1605" s="18">
        <f t="shared" si="443"/>
        <v>0</v>
      </c>
      <c r="P1605" s="9"/>
      <c r="Q1605" s="9"/>
      <c r="R1605" s="9"/>
      <c r="S1605" s="10">
        <f t="shared" si="440"/>
        <v>550</v>
      </c>
    </row>
    <row r="1606" spans="2:20" outlineLevel="1">
      <c r="B1606" s="13" t="s">
        <v>112</v>
      </c>
      <c r="C1606" s="7" t="str">
        <f t="shared" si="439"/>
        <v>CAMINHÃO ESPARGIDOR BOB 13180 PL HYJ 6B05</v>
      </c>
      <c r="D1606" s="8">
        <f t="shared" ref="D1606" si="444">D1538</f>
        <v>46109</v>
      </c>
      <c r="E1606" s="15"/>
      <c r="F1606" s="15"/>
      <c r="G1606" s="15">
        <f t="shared" ref="G1606:G1608" si="445">F1606-E1606</f>
        <v>0</v>
      </c>
      <c r="H1606" s="16" t="s">
        <v>244</v>
      </c>
      <c r="I1606" s="10">
        <f>I1602</f>
        <v>550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46">SUM(R1606+Q1606+I1606)</f>
        <v>550</v>
      </c>
    </row>
    <row r="1607" spans="2:20" outlineLevel="1">
      <c r="B1607" s="13" t="s">
        <v>112</v>
      </c>
      <c r="C1607" s="7" t="str">
        <f t="shared" si="439"/>
        <v>CAMINHÃO ESPARGIDOR BOB 13180 PL HYJ 6B05</v>
      </c>
      <c r="D1607" s="8">
        <f t="shared" ref="D1607:D1609" si="447">D1539</f>
        <v>46110</v>
      </c>
      <c r="E1607" s="15"/>
      <c r="F1607" s="15"/>
      <c r="G1607" s="15">
        <f t="shared" si="445"/>
        <v>0</v>
      </c>
      <c r="H1607" s="16" t="s">
        <v>244</v>
      </c>
      <c r="I1607" s="10">
        <f>I1603</f>
        <v>550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46"/>
        <v>550</v>
      </c>
    </row>
    <row r="1608" spans="2:20" outlineLevel="1">
      <c r="B1608" s="13" t="s">
        <v>112</v>
      </c>
      <c r="C1608" s="7" t="str">
        <f t="shared" si="439"/>
        <v>CAMINHÃO ESPARGIDOR BOB 13180 PL HYJ 6B05</v>
      </c>
      <c r="D1608" s="8">
        <f t="shared" si="447"/>
        <v>46111</v>
      </c>
      <c r="E1608" s="15"/>
      <c r="F1608" s="15"/>
      <c r="G1608" s="15">
        <f t="shared" si="445"/>
        <v>0</v>
      </c>
      <c r="H1608" s="16" t="s">
        <v>244</v>
      </c>
      <c r="I1608" s="10">
        <f>I1604</f>
        <v>550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46"/>
        <v>550</v>
      </c>
    </row>
    <row r="1609" spans="2:20" outlineLevel="1">
      <c r="B1609" s="13" t="s">
        <v>112</v>
      </c>
      <c r="C1609" s="7" t="str">
        <f t="shared" si="439"/>
        <v>CAMINHÃO ESPARGIDOR BOB 13180 PL HYJ 6B05</v>
      </c>
      <c r="D1609" s="8">
        <f t="shared" si="447"/>
        <v>46112</v>
      </c>
      <c r="E1609" s="15"/>
      <c r="F1609" s="15"/>
      <c r="G1609" s="15">
        <f t="shared" si="442"/>
        <v>0</v>
      </c>
      <c r="H1609" s="16" t="s">
        <v>244</v>
      </c>
      <c r="I1609" s="10">
        <f>I1605</f>
        <v>550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40"/>
        <v>550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5" t="str">
        <f>M$1</f>
        <v>BM JANEIRO 2026</v>
      </c>
      <c r="N1611" s="135"/>
      <c r="O1611" s="135"/>
      <c r="P1611" s="19" t="s">
        <v>10</v>
      </c>
      <c r="Q1611" s="136" t="s">
        <v>239</v>
      </c>
      <c r="R1611" s="136"/>
      <c r="S1611" s="136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outlineLevel="1">
      <c r="B1613" s="11" t="s">
        <v>114</v>
      </c>
      <c r="C1613" s="7" t="str">
        <f>C$1611</f>
        <v>TRATOR AGRICULA NOVO CHASSIS  HCCZTT75ANCN52121</v>
      </c>
      <c r="D1613" s="8">
        <f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514.28571428571433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O1613/28</f>
        <v>514.28571428571433</v>
      </c>
      <c r="Q1613" s="9"/>
      <c r="R1613" s="9"/>
      <c r="S1613" s="10">
        <f>SUM(R1613+Q1613+I1613)</f>
        <v>514.28571428571433</v>
      </c>
    </row>
    <row r="1614" spans="2:20" outlineLevel="1">
      <c r="B1614" s="12" t="s">
        <v>0</v>
      </c>
      <c r="C1614" s="7" t="str">
        <f t="shared" ref="C1614:C1643" si="448">C$1611</f>
        <v>TRATOR AGRICULA NOVO CHASSIS  HCCZTT75ANCN52121</v>
      </c>
      <c r="D1614" s="8">
        <f>D1546</f>
        <v>46083</v>
      </c>
      <c r="E1614" s="15"/>
      <c r="F1614" s="15"/>
      <c r="G1614" s="15">
        <f t="shared" ref="G1614:G1643" si="449">F1614-E1614</f>
        <v>0</v>
      </c>
      <c r="H1614" s="16" t="s">
        <v>6</v>
      </c>
      <c r="I1614" s="10">
        <f>I1613</f>
        <v>514.28571428571433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50">SUM(R1614+Q1614+I1614)</f>
        <v>514.28571428571433</v>
      </c>
    </row>
    <row r="1615" spans="2:20" outlineLevel="1">
      <c r="B1615" s="13" t="s">
        <v>114</v>
      </c>
      <c r="C1615" s="7" t="str">
        <f t="shared" si="448"/>
        <v>TRATOR AGRICULA NOVO CHASSIS  HCCZTT75ANCN52121</v>
      </c>
      <c r="D1615" s="8">
        <f>D1547</f>
        <v>46084</v>
      </c>
      <c r="E1615" s="15"/>
      <c r="F1615" s="15"/>
      <c r="G1615" s="15">
        <f t="shared" si="449"/>
        <v>0</v>
      </c>
      <c r="H1615" s="16" t="s">
        <v>6</v>
      </c>
      <c r="I1615" s="10">
        <f t="shared" ref="I1615:I1639" si="451">I1614</f>
        <v>514.28571428571433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50"/>
        <v>514.28571428571433</v>
      </c>
    </row>
    <row r="1616" spans="2:20" outlineLevel="1">
      <c r="B1616" s="13" t="s">
        <v>114</v>
      </c>
      <c r="C1616" s="7" t="str">
        <f t="shared" si="448"/>
        <v>TRATOR AGRICULA NOVO CHASSIS  HCCZTT75ANCN52121</v>
      </c>
      <c r="D1616" s="8">
        <f>D1548</f>
        <v>46085</v>
      </c>
      <c r="E1616" s="15"/>
      <c r="F1616" s="15"/>
      <c r="G1616" s="15">
        <f t="shared" si="449"/>
        <v>0</v>
      </c>
      <c r="H1616" s="16" t="s">
        <v>6</v>
      </c>
      <c r="I1616" s="10">
        <f t="shared" si="451"/>
        <v>514.28571428571433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50"/>
        <v>514.28571428571433</v>
      </c>
    </row>
    <row r="1617" spans="2:19" outlineLevel="1">
      <c r="B1617" s="13" t="s">
        <v>114</v>
      </c>
      <c r="C1617" s="7" t="str">
        <f t="shared" si="448"/>
        <v>TRATOR AGRICULA NOVO CHASSIS  HCCZTT75ANCN52121</v>
      </c>
      <c r="D1617" s="8">
        <f>D1549</f>
        <v>46086</v>
      </c>
      <c r="E1617" s="15"/>
      <c r="F1617" s="15"/>
      <c r="G1617" s="15">
        <f t="shared" si="449"/>
        <v>0</v>
      </c>
      <c r="H1617" s="16" t="s">
        <v>6</v>
      </c>
      <c r="I1617" s="10">
        <f t="shared" si="451"/>
        <v>514.28571428571433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50"/>
        <v>514.28571428571433</v>
      </c>
    </row>
    <row r="1618" spans="2:19" outlineLevel="1">
      <c r="B1618" s="13" t="s">
        <v>114</v>
      </c>
      <c r="C1618" s="7" t="str">
        <f t="shared" si="448"/>
        <v>TRATOR AGRICULA NOVO CHASSIS  HCCZTT75ANCN52121</v>
      </c>
      <c r="D1618" s="8">
        <f>D1550</f>
        <v>46087</v>
      </c>
      <c r="E1618" s="15"/>
      <c r="F1618" s="15"/>
      <c r="G1618" s="15">
        <f t="shared" si="449"/>
        <v>0</v>
      </c>
      <c r="H1618" s="16" t="s">
        <v>6</v>
      </c>
      <c r="I1618" s="10">
        <f t="shared" si="451"/>
        <v>514.28571428571433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50"/>
        <v>514.28571428571433</v>
      </c>
    </row>
    <row r="1619" spans="2:19" outlineLevel="1">
      <c r="B1619" s="13" t="s">
        <v>114</v>
      </c>
      <c r="C1619" s="7" t="str">
        <f t="shared" si="448"/>
        <v>TRATOR AGRICULA NOVO CHASSIS  HCCZTT75ANCN52121</v>
      </c>
      <c r="D1619" s="8">
        <f>D1551</f>
        <v>46088</v>
      </c>
      <c r="E1619" s="15"/>
      <c r="F1619" s="15"/>
      <c r="G1619" s="15">
        <f t="shared" si="449"/>
        <v>0</v>
      </c>
      <c r="H1619" s="16" t="s">
        <v>6</v>
      </c>
      <c r="I1619" s="10">
        <f t="shared" si="451"/>
        <v>514.28571428571433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50"/>
        <v>514.28571428571433</v>
      </c>
    </row>
    <row r="1620" spans="2:19" outlineLevel="1">
      <c r="B1620" s="13" t="s">
        <v>114</v>
      </c>
      <c r="C1620" s="7" t="str">
        <f t="shared" si="448"/>
        <v>TRATOR AGRICULA NOVO CHASSIS  HCCZTT75ANCN52121</v>
      </c>
      <c r="D1620" s="8">
        <f>D1552</f>
        <v>46089</v>
      </c>
      <c r="E1620" s="15"/>
      <c r="F1620" s="15"/>
      <c r="G1620" s="15">
        <f t="shared" si="449"/>
        <v>0</v>
      </c>
      <c r="H1620" s="16" t="s">
        <v>6</v>
      </c>
      <c r="I1620" s="10">
        <f t="shared" si="451"/>
        <v>514.28571428571433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50"/>
        <v>514.28571428571433</v>
      </c>
    </row>
    <row r="1621" spans="2:19" outlineLevel="1">
      <c r="B1621" s="13" t="s">
        <v>114</v>
      </c>
      <c r="C1621" s="7" t="str">
        <f t="shared" si="448"/>
        <v>TRATOR AGRICULA NOVO CHASSIS  HCCZTT75ANCN52121</v>
      </c>
      <c r="D1621" s="8">
        <f>D1553</f>
        <v>46090</v>
      </c>
      <c r="E1621" s="15"/>
      <c r="F1621" s="15"/>
      <c r="G1621" s="15">
        <f t="shared" si="449"/>
        <v>0</v>
      </c>
      <c r="H1621" s="16" t="s">
        <v>6</v>
      </c>
      <c r="I1621" s="10">
        <f t="shared" si="451"/>
        <v>514.28571428571433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50"/>
        <v>514.28571428571433</v>
      </c>
    </row>
    <row r="1622" spans="2:19" outlineLevel="1">
      <c r="B1622" s="13" t="s">
        <v>114</v>
      </c>
      <c r="C1622" s="7" t="str">
        <f t="shared" si="448"/>
        <v>TRATOR AGRICULA NOVO CHASSIS  HCCZTT75ANCN52121</v>
      </c>
      <c r="D1622" s="8">
        <f>D1554</f>
        <v>46091</v>
      </c>
      <c r="E1622" s="15"/>
      <c r="F1622" s="15"/>
      <c r="G1622" s="15">
        <f t="shared" si="449"/>
        <v>0</v>
      </c>
      <c r="H1622" s="16" t="s">
        <v>6</v>
      </c>
      <c r="I1622" s="10">
        <f t="shared" si="451"/>
        <v>514.28571428571433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50"/>
        <v>514.28571428571433</v>
      </c>
    </row>
    <row r="1623" spans="2:19" outlineLevel="1">
      <c r="B1623" s="13" t="s">
        <v>114</v>
      </c>
      <c r="C1623" s="7" t="str">
        <f t="shared" si="448"/>
        <v>TRATOR AGRICULA NOVO CHASSIS  HCCZTT75ANCN52121</v>
      </c>
      <c r="D1623" s="8">
        <f>D1555</f>
        <v>46092</v>
      </c>
      <c r="E1623" s="15"/>
      <c r="F1623" s="15"/>
      <c r="G1623" s="15">
        <f t="shared" si="449"/>
        <v>0</v>
      </c>
      <c r="H1623" s="16" t="s">
        <v>6</v>
      </c>
      <c r="I1623" s="10">
        <f t="shared" si="451"/>
        <v>514.28571428571433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50"/>
        <v>514.28571428571433</v>
      </c>
    </row>
    <row r="1624" spans="2:19" outlineLevel="1">
      <c r="B1624" s="13" t="s">
        <v>114</v>
      </c>
      <c r="C1624" s="7" t="str">
        <f t="shared" si="448"/>
        <v>TRATOR AGRICULA NOVO CHASSIS  HCCZTT75ANCN52121</v>
      </c>
      <c r="D1624" s="8">
        <f>D1556</f>
        <v>46093</v>
      </c>
      <c r="E1624" s="15"/>
      <c r="F1624" s="15"/>
      <c r="G1624" s="15">
        <f t="shared" si="449"/>
        <v>0</v>
      </c>
      <c r="H1624" s="16" t="s">
        <v>6</v>
      </c>
      <c r="I1624" s="10">
        <f t="shared" si="451"/>
        <v>514.28571428571433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50"/>
        <v>514.28571428571433</v>
      </c>
    </row>
    <row r="1625" spans="2:19" outlineLevel="1">
      <c r="B1625" s="13" t="s">
        <v>114</v>
      </c>
      <c r="C1625" s="7" t="str">
        <f t="shared" si="448"/>
        <v>TRATOR AGRICULA NOVO CHASSIS  HCCZTT75ANCN52121</v>
      </c>
      <c r="D1625" s="8">
        <f>D1557</f>
        <v>46094</v>
      </c>
      <c r="E1625" s="15"/>
      <c r="F1625" s="15"/>
      <c r="G1625" s="15">
        <f t="shared" si="449"/>
        <v>0</v>
      </c>
      <c r="H1625" s="16" t="s">
        <v>6</v>
      </c>
      <c r="I1625" s="10">
        <f t="shared" si="451"/>
        <v>514.28571428571433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50"/>
        <v>514.28571428571433</v>
      </c>
    </row>
    <row r="1626" spans="2:19" outlineLevel="1">
      <c r="B1626" s="13" t="s">
        <v>114</v>
      </c>
      <c r="C1626" s="7" t="str">
        <f t="shared" si="448"/>
        <v>TRATOR AGRICULA NOVO CHASSIS  HCCZTT75ANCN52121</v>
      </c>
      <c r="D1626" s="8">
        <f>D1558</f>
        <v>46095</v>
      </c>
      <c r="E1626" s="15"/>
      <c r="F1626" s="15"/>
      <c r="G1626" s="15">
        <f t="shared" si="449"/>
        <v>0</v>
      </c>
      <c r="H1626" s="16" t="s">
        <v>6</v>
      </c>
      <c r="I1626" s="10">
        <f t="shared" si="451"/>
        <v>514.28571428571433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50"/>
        <v>514.28571428571433</v>
      </c>
    </row>
    <row r="1627" spans="2:19" outlineLevel="1">
      <c r="B1627" s="13" t="s">
        <v>114</v>
      </c>
      <c r="C1627" s="7" t="str">
        <f t="shared" si="448"/>
        <v>TRATOR AGRICULA NOVO CHASSIS  HCCZTT75ANCN52121</v>
      </c>
      <c r="D1627" s="8">
        <f>D1559</f>
        <v>46096</v>
      </c>
      <c r="E1627" s="15"/>
      <c r="F1627" s="15"/>
      <c r="G1627" s="15">
        <f t="shared" si="449"/>
        <v>0</v>
      </c>
      <c r="H1627" s="16" t="s">
        <v>6</v>
      </c>
      <c r="I1627" s="10">
        <f t="shared" si="451"/>
        <v>514.28571428571433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50"/>
        <v>514.28571428571433</v>
      </c>
    </row>
    <row r="1628" spans="2:19" outlineLevel="1">
      <c r="B1628" s="13" t="s">
        <v>114</v>
      </c>
      <c r="C1628" s="7" t="str">
        <f t="shared" si="448"/>
        <v>TRATOR AGRICULA NOVO CHASSIS  HCCZTT75ANCN52121</v>
      </c>
      <c r="D1628" s="8">
        <f>D1560</f>
        <v>46097</v>
      </c>
      <c r="E1628" s="15"/>
      <c r="F1628" s="15"/>
      <c r="G1628" s="15">
        <f t="shared" si="449"/>
        <v>0</v>
      </c>
      <c r="H1628" s="16" t="s">
        <v>6</v>
      </c>
      <c r="I1628" s="10">
        <f t="shared" si="451"/>
        <v>514.28571428571433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50"/>
        <v>514.28571428571433</v>
      </c>
    </row>
    <row r="1629" spans="2:19" outlineLevel="1">
      <c r="B1629" s="13" t="s">
        <v>114</v>
      </c>
      <c r="C1629" s="7" t="str">
        <f t="shared" si="448"/>
        <v>TRATOR AGRICULA NOVO CHASSIS  HCCZTT75ANCN52121</v>
      </c>
      <c r="D1629" s="8">
        <f>D1561</f>
        <v>46098</v>
      </c>
      <c r="E1629" s="15"/>
      <c r="F1629" s="15"/>
      <c r="G1629" s="15">
        <f t="shared" si="449"/>
        <v>0</v>
      </c>
      <c r="H1629" s="16" t="s">
        <v>6</v>
      </c>
      <c r="I1629" s="10">
        <f t="shared" si="451"/>
        <v>514.28571428571433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50"/>
        <v>514.28571428571433</v>
      </c>
    </row>
    <row r="1630" spans="2:19" outlineLevel="1">
      <c r="B1630" s="13" t="s">
        <v>114</v>
      </c>
      <c r="C1630" s="7" t="str">
        <f t="shared" si="448"/>
        <v>TRATOR AGRICULA NOVO CHASSIS  HCCZTT75ANCN52121</v>
      </c>
      <c r="D1630" s="8">
        <f>D1562</f>
        <v>46099</v>
      </c>
      <c r="E1630" s="15"/>
      <c r="F1630" s="15"/>
      <c r="G1630" s="15">
        <f t="shared" si="449"/>
        <v>0</v>
      </c>
      <c r="H1630" s="16" t="s">
        <v>6</v>
      </c>
      <c r="I1630" s="10">
        <f t="shared" si="451"/>
        <v>514.28571428571433</v>
      </c>
      <c r="J1630" s="16" t="s">
        <v>201</v>
      </c>
      <c r="K1630" s="15"/>
      <c r="L1630" s="15"/>
      <c r="M1630" s="17"/>
      <c r="N1630" s="9"/>
      <c r="O1630" s="18">
        <f t="shared" ref="O1630:O1639" si="452">O1629</f>
        <v>0</v>
      </c>
      <c r="P1630" s="9"/>
      <c r="Q1630" s="9"/>
      <c r="R1630" s="9"/>
      <c r="S1630" s="10">
        <f t="shared" si="450"/>
        <v>514.28571428571433</v>
      </c>
    </row>
    <row r="1631" spans="2:19" outlineLevel="1">
      <c r="B1631" s="13" t="s">
        <v>114</v>
      </c>
      <c r="C1631" s="7" t="str">
        <f t="shared" si="448"/>
        <v>TRATOR AGRICULA NOVO CHASSIS  HCCZTT75ANCN52121</v>
      </c>
      <c r="D1631" s="8">
        <f>D1563</f>
        <v>46100</v>
      </c>
      <c r="E1631" s="15"/>
      <c r="F1631" s="15"/>
      <c r="G1631" s="15">
        <f t="shared" si="449"/>
        <v>0</v>
      </c>
      <c r="H1631" s="16" t="s">
        <v>6</v>
      </c>
      <c r="I1631" s="10">
        <f t="shared" si="451"/>
        <v>514.28571428571433</v>
      </c>
      <c r="J1631" s="16" t="s">
        <v>201</v>
      </c>
      <c r="K1631" s="15"/>
      <c r="L1631" s="15"/>
      <c r="M1631" s="17"/>
      <c r="N1631" s="9"/>
      <c r="O1631" s="18">
        <f t="shared" si="452"/>
        <v>0</v>
      </c>
      <c r="P1631" s="9"/>
      <c r="Q1631" s="9"/>
      <c r="R1631" s="9"/>
      <c r="S1631" s="10">
        <f t="shared" si="450"/>
        <v>514.28571428571433</v>
      </c>
    </row>
    <row r="1632" spans="2:19" outlineLevel="1">
      <c r="B1632" s="13" t="s">
        <v>114</v>
      </c>
      <c r="C1632" s="7" t="str">
        <f t="shared" si="448"/>
        <v>TRATOR AGRICULA NOVO CHASSIS  HCCZTT75ANCN52121</v>
      </c>
      <c r="D1632" s="8">
        <f>D1564</f>
        <v>46101</v>
      </c>
      <c r="E1632" s="15"/>
      <c r="F1632" s="15"/>
      <c r="G1632" s="15">
        <f t="shared" si="449"/>
        <v>0</v>
      </c>
      <c r="H1632" s="16" t="s">
        <v>6</v>
      </c>
      <c r="I1632" s="10">
        <f t="shared" si="451"/>
        <v>514.28571428571433</v>
      </c>
      <c r="J1632" s="16" t="s">
        <v>201</v>
      </c>
      <c r="K1632" s="15"/>
      <c r="L1632" s="15"/>
      <c r="M1632" s="17"/>
      <c r="N1632" s="9"/>
      <c r="O1632" s="18">
        <f t="shared" si="452"/>
        <v>0</v>
      </c>
      <c r="P1632" s="9"/>
      <c r="Q1632" s="9"/>
      <c r="R1632" s="9"/>
      <c r="S1632" s="10">
        <f t="shared" si="450"/>
        <v>514.28571428571433</v>
      </c>
    </row>
    <row r="1633" spans="2:19" outlineLevel="1">
      <c r="B1633" s="13" t="s">
        <v>114</v>
      </c>
      <c r="C1633" s="7" t="str">
        <f t="shared" si="448"/>
        <v>TRATOR AGRICULA NOVO CHASSIS  HCCZTT75ANCN52121</v>
      </c>
      <c r="D1633" s="8">
        <f>D1565</f>
        <v>46102</v>
      </c>
      <c r="E1633" s="15"/>
      <c r="F1633" s="15"/>
      <c r="G1633" s="15">
        <f t="shared" si="449"/>
        <v>0</v>
      </c>
      <c r="H1633" s="16" t="s">
        <v>6</v>
      </c>
      <c r="I1633" s="10">
        <f t="shared" si="451"/>
        <v>514.28571428571433</v>
      </c>
      <c r="J1633" s="16" t="s">
        <v>201</v>
      </c>
      <c r="K1633" s="15"/>
      <c r="L1633" s="15"/>
      <c r="M1633" s="17"/>
      <c r="N1633" s="9"/>
      <c r="O1633" s="18">
        <f t="shared" si="452"/>
        <v>0</v>
      </c>
      <c r="P1633" s="9"/>
      <c r="Q1633" s="9"/>
      <c r="R1633" s="9"/>
      <c r="S1633" s="10">
        <f t="shared" si="450"/>
        <v>514.28571428571433</v>
      </c>
    </row>
    <row r="1634" spans="2:19" outlineLevel="1">
      <c r="B1634" s="13" t="s">
        <v>114</v>
      </c>
      <c r="C1634" s="7" t="str">
        <f t="shared" si="448"/>
        <v>TRATOR AGRICULA NOVO CHASSIS  HCCZTT75ANCN52121</v>
      </c>
      <c r="D1634" s="8">
        <f>D1566</f>
        <v>46103</v>
      </c>
      <c r="E1634" s="15"/>
      <c r="F1634" s="15"/>
      <c r="G1634" s="15">
        <f t="shared" si="449"/>
        <v>0</v>
      </c>
      <c r="H1634" s="16" t="s">
        <v>6</v>
      </c>
      <c r="I1634" s="10">
        <f t="shared" si="451"/>
        <v>514.28571428571433</v>
      </c>
      <c r="J1634" s="16" t="s">
        <v>201</v>
      </c>
      <c r="K1634" s="15"/>
      <c r="L1634" s="15"/>
      <c r="M1634" s="17"/>
      <c r="N1634" s="9"/>
      <c r="O1634" s="18">
        <f t="shared" si="452"/>
        <v>0</v>
      </c>
      <c r="P1634" s="9"/>
      <c r="Q1634" s="9"/>
      <c r="R1634" s="9"/>
      <c r="S1634" s="10">
        <f t="shared" si="450"/>
        <v>514.28571428571433</v>
      </c>
    </row>
    <row r="1635" spans="2:19" outlineLevel="1">
      <c r="B1635" s="13" t="s">
        <v>114</v>
      </c>
      <c r="C1635" s="7" t="str">
        <f t="shared" si="448"/>
        <v>TRATOR AGRICULA NOVO CHASSIS  HCCZTT75ANCN52121</v>
      </c>
      <c r="D1635" s="8">
        <f>D1567</f>
        <v>46104</v>
      </c>
      <c r="E1635" s="15"/>
      <c r="F1635" s="15"/>
      <c r="G1635" s="15">
        <f t="shared" si="449"/>
        <v>0</v>
      </c>
      <c r="H1635" s="16" t="s">
        <v>6</v>
      </c>
      <c r="I1635" s="10">
        <f t="shared" si="451"/>
        <v>514.28571428571433</v>
      </c>
      <c r="J1635" s="16" t="s">
        <v>201</v>
      </c>
      <c r="K1635" s="15"/>
      <c r="L1635" s="15"/>
      <c r="M1635" s="17"/>
      <c r="N1635" s="9"/>
      <c r="O1635" s="18">
        <f t="shared" si="452"/>
        <v>0</v>
      </c>
      <c r="P1635" s="9"/>
      <c r="Q1635" s="9"/>
      <c r="R1635" s="9"/>
      <c r="S1635" s="10">
        <f t="shared" si="450"/>
        <v>514.28571428571433</v>
      </c>
    </row>
    <row r="1636" spans="2:19" outlineLevel="1">
      <c r="B1636" s="13" t="s">
        <v>114</v>
      </c>
      <c r="C1636" s="7" t="str">
        <f t="shared" si="448"/>
        <v>TRATOR AGRICULA NOVO CHASSIS  HCCZTT75ANCN52121</v>
      </c>
      <c r="D1636" s="8">
        <f>D1568</f>
        <v>46105</v>
      </c>
      <c r="E1636" s="15"/>
      <c r="F1636" s="15"/>
      <c r="G1636" s="15">
        <f t="shared" si="449"/>
        <v>0</v>
      </c>
      <c r="H1636" s="16" t="s">
        <v>6</v>
      </c>
      <c r="I1636" s="10">
        <f t="shared" si="451"/>
        <v>514.28571428571433</v>
      </c>
      <c r="J1636" s="16" t="s">
        <v>201</v>
      </c>
      <c r="K1636" s="15"/>
      <c r="L1636" s="15"/>
      <c r="M1636" s="17"/>
      <c r="N1636" s="9"/>
      <c r="O1636" s="18">
        <f t="shared" si="452"/>
        <v>0</v>
      </c>
      <c r="P1636" s="9"/>
      <c r="Q1636" s="9"/>
      <c r="R1636" s="9"/>
      <c r="S1636" s="10">
        <f t="shared" si="450"/>
        <v>514.28571428571433</v>
      </c>
    </row>
    <row r="1637" spans="2:19" outlineLevel="1">
      <c r="B1637" s="13" t="s">
        <v>114</v>
      </c>
      <c r="C1637" s="7" t="str">
        <f t="shared" si="448"/>
        <v>TRATOR AGRICULA NOVO CHASSIS  HCCZTT75ANCN52121</v>
      </c>
      <c r="D1637" s="8">
        <f>D1569</f>
        <v>46106</v>
      </c>
      <c r="E1637" s="15"/>
      <c r="F1637" s="15"/>
      <c r="G1637" s="15">
        <f t="shared" si="449"/>
        <v>0</v>
      </c>
      <c r="H1637" s="16" t="s">
        <v>6</v>
      </c>
      <c r="I1637" s="10">
        <f t="shared" si="451"/>
        <v>514.28571428571433</v>
      </c>
      <c r="J1637" s="16" t="s">
        <v>201</v>
      </c>
      <c r="K1637" s="15"/>
      <c r="L1637" s="15"/>
      <c r="M1637" s="17"/>
      <c r="N1637" s="9"/>
      <c r="O1637" s="18">
        <f t="shared" si="452"/>
        <v>0</v>
      </c>
      <c r="P1637" s="9"/>
      <c r="Q1637" s="9"/>
      <c r="R1637" s="9"/>
      <c r="S1637" s="10">
        <f t="shared" si="450"/>
        <v>514.28571428571433</v>
      </c>
    </row>
    <row r="1638" spans="2:19" outlineLevel="1">
      <c r="B1638" s="13" t="s">
        <v>114</v>
      </c>
      <c r="C1638" s="7" t="str">
        <f t="shared" si="448"/>
        <v>TRATOR AGRICULA NOVO CHASSIS  HCCZTT75ANCN52121</v>
      </c>
      <c r="D1638" s="8">
        <f>D1570</f>
        <v>46107</v>
      </c>
      <c r="E1638" s="15"/>
      <c r="F1638" s="15"/>
      <c r="G1638" s="15">
        <f t="shared" si="449"/>
        <v>0</v>
      </c>
      <c r="H1638" s="16" t="s">
        <v>6</v>
      </c>
      <c r="I1638" s="10">
        <f t="shared" si="451"/>
        <v>514.28571428571433</v>
      </c>
      <c r="J1638" s="16" t="s">
        <v>201</v>
      </c>
      <c r="K1638" s="15"/>
      <c r="L1638" s="15"/>
      <c r="M1638" s="17"/>
      <c r="N1638" s="9"/>
      <c r="O1638" s="18">
        <f t="shared" si="452"/>
        <v>0</v>
      </c>
      <c r="P1638" s="9"/>
      <c r="Q1638" s="9"/>
      <c r="R1638" s="9"/>
      <c r="S1638" s="10">
        <f t="shared" si="450"/>
        <v>514.28571428571433</v>
      </c>
    </row>
    <row r="1639" spans="2:19" outlineLevel="1">
      <c r="B1639" s="13" t="s">
        <v>114</v>
      </c>
      <c r="C1639" s="7" t="str">
        <f t="shared" si="448"/>
        <v>TRATOR AGRICULA NOVO CHASSIS  HCCZTT75ANCN52121</v>
      </c>
      <c r="D1639" s="8">
        <f>D1571</f>
        <v>46108</v>
      </c>
      <c r="E1639" s="15"/>
      <c r="F1639" s="15"/>
      <c r="G1639" s="15">
        <f t="shared" si="449"/>
        <v>0</v>
      </c>
      <c r="H1639" s="16" t="s">
        <v>6</v>
      </c>
      <c r="I1639" s="10">
        <f t="shared" si="451"/>
        <v>514.28571428571433</v>
      </c>
      <c r="J1639" s="16" t="s">
        <v>201</v>
      </c>
      <c r="K1639" s="15"/>
      <c r="L1639" s="15"/>
      <c r="M1639" s="17"/>
      <c r="N1639" s="9"/>
      <c r="O1639" s="18">
        <f t="shared" si="452"/>
        <v>0</v>
      </c>
      <c r="P1639" s="9"/>
      <c r="Q1639" s="9"/>
      <c r="R1639" s="9"/>
      <c r="S1639" s="10">
        <f t="shared" si="450"/>
        <v>514.28571428571433</v>
      </c>
    </row>
    <row r="1640" spans="2:19" outlineLevel="1">
      <c r="B1640" s="13" t="s">
        <v>114</v>
      </c>
      <c r="C1640" s="7" t="str">
        <f t="shared" si="448"/>
        <v>TRATOR AGRICULA NOVO CHASSIS  HCCZTT75ANCN52121</v>
      </c>
      <c r="D1640" s="8">
        <f t="shared" ref="D1640" si="453">D1572</f>
        <v>46109</v>
      </c>
      <c r="E1640" s="15"/>
      <c r="F1640" s="15"/>
      <c r="G1640" s="15">
        <f t="shared" ref="G1640:G1642" si="454">F1640-E1640</f>
        <v>0</v>
      </c>
      <c r="H1640" s="16" t="s">
        <v>6</v>
      </c>
      <c r="I1640" s="10">
        <f>I1636</f>
        <v>514.28571428571433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55">SUM(R1640+Q1640+I1640)</f>
        <v>514.28571428571433</v>
      </c>
    </row>
    <row r="1641" spans="2:19" outlineLevel="1">
      <c r="B1641" s="13" t="s">
        <v>114</v>
      </c>
      <c r="C1641" s="7" t="str">
        <f t="shared" si="448"/>
        <v>TRATOR AGRICULA NOVO CHASSIS  HCCZTT75ANCN52121</v>
      </c>
      <c r="D1641" s="8">
        <f t="shared" ref="D1641:D1643" si="456">D1573</f>
        <v>46110</v>
      </c>
      <c r="E1641" s="15"/>
      <c r="F1641" s="15"/>
      <c r="G1641" s="15">
        <f t="shared" si="454"/>
        <v>0</v>
      </c>
      <c r="H1641" s="16" t="s">
        <v>6</v>
      </c>
      <c r="I1641" s="10">
        <f>I1637</f>
        <v>514.28571428571433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55"/>
        <v>514.28571428571433</v>
      </c>
    </row>
    <row r="1642" spans="2:19" outlineLevel="1">
      <c r="B1642" s="13" t="s">
        <v>114</v>
      </c>
      <c r="C1642" s="7" t="str">
        <f t="shared" si="448"/>
        <v>TRATOR AGRICULA NOVO CHASSIS  HCCZTT75ANCN52121</v>
      </c>
      <c r="D1642" s="8">
        <f t="shared" si="456"/>
        <v>46111</v>
      </c>
      <c r="E1642" s="15"/>
      <c r="F1642" s="15"/>
      <c r="G1642" s="15">
        <f t="shared" si="454"/>
        <v>0</v>
      </c>
      <c r="H1642" s="16" t="s">
        <v>6</v>
      </c>
      <c r="I1642" s="10">
        <f>I1638</f>
        <v>514.28571428571433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55"/>
        <v>514.28571428571433</v>
      </c>
    </row>
    <row r="1643" spans="2:19" outlineLevel="1">
      <c r="B1643" s="13" t="s">
        <v>114</v>
      </c>
      <c r="C1643" s="7" t="str">
        <f t="shared" si="448"/>
        <v>TRATOR AGRICULA NOVO CHASSIS  HCCZTT75ANCN52121</v>
      </c>
      <c r="D1643" s="8">
        <f t="shared" si="456"/>
        <v>46112</v>
      </c>
      <c r="E1643" s="15"/>
      <c r="F1643" s="15"/>
      <c r="G1643" s="15">
        <f t="shared" si="449"/>
        <v>0</v>
      </c>
      <c r="H1643" s="16" t="s">
        <v>6</v>
      </c>
      <c r="I1643" s="10">
        <f>I1639</f>
        <v>514.28571428571433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50"/>
        <v>514.28571428571433</v>
      </c>
    </row>
    <row r="1644" spans="2:19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5" t="str">
        <f>M$1</f>
        <v>BM JANEIRO 2026</v>
      </c>
      <c r="N1645" s="135"/>
      <c r="O1645" s="135"/>
      <c r="P1645" s="19" t="s">
        <v>10</v>
      </c>
      <c r="Q1645" s="136" t="s">
        <v>212</v>
      </c>
      <c r="R1645" s="136"/>
      <c r="S1645" s="136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outlineLevel="1">
      <c r="B1647" s="11" t="s">
        <v>116</v>
      </c>
      <c r="C1647" s="7" t="str">
        <f>C$1645</f>
        <v>TRATOR AGRICULA NOVO CHASSIS HCCZTT75VNCN52084</v>
      </c>
      <c r="D1647" s="8">
        <f>D1579</f>
        <v>46082</v>
      </c>
      <c r="E1647" s="15"/>
      <c r="F1647" s="15"/>
      <c r="G1647" s="15">
        <f t="shared" ref="G1647:G1650" si="457">F1647-E1647</f>
        <v>0</v>
      </c>
      <c r="H1647" s="16" t="s">
        <v>251</v>
      </c>
      <c r="I1647" s="10">
        <f>P1647</f>
        <v>514.28571428571433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O1647/28</f>
        <v>514.28571428571433</v>
      </c>
      <c r="Q1647" s="9"/>
      <c r="R1647" s="9"/>
      <c r="S1647" s="10">
        <f>SUM(R1647+Q1647+I1647)</f>
        <v>514.28571428571433</v>
      </c>
    </row>
    <row r="1648" spans="2:19" outlineLevel="1">
      <c r="B1648" s="12" t="s">
        <v>0</v>
      </c>
      <c r="C1648" s="7" t="str">
        <f t="shared" ref="C1648:C1677" si="458">C$1645</f>
        <v>TRATOR AGRICULA NOVO CHASSIS HCCZTT75VNCN52084</v>
      </c>
      <c r="D1648" s="8">
        <f>D1580</f>
        <v>46083</v>
      </c>
      <c r="E1648" s="15"/>
      <c r="F1648" s="15"/>
      <c r="G1648" s="15">
        <f t="shared" si="457"/>
        <v>0</v>
      </c>
      <c r="H1648" s="16" t="s">
        <v>251</v>
      </c>
      <c r="I1648" s="10">
        <f>I1647</f>
        <v>514.28571428571433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59">SUM(R1648+Q1648+I1648)</f>
        <v>514.28571428571433</v>
      </c>
    </row>
    <row r="1649" spans="1:19" outlineLevel="1">
      <c r="B1649" s="13" t="s">
        <v>116</v>
      </c>
      <c r="C1649" s="7" t="str">
        <f t="shared" si="458"/>
        <v>TRATOR AGRICULA NOVO CHASSIS HCCZTT75VNCN52084</v>
      </c>
      <c r="D1649" s="8">
        <f>D1581</f>
        <v>46084</v>
      </c>
      <c r="E1649" s="15"/>
      <c r="F1649" s="15"/>
      <c r="G1649" s="15">
        <f t="shared" si="457"/>
        <v>0</v>
      </c>
      <c r="H1649" s="16" t="s">
        <v>251</v>
      </c>
      <c r="I1649" s="10">
        <f t="shared" ref="I1649:I1673" si="460">I1648</f>
        <v>514.28571428571433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59"/>
        <v>514.28571428571433</v>
      </c>
    </row>
    <row r="1650" spans="1:19" outlineLevel="1">
      <c r="B1650" s="13" t="s">
        <v>116</v>
      </c>
      <c r="C1650" s="7" t="str">
        <f t="shared" si="458"/>
        <v>TRATOR AGRICULA NOVO CHASSIS HCCZTT75VNCN52084</v>
      </c>
      <c r="D1650" s="8">
        <f>D1582</f>
        <v>46085</v>
      </c>
      <c r="E1650" s="15"/>
      <c r="F1650" s="15"/>
      <c r="G1650" s="15">
        <f t="shared" si="457"/>
        <v>0</v>
      </c>
      <c r="H1650" s="16" t="s">
        <v>251</v>
      </c>
      <c r="I1650" s="10">
        <f t="shared" si="460"/>
        <v>514.28571428571433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59"/>
        <v>514.28571428571433</v>
      </c>
    </row>
    <row r="1651" spans="1:19" outlineLevel="1">
      <c r="B1651" s="13" t="s">
        <v>116</v>
      </c>
      <c r="C1651" s="7" t="str">
        <f t="shared" si="458"/>
        <v>TRATOR AGRICULA NOVO CHASSIS HCCZTT75VNCN52084</v>
      </c>
      <c r="D1651" s="8">
        <f>D1583</f>
        <v>46086</v>
      </c>
      <c r="E1651" s="15"/>
      <c r="F1651" s="15"/>
      <c r="G1651" s="15">
        <f t="shared" ref="G1651:G1677" si="461">F1651-E1651</f>
        <v>0</v>
      </c>
      <c r="H1651" s="16" t="s">
        <v>251</v>
      </c>
      <c r="I1651" s="10">
        <f t="shared" si="460"/>
        <v>514.28571428571433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59"/>
        <v>514.28571428571433</v>
      </c>
    </row>
    <row r="1652" spans="1:19" outlineLevel="1">
      <c r="B1652" s="13" t="s">
        <v>116</v>
      </c>
      <c r="C1652" s="7" t="str">
        <f t="shared" si="458"/>
        <v>TRATOR AGRICULA NOVO CHASSIS HCCZTT75VNCN52084</v>
      </c>
      <c r="D1652" s="8">
        <f>D1584</f>
        <v>46087</v>
      </c>
      <c r="E1652" s="15"/>
      <c r="F1652" s="15"/>
      <c r="G1652" s="15">
        <f t="shared" si="461"/>
        <v>0</v>
      </c>
      <c r="H1652" s="16" t="s">
        <v>251</v>
      </c>
      <c r="I1652" s="10">
        <f t="shared" si="460"/>
        <v>514.28571428571433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59"/>
        <v>514.28571428571433</v>
      </c>
    </row>
    <row r="1653" spans="1:19" outlineLevel="1">
      <c r="B1653" s="13" t="s">
        <v>116</v>
      </c>
      <c r="C1653" s="7" t="str">
        <f t="shared" si="458"/>
        <v>TRATOR AGRICULA NOVO CHASSIS HCCZTT75VNCN52084</v>
      </c>
      <c r="D1653" s="8">
        <f>D1585</f>
        <v>46088</v>
      </c>
      <c r="E1653" s="15"/>
      <c r="F1653" s="15"/>
      <c r="G1653" s="15">
        <f t="shared" si="461"/>
        <v>0</v>
      </c>
      <c r="H1653" s="16" t="s">
        <v>251</v>
      </c>
      <c r="I1653" s="10">
        <f t="shared" si="460"/>
        <v>514.28571428571433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59"/>
        <v>514.28571428571433</v>
      </c>
    </row>
    <row r="1654" spans="1:19" outlineLevel="1">
      <c r="B1654" s="13" t="s">
        <v>116</v>
      </c>
      <c r="C1654" s="7" t="str">
        <f t="shared" si="458"/>
        <v>TRATOR AGRICULA NOVO CHASSIS HCCZTT75VNCN52084</v>
      </c>
      <c r="D1654" s="8">
        <f>D1586</f>
        <v>46089</v>
      </c>
      <c r="E1654" s="15"/>
      <c r="F1654" s="15"/>
      <c r="G1654" s="15">
        <f t="shared" si="461"/>
        <v>0</v>
      </c>
      <c r="H1654" s="16" t="s">
        <v>251</v>
      </c>
      <c r="I1654" s="10">
        <f t="shared" si="460"/>
        <v>514.28571428571433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59"/>
        <v>514.28571428571433</v>
      </c>
    </row>
    <row r="1655" spans="1:19" outlineLevel="1">
      <c r="B1655" s="13" t="s">
        <v>116</v>
      </c>
      <c r="C1655" s="7" t="str">
        <f t="shared" si="458"/>
        <v>TRATOR AGRICULA NOVO CHASSIS HCCZTT75VNCN52084</v>
      </c>
      <c r="D1655" s="8">
        <f>D1587</f>
        <v>46090</v>
      </c>
      <c r="E1655" s="15"/>
      <c r="F1655" s="15"/>
      <c r="G1655" s="15">
        <f t="shared" si="461"/>
        <v>0</v>
      </c>
      <c r="H1655" s="16" t="s">
        <v>251</v>
      </c>
      <c r="I1655" s="10">
        <f t="shared" si="460"/>
        <v>514.28571428571433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59"/>
        <v>514.28571428571433</v>
      </c>
    </row>
    <row r="1656" spans="1:19" outlineLevel="1">
      <c r="B1656" s="13" t="s">
        <v>116</v>
      </c>
      <c r="C1656" s="7" t="str">
        <f t="shared" si="458"/>
        <v>TRATOR AGRICULA NOVO CHASSIS HCCZTT75VNCN52084</v>
      </c>
      <c r="D1656" s="8">
        <f>D1588</f>
        <v>46091</v>
      </c>
      <c r="E1656" s="15"/>
      <c r="F1656" s="15"/>
      <c r="G1656" s="15">
        <f t="shared" si="461"/>
        <v>0</v>
      </c>
      <c r="H1656" s="16" t="s">
        <v>251</v>
      </c>
      <c r="I1656" s="10">
        <f t="shared" si="460"/>
        <v>514.28571428571433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59"/>
        <v>514.28571428571433</v>
      </c>
    </row>
    <row r="1657" spans="1:19" outlineLevel="1">
      <c r="B1657" s="13" t="s">
        <v>116</v>
      </c>
      <c r="C1657" s="7" t="str">
        <f t="shared" si="458"/>
        <v>TRATOR AGRICULA NOVO CHASSIS HCCZTT75VNCN52084</v>
      </c>
      <c r="D1657" s="8">
        <f>D1589</f>
        <v>46092</v>
      </c>
      <c r="E1657" s="15"/>
      <c r="F1657" s="15"/>
      <c r="G1657" s="15">
        <f t="shared" si="461"/>
        <v>0</v>
      </c>
      <c r="H1657" s="16" t="s">
        <v>251</v>
      </c>
      <c r="I1657" s="10">
        <f t="shared" si="460"/>
        <v>514.28571428571433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59"/>
        <v>514.28571428571433</v>
      </c>
    </row>
    <row r="1658" spans="1:19" s="126" customFormat="1" outlineLevel="1">
      <c r="B1658" s="13" t="s">
        <v>116</v>
      </c>
      <c r="C1658" s="124" t="str">
        <f t="shared" si="458"/>
        <v>TRATOR AGRICULA NOVO CHASSIS HCCZTT75VNCN52084</v>
      </c>
      <c r="D1658" s="114">
        <f>D1590</f>
        <v>46093</v>
      </c>
      <c r="E1658" s="116">
        <v>2903</v>
      </c>
      <c r="F1658" s="116">
        <v>2908</v>
      </c>
      <c r="G1658" s="116">
        <f t="shared" si="461"/>
        <v>5</v>
      </c>
      <c r="H1658" s="124" t="s">
        <v>251</v>
      </c>
      <c r="I1658" s="117">
        <f t="shared" si="460"/>
        <v>514.28571428571433</v>
      </c>
      <c r="J1658" s="124"/>
      <c r="K1658" s="116">
        <v>1</v>
      </c>
      <c r="L1658" s="116"/>
      <c r="M1658" s="114"/>
      <c r="N1658" s="116"/>
      <c r="O1658" s="125">
        <f t="shared" ref="O1658:O1673" si="462">O1657</f>
        <v>0</v>
      </c>
      <c r="P1658" s="116"/>
      <c r="Q1658" s="116"/>
      <c r="R1658" s="116"/>
      <c r="S1658" s="117">
        <f t="shared" si="459"/>
        <v>514.28571428571433</v>
      </c>
    </row>
    <row r="1659" spans="1:19" outlineLevel="1">
      <c r="B1659" s="13" t="s">
        <v>116</v>
      </c>
      <c r="C1659" s="7" t="str">
        <f t="shared" si="458"/>
        <v>TRATOR AGRICULA NOVO CHASSIS HCCZTT75VNCN52084</v>
      </c>
      <c r="D1659" s="8">
        <f>D1591</f>
        <v>46094</v>
      </c>
      <c r="E1659" s="15"/>
      <c r="F1659" s="15"/>
      <c r="G1659" s="15">
        <f t="shared" si="461"/>
        <v>0</v>
      </c>
      <c r="H1659" s="16" t="s">
        <v>251</v>
      </c>
      <c r="I1659" s="10">
        <f t="shared" si="460"/>
        <v>514.28571428571433</v>
      </c>
      <c r="J1659" s="16" t="s">
        <v>16</v>
      </c>
      <c r="K1659" s="15"/>
      <c r="L1659" s="15"/>
      <c r="M1659" s="17"/>
      <c r="N1659" s="9"/>
      <c r="O1659" s="18">
        <f t="shared" si="462"/>
        <v>0</v>
      </c>
      <c r="P1659" s="9"/>
      <c r="Q1659" s="9"/>
      <c r="R1659" s="9"/>
      <c r="S1659" s="10">
        <f t="shared" si="459"/>
        <v>514.28571428571433</v>
      </c>
    </row>
    <row r="1660" spans="1:19" outlineLevel="1">
      <c r="B1660" s="115" t="s">
        <v>116</v>
      </c>
      <c r="C1660" s="7" t="str">
        <f t="shared" si="458"/>
        <v>TRATOR AGRICULA NOVO CHASSIS HCCZTT75VNCN52084</v>
      </c>
      <c r="D1660" s="8">
        <f>D1592</f>
        <v>46095</v>
      </c>
      <c r="E1660" s="15"/>
      <c r="F1660" s="15"/>
      <c r="G1660" s="15">
        <f t="shared" si="461"/>
        <v>0</v>
      </c>
      <c r="H1660" s="16" t="s">
        <v>251</v>
      </c>
      <c r="I1660" s="10">
        <f t="shared" si="460"/>
        <v>514.28571428571433</v>
      </c>
      <c r="J1660" s="16" t="s">
        <v>16</v>
      </c>
      <c r="K1660" s="15"/>
      <c r="L1660" s="15"/>
      <c r="M1660" s="17"/>
      <c r="N1660" s="9"/>
      <c r="O1660" s="18">
        <f t="shared" si="462"/>
        <v>0</v>
      </c>
      <c r="P1660" s="9"/>
      <c r="Q1660" s="9"/>
      <c r="R1660" s="9"/>
      <c r="S1660" s="10">
        <f t="shared" si="459"/>
        <v>514.28571428571433</v>
      </c>
    </row>
    <row r="1661" spans="1:19" outlineLevel="1">
      <c r="B1661" s="13" t="s">
        <v>116</v>
      </c>
      <c r="C1661" s="7" t="str">
        <f t="shared" si="458"/>
        <v>TRATOR AGRICULA NOVO CHASSIS HCCZTT75VNCN52084</v>
      </c>
      <c r="D1661" s="8">
        <f>D1593</f>
        <v>46096</v>
      </c>
      <c r="E1661" s="15"/>
      <c r="F1661" s="15"/>
      <c r="G1661" s="15">
        <f t="shared" si="461"/>
        <v>0</v>
      </c>
      <c r="H1661" s="16" t="s">
        <v>251</v>
      </c>
      <c r="I1661" s="10">
        <f t="shared" si="460"/>
        <v>514.28571428571433</v>
      </c>
      <c r="J1661" s="16" t="s">
        <v>16</v>
      </c>
      <c r="K1661" s="15"/>
      <c r="L1661" s="15"/>
      <c r="M1661" s="17"/>
      <c r="N1661" s="9"/>
      <c r="O1661" s="18">
        <f t="shared" si="462"/>
        <v>0</v>
      </c>
      <c r="P1661" s="9"/>
      <c r="Q1661" s="9"/>
      <c r="R1661" s="9"/>
      <c r="S1661" s="10">
        <f t="shared" si="459"/>
        <v>514.28571428571433</v>
      </c>
    </row>
    <row r="1662" spans="1:19" outlineLevel="1">
      <c r="B1662" s="13" t="s">
        <v>116</v>
      </c>
      <c r="C1662" s="7" t="str">
        <f t="shared" si="458"/>
        <v>TRATOR AGRICULA NOVO CHASSIS HCCZTT75VNCN52084</v>
      </c>
      <c r="D1662" s="8">
        <f>D1594</f>
        <v>46097</v>
      </c>
      <c r="E1662" s="15"/>
      <c r="F1662" s="15"/>
      <c r="G1662" s="15">
        <f t="shared" si="461"/>
        <v>0</v>
      </c>
      <c r="H1662" s="16" t="s">
        <v>251</v>
      </c>
      <c r="I1662" s="10">
        <f t="shared" si="460"/>
        <v>514.28571428571433</v>
      </c>
      <c r="J1662" s="16" t="s">
        <v>16</v>
      </c>
      <c r="K1662" s="15"/>
      <c r="L1662" s="15"/>
      <c r="M1662" s="17"/>
      <c r="N1662" s="9"/>
      <c r="O1662" s="18">
        <f t="shared" si="462"/>
        <v>0</v>
      </c>
      <c r="P1662" s="9"/>
      <c r="Q1662" s="9"/>
      <c r="R1662" s="9"/>
      <c r="S1662" s="10">
        <f t="shared" si="459"/>
        <v>514.28571428571433</v>
      </c>
    </row>
    <row r="1663" spans="1:19" outlineLevel="1">
      <c r="B1663" s="13" t="s">
        <v>116</v>
      </c>
      <c r="C1663" s="7" t="str">
        <f t="shared" si="458"/>
        <v>TRATOR AGRICULA NOVO CHASSIS HCCZTT75VNCN52084</v>
      </c>
      <c r="D1663" s="8">
        <f>D1595</f>
        <v>46098</v>
      </c>
      <c r="E1663" s="15"/>
      <c r="F1663" s="15"/>
      <c r="G1663" s="15">
        <f t="shared" si="461"/>
        <v>0</v>
      </c>
      <c r="H1663" s="16" t="s">
        <v>251</v>
      </c>
      <c r="I1663" s="10">
        <f t="shared" si="460"/>
        <v>514.28571428571433</v>
      </c>
      <c r="J1663" s="16" t="s">
        <v>16</v>
      </c>
      <c r="K1663" s="15"/>
      <c r="L1663" s="15"/>
      <c r="M1663" s="17"/>
      <c r="N1663" s="9"/>
      <c r="O1663" s="18">
        <f t="shared" si="462"/>
        <v>0</v>
      </c>
      <c r="P1663" s="9"/>
      <c r="Q1663" s="9"/>
      <c r="R1663" s="9"/>
      <c r="S1663" s="10">
        <f t="shared" si="459"/>
        <v>514.28571428571433</v>
      </c>
    </row>
    <row r="1664" spans="1:19" outlineLevel="1">
      <c r="B1664" s="13" t="s">
        <v>116</v>
      </c>
      <c r="C1664" s="7" t="str">
        <f t="shared" si="458"/>
        <v>TRATOR AGRICULA NOVO CHASSIS HCCZTT75VNCN52084</v>
      </c>
      <c r="D1664" s="8">
        <f>D1596</f>
        <v>46099</v>
      </c>
      <c r="E1664" s="15"/>
      <c r="F1664" s="15"/>
      <c r="G1664" s="15">
        <f t="shared" si="461"/>
        <v>0</v>
      </c>
      <c r="H1664" s="16" t="s">
        <v>251</v>
      </c>
      <c r="I1664" s="10">
        <f t="shared" si="460"/>
        <v>514.28571428571433</v>
      </c>
      <c r="J1664" s="16" t="s">
        <v>16</v>
      </c>
      <c r="K1664" s="15"/>
      <c r="L1664" s="15"/>
      <c r="M1664" s="17"/>
      <c r="N1664" s="9"/>
      <c r="O1664" s="18">
        <f t="shared" si="462"/>
        <v>0</v>
      </c>
      <c r="P1664" s="9"/>
      <c r="Q1664" s="9"/>
      <c r="R1664" s="9"/>
      <c r="S1664" s="10">
        <f t="shared" si="459"/>
        <v>514.28571428571433</v>
      </c>
    </row>
    <row r="1665" spans="2:19" outlineLevel="1">
      <c r="B1665" s="13" t="s">
        <v>116</v>
      </c>
      <c r="C1665" s="7" t="str">
        <f t="shared" si="458"/>
        <v>TRATOR AGRICULA NOVO CHASSIS HCCZTT75VNCN52084</v>
      </c>
      <c r="D1665" s="8">
        <f>D1597</f>
        <v>46100</v>
      </c>
      <c r="E1665" s="15"/>
      <c r="F1665" s="15"/>
      <c r="G1665" s="15">
        <f t="shared" si="461"/>
        <v>0</v>
      </c>
      <c r="H1665" s="16" t="s">
        <v>251</v>
      </c>
      <c r="I1665" s="10">
        <f t="shared" si="460"/>
        <v>514.28571428571433</v>
      </c>
      <c r="J1665" s="16" t="s">
        <v>16</v>
      </c>
      <c r="K1665" s="15"/>
      <c r="L1665" s="15"/>
      <c r="M1665" s="17"/>
      <c r="N1665" s="9"/>
      <c r="O1665" s="18">
        <f t="shared" si="462"/>
        <v>0</v>
      </c>
      <c r="P1665" s="9"/>
      <c r="Q1665" s="9"/>
      <c r="R1665" s="9"/>
      <c r="S1665" s="10">
        <f t="shared" si="459"/>
        <v>514.28571428571433</v>
      </c>
    </row>
    <row r="1666" spans="2:19" outlineLevel="1">
      <c r="B1666" s="13" t="s">
        <v>116</v>
      </c>
      <c r="C1666" s="7" t="str">
        <f t="shared" si="458"/>
        <v>TRATOR AGRICULA NOVO CHASSIS HCCZTT75VNCN52084</v>
      </c>
      <c r="D1666" s="8">
        <f>D1598</f>
        <v>46101</v>
      </c>
      <c r="E1666" s="15"/>
      <c r="F1666" s="15"/>
      <c r="G1666" s="15">
        <f t="shared" si="461"/>
        <v>0</v>
      </c>
      <c r="H1666" s="16" t="s">
        <v>251</v>
      </c>
      <c r="I1666" s="10">
        <f t="shared" si="460"/>
        <v>514.28571428571433</v>
      </c>
      <c r="J1666" s="16" t="s">
        <v>16</v>
      </c>
      <c r="K1666" s="15"/>
      <c r="L1666" s="15"/>
      <c r="M1666" s="17"/>
      <c r="N1666" s="8"/>
      <c r="O1666" s="18">
        <f t="shared" si="462"/>
        <v>0</v>
      </c>
      <c r="P1666" s="9"/>
      <c r="Q1666" s="9"/>
      <c r="R1666" s="9"/>
      <c r="S1666" s="10">
        <f t="shared" si="459"/>
        <v>514.28571428571433</v>
      </c>
    </row>
    <row r="1667" spans="2:19" outlineLevel="1">
      <c r="B1667" s="13" t="s">
        <v>116</v>
      </c>
      <c r="C1667" s="7" t="str">
        <f t="shared" si="458"/>
        <v>TRATOR AGRICULA NOVO CHASSIS HCCZTT75VNCN52084</v>
      </c>
      <c r="D1667" s="8">
        <f>D1599</f>
        <v>46102</v>
      </c>
      <c r="E1667" s="15"/>
      <c r="F1667" s="15"/>
      <c r="G1667" s="15">
        <f t="shared" si="461"/>
        <v>0</v>
      </c>
      <c r="H1667" s="16" t="s">
        <v>251</v>
      </c>
      <c r="I1667" s="10">
        <f t="shared" si="460"/>
        <v>514.28571428571433</v>
      </c>
      <c r="J1667" s="16" t="s">
        <v>16</v>
      </c>
      <c r="K1667" s="15"/>
      <c r="L1667" s="15"/>
      <c r="M1667" s="17"/>
      <c r="N1667" s="8"/>
      <c r="O1667" s="18">
        <f t="shared" si="462"/>
        <v>0</v>
      </c>
      <c r="P1667" s="9"/>
      <c r="Q1667" s="9"/>
      <c r="R1667" s="9"/>
      <c r="S1667" s="10">
        <f t="shared" si="459"/>
        <v>514.28571428571433</v>
      </c>
    </row>
    <row r="1668" spans="2:19" outlineLevel="1">
      <c r="B1668" s="13" t="s">
        <v>116</v>
      </c>
      <c r="C1668" s="7" t="str">
        <f t="shared" si="458"/>
        <v>TRATOR AGRICULA NOVO CHASSIS HCCZTT75VNCN52084</v>
      </c>
      <c r="D1668" s="8">
        <f>D1600</f>
        <v>46103</v>
      </c>
      <c r="E1668" s="15"/>
      <c r="F1668" s="15"/>
      <c r="G1668" s="15">
        <f t="shared" si="461"/>
        <v>0</v>
      </c>
      <c r="H1668" s="16" t="s">
        <v>251</v>
      </c>
      <c r="I1668" s="10">
        <f t="shared" si="460"/>
        <v>514.28571428571433</v>
      </c>
      <c r="J1668" s="16" t="s">
        <v>16</v>
      </c>
      <c r="K1668" s="15"/>
      <c r="L1668" s="15"/>
      <c r="M1668" s="17"/>
      <c r="N1668" s="8"/>
      <c r="O1668" s="18">
        <f t="shared" si="462"/>
        <v>0</v>
      </c>
      <c r="P1668" s="9"/>
      <c r="Q1668" s="9"/>
      <c r="R1668" s="9"/>
      <c r="S1668" s="10">
        <f t="shared" si="459"/>
        <v>514.28571428571433</v>
      </c>
    </row>
    <row r="1669" spans="2:19" outlineLevel="1">
      <c r="B1669" s="13" t="s">
        <v>116</v>
      </c>
      <c r="C1669" s="7" t="str">
        <f t="shared" si="458"/>
        <v>TRATOR AGRICULA NOVO CHASSIS HCCZTT75VNCN52084</v>
      </c>
      <c r="D1669" s="8">
        <f>D1601</f>
        <v>46104</v>
      </c>
      <c r="E1669" s="15"/>
      <c r="F1669" s="15"/>
      <c r="G1669" s="15">
        <f t="shared" si="461"/>
        <v>0</v>
      </c>
      <c r="H1669" s="16" t="s">
        <v>251</v>
      </c>
      <c r="I1669" s="10">
        <f t="shared" si="460"/>
        <v>514.28571428571433</v>
      </c>
      <c r="J1669" s="16" t="s">
        <v>16</v>
      </c>
      <c r="K1669" s="15"/>
      <c r="L1669" s="15"/>
      <c r="M1669" s="17"/>
      <c r="N1669" s="8"/>
      <c r="O1669" s="18">
        <f t="shared" si="462"/>
        <v>0</v>
      </c>
      <c r="P1669" s="9"/>
      <c r="Q1669" s="9"/>
      <c r="R1669" s="9"/>
      <c r="S1669" s="10">
        <f t="shared" si="459"/>
        <v>514.28571428571433</v>
      </c>
    </row>
    <row r="1670" spans="2:19" outlineLevel="1">
      <c r="B1670" s="13" t="s">
        <v>116</v>
      </c>
      <c r="C1670" s="7" t="str">
        <f t="shared" si="458"/>
        <v>TRATOR AGRICULA NOVO CHASSIS HCCZTT75VNCN52084</v>
      </c>
      <c r="D1670" s="8">
        <f>D1602</f>
        <v>46105</v>
      </c>
      <c r="E1670" s="15"/>
      <c r="F1670" s="15"/>
      <c r="G1670" s="15">
        <f t="shared" si="461"/>
        <v>0</v>
      </c>
      <c r="H1670" s="16" t="s">
        <v>251</v>
      </c>
      <c r="I1670" s="10">
        <f t="shared" si="460"/>
        <v>514.28571428571433</v>
      </c>
      <c r="J1670" s="16" t="s">
        <v>16</v>
      </c>
      <c r="K1670" s="15"/>
      <c r="L1670" s="15"/>
      <c r="M1670" s="17"/>
      <c r="N1670" s="8"/>
      <c r="O1670" s="18">
        <f t="shared" si="462"/>
        <v>0</v>
      </c>
      <c r="P1670" s="9"/>
      <c r="Q1670" s="9"/>
      <c r="R1670" s="9"/>
      <c r="S1670" s="10">
        <f t="shared" si="459"/>
        <v>514.28571428571433</v>
      </c>
    </row>
    <row r="1671" spans="2:19" outlineLevel="1">
      <c r="B1671" s="13" t="s">
        <v>116</v>
      </c>
      <c r="C1671" s="7" t="str">
        <f t="shared" si="458"/>
        <v>TRATOR AGRICULA NOVO CHASSIS HCCZTT75VNCN52084</v>
      </c>
      <c r="D1671" s="8">
        <f>D1603</f>
        <v>46106</v>
      </c>
      <c r="E1671" s="15"/>
      <c r="F1671" s="15"/>
      <c r="G1671" s="15">
        <f t="shared" si="461"/>
        <v>0</v>
      </c>
      <c r="H1671" s="16" t="s">
        <v>251</v>
      </c>
      <c r="I1671" s="10">
        <f t="shared" si="460"/>
        <v>514.28571428571433</v>
      </c>
      <c r="J1671" s="16" t="s">
        <v>16</v>
      </c>
      <c r="K1671" s="15"/>
      <c r="L1671" s="15"/>
      <c r="M1671" s="17"/>
      <c r="N1671" s="8"/>
      <c r="O1671" s="18">
        <f t="shared" si="462"/>
        <v>0</v>
      </c>
      <c r="P1671" s="9"/>
      <c r="Q1671" s="9"/>
      <c r="R1671" s="9"/>
      <c r="S1671" s="10">
        <f t="shared" si="459"/>
        <v>514.28571428571433</v>
      </c>
    </row>
    <row r="1672" spans="2:19" outlineLevel="1">
      <c r="B1672" s="13" t="s">
        <v>116</v>
      </c>
      <c r="C1672" s="7" t="str">
        <f t="shared" si="458"/>
        <v>TRATOR AGRICULA NOVO CHASSIS HCCZTT75VNCN52084</v>
      </c>
      <c r="D1672" s="8">
        <f>D1604</f>
        <v>46107</v>
      </c>
      <c r="E1672" s="15"/>
      <c r="F1672" s="15"/>
      <c r="G1672" s="15">
        <f t="shared" si="461"/>
        <v>0</v>
      </c>
      <c r="H1672" s="16" t="s">
        <v>251</v>
      </c>
      <c r="I1672" s="10">
        <f t="shared" si="460"/>
        <v>514.28571428571433</v>
      </c>
      <c r="J1672" s="16" t="s">
        <v>16</v>
      </c>
      <c r="K1672" s="15"/>
      <c r="L1672" s="15"/>
      <c r="M1672" s="17"/>
      <c r="N1672" s="8"/>
      <c r="O1672" s="18">
        <f t="shared" si="462"/>
        <v>0</v>
      </c>
      <c r="P1672" s="9"/>
      <c r="Q1672" s="9"/>
      <c r="R1672" s="9"/>
      <c r="S1672" s="10">
        <f t="shared" si="459"/>
        <v>514.28571428571433</v>
      </c>
    </row>
    <row r="1673" spans="2:19" outlineLevel="1">
      <c r="B1673" s="13" t="s">
        <v>116</v>
      </c>
      <c r="C1673" s="7" t="str">
        <f t="shared" si="458"/>
        <v>TRATOR AGRICULA NOVO CHASSIS HCCZTT75VNCN52084</v>
      </c>
      <c r="D1673" s="8">
        <f>D1605</f>
        <v>46108</v>
      </c>
      <c r="E1673" s="15"/>
      <c r="F1673" s="15"/>
      <c r="G1673" s="15">
        <f t="shared" si="461"/>
        <v>0</v>
      </c>
      <c r="H1673" s="16" t="s">
        <v>251</v>
      </c>
      <c r="I1673" s="10">
        <f t="shared" si="460"/>
        <v>514.28571428571433</v>
      </c>
      <c r="J1673" s="16" t="s">
        <v>16</v>
      </c>
      <c r="K1673" s="15"/>
      <c r="L1673" s="15"/>
      <c r="M1673" s="17"/>
      <c r="N1673" s="8"/>
      <c r="O1673" s="18">
        <f t="shared" si="462"/>
        <v>0</v>
      </c>
      <c r="P1673" s="9"/>
      <c r="Q1673" s="9"/>
      <c r="R1673" s="9"/>
      <c r="S1673" s="10">
        <f t="shared" si="459"/>
        <v>514.28571428571433</v>
      </c>
    </row>
    <row r="1674" spans="2:19" outlineLevel="1">
      <c r="B1674" s="13" t="s">
        <v>116</v>
      </c>
      <c r="C1674" s="7" t="str">
        <f t="shared" si="458"/>
        <v>TRATOR AGRICULA NOVO CHASSIS HCCZTT75VNCN52084</v>
      </c>
      <c r="D1674" s="8">
        <f t="shared" ref="D1674" si="463">D1606</f>
        <v>46109</v>
      </c>
      <c r="E1674" s="15"/>
      <c r="F1674" s="15"/>
      <c r="G1674" s="15">
        <f t="shared" ref="G1674:G1676" si="464">F1674-E1674</f>
        <v>0</v>
      </c>
      <c r="H1674" s="16" t="s">
        <v>251</v>
      </c>
      <c r="I1674" s="10">
        <f>I1670</f>
        <v>514.28571428571433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65">SUM(R1674+Q1674+I1674)</f>
        <v>514.28571428571433</v>
      </c>
    </row>
    <row r="1675" spans="2:19" outlineLevel="1">
      <c r="B1675" s="13" t="s">
        <v>116</v>
      </c>
      <c r="C1675" s="7" t="str">
        <f t="shared" si="458"/>
        <v>TRATOR AGRICULA NOVO CHASSIS HCCZTT75VNCN52084</v>
      </c>
      <c r="D1675" s="8">
        <f t="shared" ref="D1675:D1677" si="466">D1607</f>
        <v>46110</v>
      </c>
      <c r="E1675" s="15"/>
      <c r="F1675" s="15"/>
      <c r="G1675" s="15">
        <f t="shared" si="464"/>
        <v>0</v>
      </c>
      <c r="H1675" s="16" t="s">
        <v>251</v>
      </c>
      <c r="I1675" s="10">
        <f>I1671</f>
        <v>514.28571428571433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65"/>
        <v>514.28571428571433</v>
      </c>
    </row>
    <row r="1676" spans="2:19" outlineLevel="1">
      <c r="B1676" s="13" t="s">
        <v>116</v>
      </c>
      <c r="C1676" s="7" t="str">
        <f t="shared" si="458"/>
        <v>TRATOR AGRICULA NOVO CHASSIS HCCZTT75VNCN52084</v>
      </c>
      <c r="D1676" s="8">
        <f t="shared" si="466"/>
        <v>46111</v>
      </c>
      <c r="E1676" s="15"/>
      <c r="F1676" s="15"/>
      <c r="G1676" s="15">
        <f t="shared" si="464"/>
        <v>0</v>
      </c>
      <c r="H1676" s="16" t="s">
        <v>251</v>
      </c>
      <c r="I1676" s="10">
        <f>I1672</f>
        <v>514.28571428571433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65"/>
        <v>514.28571428571433</v>
      </c>
    </row>
    <row r="1677" spans="2:19" outlineLevel="1">
      <c r="B1677" s="13" t="s">
        <v>116</v>
      </c>
      <c r="C1677" s="7" t="str">
        <f t="shared" si="458"/>
        <v>TRATOR AGRICULA NOVO CHASSIS HCCZTT75VNCN52084</v>
      </c>
      <c r="D1677" s="8">
        <f t="shared" si="466"/>
        <v>46112</v>
      </c>
      <c r="E1677" s="15"/>
      <c r="F1677" s="15"/>
      <c r="G1677" s="15">
        <f t="shared" si="461"/>
        <v>0</v>
      </c>
      <c r="H1677" s="16" t="s">
        <v>251</v>
      </c>
      <c r="I1677" s="10">
        <f>I1673</f>
        <v>514.28571428571433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59"/>
        <v>514.28571428571433</v>
      </c>
    </row>
    <row r="1678" spans="2:19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5" t="str">
        <f>M$1</f>
        <v>BM JANEIRO 2026</v>
      </c>
      <c r="N1679" s="135"/>
      <c r="O1679" s="135"/>
      <c r="P1679" s="19" t="s">
        <v>10</v>
      </c>
      <c r="Q1679" s="136"/>
      <c r="R1679" s="136"/>
      <c r="S1679" s="136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68" t="s">
        <v>118</v>
      </c>
      <c r="C1681" s="7" t="str">
        <f>C$1679</f>
        <v>MOTO NIVELADORA CASE ( REPASSE LAURO )</v>
      </c>
      <c r="D1681" s="8">
        <f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outlineLevel="1">
      <c r="B1682" s="12" t="s">
        <v>0</v>
      </c>
      <c r="C1682" s="7" t="str">
        <f t="shared" ref="C1682:C1711" si="467">C$1679</f>
        <v>MOTO NIVELADORA CASE ( REPASSE LAURO )</v>
      </c>
      <c r="D1682" s="8">
        <f>D1614</f>
        <v>46083</v>
      </c>
      <c r="E1682" s="15"/>
      <c r="F1682" s="15"/>
      <c r="G1682" s="15">
        <f t="shared" ref="G1682:G1711" si="468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69">SUM(R1682+Q1682+I1682)</f>
        <v>0</v>
      </c>
    </row>
    <row r="1683" spans="2:19" outlineLevel="1">
      <c r="B1683" s="13" t="s">
        <v>118</v>
      </c>
      <c r="C1683" s="7" t="str">
        <f t="shared" si="467"/>
        <v>MOTO NIVELADORA CASE ( REPASSE LAURO )</v>
      </c>
      <c r="D1683" s="8">
        <f>D1615</f>
        <v>46084</v>
      </c>
      <c r="E1683" s="15"/>
      <c r="F1683" s="15"/>
      <c r="G1683" s="15">
        <f t="shared" si="468"/>
        <v>0</v>
      </c>
      <c r="H1683" s="16" t="s">
        <v>6</v>
      </c>
      <c r="I1683" s="10">
        <f t="shared" ref="I1683:I1707" si="470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69"/>
        <v>0</v>
      </c>
    </row>
    <row r="1684" spans="2:19" outlineLevel="1">
      <c r="B1684" s="13" t="s">
        <v>118</v>
      </c>
      <c r="C1684" s="7" t="str">
        <f t="shared" si="467"/>
        <v>MOTO NIVELADORA CASE ( REPASSE LAURO )</v>
      </c>
      <c r="D1684" s="8">
        <f>D1616</f>
        <v>46085</v>
      </c>
      <c r="E1684" s="15"/>
      <c r="F1684" s="15"/>
      <c r="G1684" s="15">
        <f t="shared" si="468"/>
        <v>0</v>
      </c>
      <c r="H1684" s="16" t="s">
        <v>6</v>
      </c>
      <c r="I1684" s="10">
        <f t="shared" si="470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69"/>
        <v>0</v>
      </c>
    </row>
    <row r="1685" spans="2:19" outlineLevel="1">
      <c r="B1685" s="13" t="s">
        <v>118</v>
      </c>
      <c r="C1685" s="7" t="str">
        <f t="shared" si="467"/>
        <v>MOTO NIVELADORA CASE ( REPASSE LAURO )</v>
      </c>
      <c r="D1685" s="8">
        <f>D1617</f>
        <v>46086</v>
      </c>
      <c r="E1685" s="15"/>
      <c r="F1685" s="15"/>
      <c r="G1685" s="15">
        <f t="shared" si="468"/>
        <v>0</v>
      </c>
      <c r="H1685" s="16" t="s">
        <v>6</v>
      </c>
      <c r="I1685" s="10">
        <f t="shared" si="470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69"/>
        <v>0</v>
      </c>
    </row>
    <row r="1686" spans="2:19" outlineLevel="1">
      <c r="B1686" s="13" t="s">
        <v>118</v>
      </c>
      <c r="C1686" s="7" t="str">
        <f t="shared" si="467"/>
        <v>MOTO NIVELADORA CASE ( REPASSE LAURO )</v>
      </c>
      <c r="D1686" s="8">
        <f>D1618</f>
        <v>46087</v>
      </c>
      <c r="E1686" s="15"/>
      <c r="F1686" s="15"/>
      <c r="G1686" s="15">
        <f t="shared" si="468"/>
        <v>0</v>
      </c>
      <c r="H1686" s="16" t="s">
        <v>6</v>
      </c>
      <c r="I1686" s="10">
        <f t="shared" si="470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69"/>
        <v>0</v>
      </c>
    </row>
    <row r="1687" spans="2:19" outlineLevel="1">
      <c r="B1687" s="13" t="s">
        <v>118</v>
      </c>
      <c r="C1687" s="7" t="str">
        <f t="shared" si="467"/>
        <v>MOTO NIVELADORA CASE ( REPASSE LAURO )</v>
      </c>
      <c r="D1687" s="8">
        <f>D1619</f>
        <v>46088</v>
      </c>
      <c r="E1687" s="15"/>
      <c r="F1687" s="15"/>
      <c r="G1687" s="15">
        <f t="shared" si="468"/>
        <v>0</v>
      </c>
      <c r="H1687" s="16" t="s">
        <v>6</v>
      </c>
      <c r="I1687" s="10">
        <f t="shared" si="470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69"/>
        <v>0</v>
      </c>
    </row>
    <row r="1688" spans="2:19" outlineLevel="1">
      <c r="B1688" s="13" t="s">
        <v>118</v>
      </c>
      <c r="C1688" s="7" t="str">
        <f t="shared" si="467"/>
        <v>MOTO NIVELADORA CASE ( REPASSE LAURO )</v>
      </c>
      <c r="D1688" s="8">
        <f>D1620</f>
        <v>46089</v>
      </c>
      <c r="E1688" s="15"/>
      <c r="F1688" s="15"/>
      <c r="G1688" s="15">
        <f t="shared" si="468"/>
        <v>0</v>
      </c>
      <c r="H1688" s="16" t="s">
        <v>6</v>
      </c>
      <c r="I1688" s="10">
        <f t="shared" si="470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69"/>
        <v>0</v>
      </c>
    </row>
    <row r="1689" spans="2:19" outlineLevel="1">
      <c r="B1689" s="13" t="s">
        <v>118</v>
      </c>
      <c r="C1689" s="7" t="str">
        <f t="shared" si="467"/>
        <v>MOTO NIVELADORA CASE ( REPASSE LAURO )</v>
      </c>
      <c r="D1689" s="8">
        <f>D1621</f>
        <v>46090</v>
      </c>
      <c r="E1689" s="15"/>
      <c r="F1689" s="15"/>
      <c r="G1689" s="15">
        <f t="shared" si="468"/>
        <v>0</v>
      </c>
      <c r="H1689" s="16" t="s">
        <v>6</v>
      </c>
      <c r="I1689" s="10">
        <f t="shared" si="470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69"/>
        <v>0</v>
      </c>
    </row>
    <row r="1690" spans="2:19" outlineLevel="1">
      <c r="B1690" s="13" t="s">
        <v>118</v>
      </c>
      <c r="C1690" s="7" t="str">
        <f t="shared" si="467"/>
        <v>MOTO NIVELADORA CASE ( REPASSE LAURO )</v>
      </c>
      <c r="D1690" s="8">
        <f>D1622</f>
        <v>46091</v>
      </c>
      <c r="E1690" s="15"/>
      <c r="F1690" s="15"/>
      <c r="G1690" s="15">
        <f t="shared" si="468"/>
        <v>0</v>
      </c>
      <c r="H1690" s="16" t="s">
        <v>6</v>
      </c>
      <c r="I1690" s="10">
        <f t="shared" si="470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69"/>
        <v>0</v>
      </c>
    </row>
    <row r="1691" spans="2:19" outlineLevel="1">
      <c r="B1691" s="13" t="s">
        <v>118</v>
      </c>
      <c r="C1691" s="7" t="str">
        <f t="shared" si="467"/>
        <v>MOTO NIVELADORA CASE ( REPASSE LAURO )</v>
      </c>
      <c r="D1691" s="8">
        <f>D1623</f>
        <v>46092</v>
      </c>
      <c r="E1691" s="15"/>
      <c r="F1691" s="15"/>
      <c r="G1691" s="15">
        <f t="shared" si="468"/>
        <v>0</v>
      </c>
      <c r="H1691" s="16" t="s">
        <v>6</v>
      </c>
      <c r="I1691" s="10">
        <f t="shared" si="470"/>
        <v>0</v>
      </c>
      <c r="J1691" s="16" t="s">
        <v>201</v>
      </c>
      <c r="K1691" s="15"/>
      <c r="L1691" s="15"/>
      <c r="M1691" s="17"/>
      <c r="N1691" s="8"/>
      <c r="O1691" s="18">
        <f t="shared" ref="O1691:O1707" si="471">O1690</f>
        <v>0</v>
      </c>
      <c r="P1691" s="9"/>
      <c r="Q1691" s="9"/>
      <c r="R1691" s="9"/>
      <c r="S1691" s="10">
        <f t="shared" si="469"/>
        <v>0</v>
      </c>
    </row>
    <row r="1692" spans="2:19" outlineLevel="1">
      <c r="B1692" s="13" t="s">
        <v>118</v>
      </c>
      <c r="C1692" s="7" t="str">
        <f t="shared" si="467"/>
        <v>MOTO NIVELADORA CASE ( REPASSE LAURO )</v>
      </c>
      <c r="D1692" s="8">
        <f>D1624</f>
        <v>46093</v>
      </c>
      <c r="E1692" s="15"/>
      <c r="F1692" s="15"/>
      <c r="G1692" s="15">
        <f t="shared" si="468"/>
        <v>0</v>
      </c>
      <c r="H1692" s="16" t="s">
        <v>6</v>
      </c>
      <c r="I1692" s="10">
        <f t="shared" si="470"/>
        <v>0</v>
      </c>
      <c r="J1692" s="16" t="s">
        <v>201</v>
      </c>
      <c r="K1692" s="15"/>
      <c r="L1692" s="15"/>
      <c r="M1692" s="17"/>
      <c r="N1692" s="8"/>
      <c r="O1692" s="18">
        <f t="shared" si="471"/>
        <v>0</v>
      </c>
      <c r="P1692" s="9"/>
      <c r="Q1692" s="9"/>
      <c r="R1692" s="9"/>
      <c r="S1692" s="10">
        <f t="shared" si="469"/>
        <v>0</v>
      </c>
    </row>
    <row r="1693" spans="2:19" outlineLevel="1">
      <c r="B1693" s="13" t="s">
        <v>118</v>
      </c>
      <c r="C1693" s="7" t="str">
        <f t="shared" si="467"/>
        <v>MOTO NIVELADORA CASE ( REPASSE LAURO )</v>
      </c>
      <c r="D1693" s="8">
        <f>D1625</f>
        <v>46094</v>
      </c>
      <c r="E1693" s="15"/>
      <c r="F1693" s="15"/>
      <c r="G1693" s="15">
        <f t="shared" si="468"/>
        <v>0</v>
      </c>
      <c r="H1693" s="16" t="s">
        <v>6</v>
      </c>
      <c r="I1693" s="10">
        <f t="shared" si="470"/>
        <v>0</v>
      </c>
      <c r="J1693" s="16" t="s">
        <v>201</v>
      </c>
      <c r="K1693" s="15"/>
      <c r="L1693" s="15"/>
      <c r="M1693" s="17"/>
      <c r="N1693" s="8"/>
      <c r="O1693" s="18">
        <f t="shared" si="471"/>
        <v>0</v>
      </c>
      <c r="P1693" s="9"/>
      <c r="Q1693" s="9"/>
      <c r="R1693" s="9"/>
      <c r="S1693" s="10">
        <f t="shared" si="469"/>
        <v>0</v>
      </c>
    </row>
    <row r="1694" spans="2:19" outlineLevel="1">
      <c r="B1694" s="13" t="s">
        <v>118</v>
      </c>
      <c r="C1694" s="7" t="str">
        <f t="shared" si="467"/>
        <v>MOTO NIVELADORA CASE ( REPASSE LAURO )</v>
      </c>
      <c r="D1694" s="8">
        <f>D1626</f>
        <v>46095</v>
      </c>
      <c r="E1694" s="15"/>
      <c r="F1694" s="15"/>
      <c r="G1694" s="15">
        <f t="shared" si="468"/>
        <v>0</v>
      </c>
      <c r="H1694" s="16" t="s">
        <v>6</v>
      </c>
      <c r="I1694" s="10">
        <f t="shared" si="470"/>
        <v>0</v>
      </c>
      <c r="J1694" s="16" t="s">
        <v>201</v>
      </c>
      <c r="K1694" s="15"/>
      <c r="L1694" s="15"/>
      <c r="M1694" s="17"/>
      <c r="N1694" s="8"/>
      <c r="O1694" s="18">
        <f t="shared" si="471"/>
        <v>0</v>
      </c>
      <c r="P1694" s="9"/>
      <c r="Q1694" s="9"/>
      <c r="R1694" s="9"/>
      <c r="S1694" s="10">
        <f t="shared" si="469"/>
        <v>0</v>
      </c>
    </row>
    <row r="1695" spans="2:19" outlineLevel="1">
      <c r="B1695" s="13" t="s">
        <v>118</v>
      </c>
      <c r="C1695" s="7" t="str">
        <f t="shared" si="467"/>
        <v>MOTO NIVELADORA CASE ( REPASSE LAURO )</v>
      </c>
      <c r="D1695" s="8">
        <f>D1627</f>
        <v>46096</v>
      </c>
      <c r="E1695" s="15"/>
      <c r="F1695" s="15"/>
      <c r="G1695" s="15">
        <f t="shared" si="468"/>
        <v>0</v>
      </c>
      <c r="H1695" s="16" t="s">
        <v>6</v>
      </c>
      <c r="I1695" s="10">
        <f t="shared" si="470"/>
        <v>0</v>
      </c>
      <c r="J1695" s="16" t="s">
        <v>201</v>
      </c>
      <c r="K1695" s="15"/>
      <c r="L1695" s="15"/>
      <c r="M1695" s="17"/>
      <c r="N1695" s="8"/>
      <c r="O1695" s="18">
        <f t="shared" si="471"/>
        <v>0</v>
      </c>
      <c r="P1695" s="9"/>
      <c r="Q1695" s="9"/>
      <c r="R1695" s="9"/>
      <c r="S1695" s="10">
        <f t="shared" si="469"/>
        <v>0</v>
      </c>
    </row>
    <row r="1696" spans="2:19" outlineLevel="1">
      <c r="B1696" s="13" t="s">
        <v>118</v>
      </c>
      <c r="C1696" s="7" t="str">
        <f t="shared" si="467"/>
        <v>MOTO NIVELADORA CASE ( REPASSE LAURO )</v>
      </c>
      <c r="D1696" s="8">
        <f>D1628</f>
        <v>46097</v>
      </c>
      <c r="E1696" s="15"/>
      <c r="F1696" s="15"/>
      <c r="G1696" s="15">
        <f t="shared" si="468"/>
        <v>0</v>
      </c>
      <c r="H1696" s="16" t="s">
        <v>6</v>
      </c>
      <c r="I1696" s="10">
        <f t="shared" si="470"/>
        <v>0</v>
      </c>
      <c r="J1696" s="16" t="s">
        <v>201</v>
      </c>
      <c r="K1696" s="15"/>
      <c r="L1696" s="15"/>
      <c r="M1696" s="17"/>
      <c r="N1696" s="8"/>
      <c r="O1696" s="18">
        <f t="shared" si="471"/>
        <v>0</v>
      </c>
      <c r="P1696" s="9"/>
      <c r="Q1696" s="9"/>
      <c r="R1696" s="9"/>
      <c r="S1696" s="10">
        <f t="shared" si="469"/>
        <v>0</v>
      </c>
    </row>
    <row r="1697" spans="2:19" outlineLevel="1">
      <c r="B1697" s="13" t="s">
        <v>118</v>
      </c>
      <c r="C1697" s="7" t="str">
        <f t="shared" si="467"/>
        <v>MOTO NIVELADORA CASE ( REPASSE LAURO )</v>
      </c>
      <c r="D1697" s="8">
        <f>D1629</f>
        <v>46098</v>
      </c>
      <c r="E1697" s="15"/>
      <c r="F1697" s="15"/>
      <c r="G1697" s="15">
        <f t="shared" si="468"/>
        <v>0</v>
      </c>
      <c r="H1697" s="16" t="s">
        <v>6</v>
      </c>
      <c r="I1697" s="10">
        <f t="shared" si="470"/>
        <v>0</v>
      </c>
      <c r="J1697" s="16" t="s">
        <v>201</v>
      </c>
      <c r="K1697" s="15"/>
      <c r="L1697" s="15"/>
      <c r="M1697" s="17"/>
      <c r="N1697" s="8"/>
      <c r="O1697" s="18">
        <f t="shared" si="471"/>
        <v>0</v>
      </c>
      <c r="P1697" s="9"/>
      <c r="Q1697" s="9"/>
      <c r="R1697" s="9"/>
      <c r="S1697" s="10">
        <f t="shared" si="469"/>
        <v>0</v>
      </c>
    </row>
    <row r="1698" spans="2:19" outlineLevel="1">
      <c r="B1698" s="13" t="s">
        <v>118</v>
      </c>
      <c r="C1698" s="7" t="str">
        <f t="shared" si="467"/>
        <v>MOTO NIVELADORA CASE ( REPASSE LAURO )</v>
      </c>
      <c r="D1698" s="8">
        <f>D1630</f>
        <v>46099</v>
      </c>
      <c r="E1698" s="15"/>
      <c r="F1698" s="15"/>
      <c r="G1698" s="15">
        <f t="shared" si="468"/>
        <v>0</v>
      </c>
      <c r="H1698" s="16" t="s">
        <v>6</v>
      </c>
      <c r="I1698" s="10">
        <f t="shared" si="470"/>
        <v>0</v>
      </c>
      <c r="J1698" s="16" t="s">
        <v>201</v>
      </c>
      <c r="K1698" s="15"/>
      <c r="L1698" s="15"/>
      <c r="M1698" s="17"/>
      <c r="N1698" s="8"/>
      <c r="O1698" s="18">
        <f t="shared" si="471"/>
        <v>0</v>
      </c>
      <c r="P1698" s="9"/>
      <c r="Q1698" s="9"/>
      <c r="R1698" s="9"/>
      <c r="S1698" s="10">
        <f t="shared" si="469"/>
        <v>0</v>
      </c>
    </row>
    <row r="1699" spans="2:19" outlineLevel="1">
      <c r="B1699" s="13" t="s">
        <v>118</v>
      </c>
      <c r="C1699" s="7" t="str">
        <f t="shared" si="467"/>
        <v>MOTO NIVELADORA CASE ( REPASSE LAURO )</v>
      </c>
      <c r="D1699" s="8">
        <f>D1631</f>
        <v>46100</v>
      </c>
      <c r="E1699" s="15"/>
      <c r="F1699" s="15"/>
      <c r="G1699" s="15">
        <f t="shared" si="468"/>
        <v>0</v>
      </c>
      <c r="H1699" s="16" t="s">
        <v>6</v>
      </c>
      <c r="I1699" s="10">
        <f t="shared" si="470"/>
        <v>0</v>
      </c>
      <c r="J1699" s="16" t="s">
        <v>201</v>
      </c>
      <c r="K1699" s="15"/>
      <c r="L1699" s="15"/>
      <c r="M1699" s="17"/>
      <c r="N1699" s="8"/>
      <c r="O1699" s="18">
        <f t="shared" si="471"/>
        <v>0</v>
      </c>
      <c r="P1699" s="9"/>
      <c r="Q1699" s="9"/>
      <c r="R1699" s="9"/>
      <c r="S1699" s="10">
        <f t="shared" si="469"/>
        <v>0</v>
      </c>
    </row>
    <row r="1700" spans="2:19" outlineLevel="1">
      <c r="B1700" s="13" t="s">
        <v>118</v>
      </c>
      <c r="C1700" s="7" t="str">
        <f t="shared" si="467"/>
        <v>MOTO NIVELADORA CASE ( REPASSE LAURO )</v>
      </c>
      <c r="D1700" s="8">
        <f>D1632</f>
        <v>46101</v>
      </c>
      <c r="E1700" s="15"/>
      <c r="F1700" s="15"/>
      <c r="G1700" s="15">
        <f t="shared" si="468"/>
        <v>0</v>
      </c>
      <c r="H1700" s="16" t="s">
        <v>6</v>
      </c>
      <c r="I1700" s="10">
        <f t="shared" si="470"/>
        <v>0</v>
      </c>
      <c r="J1700" s="16" t="s">
        <v>201</v>
      </c>
      <c r="K1700" s="15"/>
      <c r="L1700" s="15"/>
      <c r="M1700" s="17"/>
      <c r="N1700" s="8"/>
      <c r="O1700" s="18">
        <f t="shared" si="471"/>
        <v>0</v>
      </c>
      <c r="P1700" s="9"/>
      <c r="Q1700" s="9"/>
      <c r="R1700" s="9"/>
      <c r="S1700" s="10">
        <f t="shared" si="469"/>
        <v>0</v>
      </c>
    </row>
    <row r="1701" spans="2:19" outlineLevel="1">
      <c r="B1701" s="13" t="s">
        <v>118</v>
      </c>
      <c r="C1701" s="7" t="str">
        <f t="shared" si="467"/>
        <v>MOTO NIVELADORA CASE ( REPASSE LAURO )</v>
      </c>
      <c r="D1701" s="8">
        <f>D1633</f>
        <v>46102</v>
      </c>
      <c r="E1701" s="15"/>
      <c r="F1701" s="15"/>
      <c r="G1701" s="15">
        <f t="shared" si="468"/>
        <v>0</v>
      </c>
      <c r="H1701" s="16" t="s">
        <v>6</v>
      </c>
      <c r="I1701" s="10">
        <f t="shared" si="470"/>
        <v>0</v>
      </c>
      <c r="J1701" s="16" t="s">
        <v>201</v>
      </c>
      <c r="K1701" s="15"/>
      <c r="L1701" s="15"/>
      <c r="M1701" s="17"/>
      <c r="N1701" s="8"/>
      <c r="O1701" s="18">
        <f t="shared" si="471"/>
        <v>0</v>
      </c>
      <c r="P1701" s="9"/>
      <c r="Q1701" s="9"/>
      <c r="R1701" s="9"/>
      <c r="S1701" s="10">
        <f t="shared" si="469"/>
        <v>0</v>
      </c>
    </row>
    <row r="1702" spans="2:19" outlineLevel="1">
      <c r="B1702" s="13" t="s">
        <v>118</v>
      </c>
      <c r="C1702" s="7" t="str">
        <f t="shared" si="467"/>
        <v>MOTO NIVELADORA CASE ( REPASSE LAURO )</v>
      </c>
      <c r="D1702" s="8">
        <f>D1634</f>
        <v>46103</v>
      </c>
      <c r="E1702" s="15"/>
      <c r="F1702" s="15"/>
      <c r="G1702" s="15">
        <f t="shared" si="468"/>
        <v>0</v>
      </c>
      <c r="H1702" s="16" t="s">
        <v>6</v>
      </c>
      <c r="I1702" s="10">
        <f t="shared" si="470"/>
        <v>0</v>
      </c>
      <c r="J1702" s="16" t="s">
        <v>201</v>
      </c>
      <c r="K1702" s="15"/>
      <c r="L1702" s="15"/>
      <c r="M1702" s="17"/>
      <c r="N1702" s="8"/>
      <c r="O1702" s="18">
        <f t="shared" si="471"/>
        <v>0</v>
      </c>
      <c r="P1702" s="9"/>
      <c r="Q1702" s="9"/>
      <c r="R1702" s="9"/>
      <c r="S1702" s="10">
        <f t="shared" si="469"/>
        <v>0</v>
      </c>
    </row>
    <row r="1703" spans="2:19" outlineLevel="1">
      <c r="B1703" s="13" t="s">
        <v>118</v>
      </c>
      <c r="C1703" s="7" t="str">
        <f t="shared" si="467"/>
        <v>MOTO NIVELADORA CASE ( REPASSE LAURO )</v>
      </c>
      <c r="D1703" s="8">
        <f>D1635</f>
        <v>46104</v>
      </c>
      <c r="E1703" s="15"/>
      <c r="F1703" s="15"/>
      <c r="G1703" s="15">
        <f t="shared" si="468"/>
        <v>0</v>
      </c>
      <c r="H1703" s="16" t="s">
        <v>6</v>
      </c>
      <c r="I1703" s="10">
        <f t="shared" si="470"/>
        <v>0</v>
      </c>
      <c r="J1703" s="16" t="s">
        <v>201</v>
      </c>
      <c r="K1703" s="15"/>
      <c r="L1703" s="15"/>
      <c r="M1703" s="17"/>
      <c r="N1703" s="8"/>
      <c r="O1703" s="18">
        <f t="shared" si="471"/>
        <v>0</v>
      </c>
      <c r="P1703" s="9"/>
      <c r="Q1703" s="9"/>
      <c r="R1703" s="9"/>
      <c r="S1703" s="10">
        <f t="shared" si="469"/>
        <v>0</v>
      </c>
    </row>
    <row r="1704" spans="2:19" outlineLevel="1">
      <c r="B1704" s="13" t="s">
        <v>118</v>
      </c>
      <c r="C1704" s="7" t="str">
        <f t="shared" si="467"/>
        <v>MOTO NIVELADORA CASE ( REPASSE LAURO )</v>
      </c>
      <c r="D1704" s="8">
        <f>D1636</f>
        <v>46105</v>
      </c>
      <c r="E1704" s="15"/>
      <c r="F1704" s="15"/>
      <c r="G1704" s="15">
        <f t="shared" si="468"/>
        <v>0</v>
      </c>
      <c r="H1704" s="16" t="s">
        <v>6</v>
      </c>
      <c r="I1704" s="10">
        <f t="shared" si="470"/>
        <v>0</v>
      </c>
      <c r="J1704" s="16" t="s">
        <v>201</v>
      </c>
      <c r="K1704" s="15"/>
      <c r="L1704" s="15"/>
      <c r="M1704" s="17"/>
      <c r="N1704" s="8"/>
      <c r="O1704" s="18">
        <f t="shared" si="471"/>
        <v>0</v>
      </c>
      <c r="P1704" s="9"/>
      <c r="Q1704" s="9"/>
      <c r="R1704" s="9"/>
      <c r="S1704" s="10">
        <f t="shared" si="469"/>
        <v>0</v>
      </c>
    </row>
    <row r="1705" spans="2:19" outlineLevel="1">
      <c r="B1705" s="13" t="s">
        <v>118</v>
      </c>
      <c r="C1705" s="7" t="str">
        <f t="shared" si="467"/>
        <v>MOTO NIVELADORA CASE ( REPASSE LAURO )</v>
      </c>
      <c r="D1705" s="8">
        <f>D1637</f>
        <v>46106</v>
      </c>
      <c r="E1705" s="15"/>
      <c r="F1705" s="15"/>
      <c r="G1705" s="15">
        <f t="shared" si="468"/>
        <v>0</v>
      </c>
      <c r="H1705" s="16" t="s">
        <v>6</v>
      </c>
      <c r="I1705" s="10">
        <f t="shared" si="470"/>
        <v>0</v>
      </c>
      <c r="J1705" s="16" t="s">
        <v>201</v>
      </c>
      <c r="K1705" s="15"/>
      <c r="L1705" s="15"/>
      <c r="M1705" s="17"/>
      <c r="N1705" s="8"/>
      <c r="O1705" s="18">
        <f t="shared" si="471"/>
        <v>0</v>
      </c>
      <c r="P1705" s="9"/>
      <c r="Q1705" s="9"/>
      <c r="R1705" s="9"/>
      <c r="S1705" s="10">
        <f t="shared" si="469"/>
        <v>0</v>
      </c>
    </row>
    <row r="1706" spans="2:19" outlineLevel="1">
      <c r="B1706" s="13" t="s">
        <v>118</v>
      </c>
      <c r="C1706" s="7" t="str">
        <f t="shared" si="467"/>
        <v>MOTO NIVELADORA CASE ( REPASSE LAURO )</v>
      </c>
      <c r="D1706" s="8">
        <f>D1638</f>
        <v>46107</v>
      </c>
      <c r="E1706" s="15"/>
      <c r="F1706" s="15"/>
      <c r="G1706" s="15">
        <f t="shared" si="468"/>
        <v>0</v>
      </c>
      <c r="H1706" s="16" t="s">
        <v>6</v>
      </c>
      <c r="I1706" s="10">
        <f t="shared" si="470"/>
        <v>0</v>
      </c>
      <c r="J1706" s="16" t="s">
        <v>201</v>
      </c>
      <c r="K1706" s="15"/>
      <c r="L1706" s="15"/>
      <c r="M1706" s="17"/>
      <c r="N1706" s="8"/>
      <c r="O1706" s="18">
        <f t="shared" si="471"/>
        <v>0</v>
      </c>
      <c r="P1706" s="9"/>
      <c r="Q1706" s="9"/>
      <c r="R1706" s="9"/>
      <c r="S1706" s="10">
        <f t="shared" si="469"/>
        <v>0</v>
      </c>
    </row>
    <row r="1707" spans="2:19" outlineLevel="1">
      <c r="B1707" s="13" t="s">
        <v>118</v>
      </c>
      <c r="C1707" s="7" t="str">
        <f t="shared" si="467"/>
        <v>MOTO NIVELADORA CASE ( REPASSE LAURO )</v>
      </c>
      <c r="D1707" s="8">
        <f>D1639</f>
        <v>46108</v>
      </c>
      <c r="E1707" s="15"/>
      <c r="F1707" s="15"/>
      <c r="G1707" s="15">
        <f t="shared" si="468"/>
        <v>0</v>
      </c>
      <c r="H1707" s="16" t="s">
        <v>6</v>
      </c>
      <c r="I1707" s="10">
        <f t="shared" si="470"/>
        <v>0</v>
      </c>
      <c r="J1707" s="16" t="s">
        <v>201</v>
      </c>
      <c r="K1707" s="15"/>
      <c r="L1707" s="15"/>
      <c r="M1707" s="17"/>
      <c r="N1707" s="8"/>
      <c r="O1707" s="18">
        <f t="shared" si="471"/>
        <v>0</v>
      </c>
      <c r="P1707" s="9"/>
      <c r="Q1707" s="9"/>
      <c r="R1707" s="9"/>
      <c r="S1707" s="10">
        <f t="shared" si="469"/>
        <v>0</v>
      </c>
    </row>
    <row r="1708" spans="2:19" outlineLevel="1">
      <c r="B1708" s="13" t="s">
        <v>118</v>
      </c>
      <c r="C1708" s="7" t="str">
        <f t="shared" si="467"/>
        <v>MOTO NIVELADORA CASE ( REPASSE LAURO )</v>
      </c>
      <c r="D1708" s="8">
        <f t="shared" ref="D1708" si="472">D1640</f>
        <v>46109</v>
      </c>
      <c r="E1708" s="15"/>
      <c r="F1708" s="15"/>
      <c r="G1708" s="15">
        <f t="shared" ref="G1708:G1710" si="473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74">SUM(R1708+Q1708+I1708)</f>
        <v>0</v>
      </c>
    </row>
    <row r="1709" spans="2:19" outlineLevel="1">
      <c r="B1709" s="13" t="s">
        <v>118</v>
      </c>
      <c r="C1709" s="7" t="str">
        <f t="shared" si="467"/>
        <v>MOTO NIVELADORA CASE ( REPASSE LAURO )</v>
      </c>
      <c r="D1709" s="8">
        <f t="shared" ref="D1709:D1711" si="475">D1641</f>
        <v>46110</v>
      </c>
      <c r="E1709" s="15"/>
      <c r="F1709" s="15"/>
      <c r="G1709" s="15">
        <f t="shared" si="473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74"/>
        <v>0</v>
      </c>
    </row>
    <row r="1710" spans="2:19" outlineLevel="1">
      <c r="B1710" s="13" t="s">
        <v>118</v>
      </c>
      <c r="C1710" s="7" t="str">
        <f t="shared" si="467"/>
        <v>MOTO NIVELADORA CASE ( REPASSE LAURO )</v>
      </c>
      <c r="D1710" s="8">
        <f t="shared" si="475"/>
        <v>46111</v>
      </c>
      <c r="E1710" s="15"/>
      <c r="F1710" s="15"/>
      <c r="G1710" s="15">
        <f t="shared" si="473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74"/>
        <v>0</v>
      </c>
    </row>
    <row r="1711" spans="2:19" outlineLevel="1">
      <c r="B1711" s="13" t="s">
        <v>118</v>
      </c>
      <c r="C1711" s="7" t="str">
        <f t="shared" si="467"/>
        <v>MOTO NIVELADORA CASE ( REPASSE LAURO )</v>
      </c>
      <c r="D1711" s="8">
        <f t="shared" si="475"/>
        <v>46112</v>
      </c>
      <c r="E1711" s="15"/>
      <c r="F1711" s="15"/>
      <c r="G1711" s="15">
        <f t="shared" si="468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69"/>
        <v>0</v>
      </c>
    </row>
    <row r="1712" spans="2:19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5" t="str">
        <f>M$1</f>
        <v>BM JANEIRO 2026</v>
      </c>
      <c r="N1713" s="135"/>
      <c r="O1713" s="135"/>
      <c r="P1713" s="19" t="s">
        <v>10</v>
      </c>
      <c r="Q1713" s="136" t="s">
        <v>193</v>
      </c>
      <c r="R1713" s="136"/>
      <c r="S1713" s="136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8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outlineLevel="1">
      <c r="B1715" s="11" t="s">
        <v>120</v>
      </c>
      <c r="C1715" s="7" t="str">
        <f>C$1713</f>
        <v>ROLO DINAPACK MOD CA 25 KIT PATA CHASSIS B001497</v>
      </c>
      <c r="D1715" s="8">
        <f>D1647</f>
        <v>46082</v>
      </c>
      <c r="E1715" s="15"/>
      <c r="F1715" s="15"/>
      <c r="G1715" s="15">
        <f t="shared" ref="G1715:G1718" si="476">F1715-E1715</f>
        <v>0</v>
      </c>
      <c r="H1715" s="16" t="s">
        <v>233</v>
      </c>
      <c r="I1715" s="10">
        <f>P1715</f>
        <v>480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O1715/30</f>
        <v>480</v>
      </c>
      <c r="Q1715" s="9"/>
      <c r="R1715" s="9"/>
      <c r="S1715" s="10">
        <f t="shared" ref="S1715:S1725" si="477">SUM(R1715+Q1715+I1715)</f>
        <v>480</v>
      </c>
    </row>
    <row r="1716" spans="2:19" outlineLevel="1">
      <c r="B1716" s="12" t="s">
        <v>0</v>
      </c>
      <c r="C1716" s="7" t="str">
        <f t="shared" ref="C1716:C1745" si="478">C$1713</f>
        <v>ROLO DINAPACK MOD CA 25 KIT PATA CHASSIS B001497</v>
      </c>
      <c r="D1716" s="8">
        <f>D1648</f>
        <v>46083</v>
      </c>
      <c r="E1716" s="15">
        <v>5727</v>
      </c>
      <c r="F1716" s="15">
        <v>5731</v>
      </c>
      <c r="G1716" s="15">
        <f t="shared" si="476"/>
        <v>4</v>
      </c>
      <c r="H1716" s="16" t="s">
        <v>233</v>
      </c>
      <c r="I1716" s="10">
        <f>I1715</f>
        <v>480</v>
      </c>
      <c r="J1716" s="16"/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77"/>
        <v>480</v>
      </c>
    </row>
    <row r="1717" spans="2:19" outlineLevel="1">
      <c r="B1717" s="13" t="s">
        <v>120</v>
      </c>
      <c r="C1717" s="7" t="str">
        <f t="shared" si="478"/>
        <v>ROLO DINAPACK MOD CA 25 KIT PATA CHASSIS B001497</v>
      </c>
      <c r="D1717" s="8">
        <f>D1649</f>
        <v>46084</v>
      </c>
      <c r="E1717" s="15"/>
      <c r="F1717" s="15"/>
      <c r="G1717" s="15">
        <f t="shared" si="476"/>
        <v>0</v>
      </c>
      <c r="H1717" s="16" t="s">
        <v>233</v>
      </c>
      <c r="I1717" s="10">
        <f t="shared" ref="I1717:I1741" si="479">I1716</f>
        <v>480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77"/>
        <v>480</v>
      </c>
    </row>
    <row r="1718" spans="2:19" outlineLevel="1">
      <c r="B1718" s="13" t="s">
        <v>120</v>
      </c>
      <c r="C1718" s="7" t="str">
        <f t="shared" si="478"/>
        <v>ROLO DINAPACK MOD CA 25 KIT PATA CHASSIS B001497</v>
      </c>
      <c r="D1718" s="8">
        <f>D1650</f>
        <v>46085</v>
      </c>
      <c r="E1718" s="15"/>
      <c r="F1718" s="15"/>
      <c r="G1718" s="15">
        <f t="shared" si="476"/>
        <v>0</v>
      </c>
      <c r="H1718" s="16" t="s">
        <v>233</v>
      </c>
      <c r="I1718" s="10">
        <f t="shared" si="479"/>
        <v>480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77"/>
        <v>480</v>
      </c>
    </row>
    <row r="1719" spans="2:19" outlineLevel="1">
      <c r="B1719" s="13" t="s">
        <v>120</v>
      </c>
      <c r="C1719" s="7" t="str">
        <f t="shared" si="478"/>
        <v>ROLO DINAPACK MOD CA 25 KIT PATA CHASSIS B001497</v>
      </c>
      <c r="D1719" s="8">
        <f>D1651</f>
        <v>46086</v>
      </c>
      <c r="E1719" s="15"/>
      <c r="F1719" s="15"/>
      <c r="G1719" s="15">
        <f t="shared" ref="G1719:G1745" si="480">F1719-E1719</f>
        <v>0</v>
      </c>
      <c r="H1719" s="16" t="s">
        <v>233</v>
      </c>
      <c r="I1719" s="10">
        <f t="shared" si="479"/>
        <v>480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77"/>
        <v>480</v>
      </c>
    </row>
    <row r="1720" spans="2:19" outlineLevel="1">
      <c r="B1720" s="13" t="s">
        <v>120</v>
      </c>
      <c r="C1720" s="7" t="str">
        <f t="shared" si="478"/>
        <v>ROLO DINAPACK MOD CA 25 KIT PATA CHASSIS B001497</v>
      </c>
      <c r="D1720" s="8">
        <f>D1652</f>
        <v>46087</v>
      </c>
      <c r="E1720" s="15"/>
      <c r="F1720" s="15"/>
      <c r="G1720" s="15">
        <f t="shared" si="480"/>
        <v>0</v>
      </c>
      <c r="H1720" s="16" t="s">
        <v>233</v>
      </c>
      <c r="I1720" s="10">
        <f t="shared" si="479"/>
        <v>480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77"/>
        <v>480</v>
      </c>
    </row>
    <row r="1721" spans="2:19" outlineLevel="1">
      <c r="B1721" s="13" t="s">
        <v>120</v>
      </c>
      <c r="C1721" s="7" t="str">
        <f t="shared" si="478"/>
        <v>ROLO DINAPACK MOD CA 25 KIT PATA CHASSIS B001497</v>
      </c>
      <c r="D1721" s="8">
        <f>D1653</f>
        <v>46088</v>
      </c>
      <c r="E1721" s="15"/>
      <c r="F1721" s="15"/>
      <c r="G1721" s="15">
        <f t="shared" si="480"/>
        <v>0</v>
      </c>
      <c r="H1721" s="16" t="s">
        <v>233</v>
      </c>
      <c r="I1721" s="10">
        <f t="shared" si="479"/>
        <v>480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77"/>
        <v>480</v>
      </c>
    </row>
    <row r="1722" spans="2:19" outlineLevel="1">
      <c r="B1722" s="13" t="s">
        <v>120</v>
      </c>
      <c r="C1722" s="7" t="str">
        <f t="shared" si="478"/>
        <v>ROLO DINAPACK MOD CA 25 KIT PATA CHASSIS B001497</v>
      </c>
      <c r="D1722" s="8">
        <f>D1654</f>
        <v>46089</v>
      </c>
      <c r="E1722" s="15"/>
      <c r="F1722" s="15"/>
      <c r="G1722" s="15">
        <f t="shared" si="480"/>
        <v>0</v>
      </c>
      <c r="H1722" s="16" t="s">
        <v>233</v>
      </c>
      <c r="I1722" s="10">
        <f t="shared" si="479"/>
        <v>480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77"/>
        <v>480</v>
      </c>
    </row>
    <row r="1723" spans="2:19" outlineLevel="1">
      <c r="B1723" s="13" t="s">
        <v>120</v>
      </c>
      <c r="C1723" s="7" t="str">
        <f t="shared" si="478"/>
        <v>ROLO DINAPACK MOD CA 25 KIT PATA CHASSIS B001497</v>
      </c>
      <c r="D1723" s="8">
        <f>D1655</f>
        <v>46090</v>
      </c>
      <c r="E1723" s="15"/>
      <c r="F1723" s="15"/>
      <c r="G1723" s="15">
        <f t="shared" si="480"/>
        <v>0</v>
      </c>
      <c r="H1723" s="16" t="s">
        <v>233</v>
      </c>
      <c r="I1723" s="10">
        <f t="shared" si="479"/>
        <v>480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77"/>
        <v>480</v>
      </c>
    </row>
    <row r="1724" spans="2:19" outlineLevel="1">
      <c r="B1724" s="13" t="s">
        <v>120</v>
      </c>
      <c r="C1724" s="7" t="str">
        <f t="shared" si="478"/>
        <v>ROLO DINAPACK MOD CA 25 KIT PATA CHASSIS B001497</v>
      </c>
      <c r="D1724" s="8">
        <f>D1656</f>
        <v>46091</v>
      </c>
      <c r="E1724" s="15"/>
      <c r="F1724" s="15"/>
      <c r="G1724" s="15">
        <f t="shared" si="480"/>
        <v>0</v>
      </c>
      <c r="H1724" s="16" t="s">
        <v>233</v>
      </c>
      <c r="I1724" s="10">
        <f t="shared" si="479"/>
        <v>480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77"/>
        <v>480</v>
      </c>
    </row>
    <row r="1725" spans="2:19" outlineLevel="1">
      <c r="B1725" s="13" t="s">
        <v>120</v>
      </c>
      <c r="C1725" s="7" t="str">
        <f t="shared" si="478"/>
        <v>ROLO DINAPACK MOD CA 25 KIT PATA CHASSIS B001497</v>
      </c>
      <c r="D1725" s="8">
        <f>D1657</f>
        <v>46092</v>
      </c>
      <c r="E1725" s="15"/>
      <c r="F1725" s="15"/>
      <c r="G1725" s="15">
        <f t="shared" si="480"/>
        <v>0</v>
      </c>
      <c r="H1725" s="16" t="s">
        <v>233</v>
      </c>
      <c r="I1725" s="10">
        <f t="shared" si="479"/>
        <v>480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77"/>
        <v>480</v>
      </c>
    </row>
    <row r="1726" spans="2:19" outlineLevel="1">
      <c r="B1726" s="13" t="s">
        <v>120</v>
      </c>
      <c r="C1726" s="7" t="str">
        <f t="shared" si="478"/>
        <v>ROLO DINAPACK MOD CA 25 KIT PATA CHASSIS B001497</v>
      </c>
      <c r="D1726" s="8">
        <f>D1658</f>
        <v>46093</v>
      </c>
      <c r="E1726" s="15"/>
      <c r="F1726" s="15"/>
      <c r="G1726" s="15">
        <f t="shared" si="480"/>
        <v>0</v>
      </c>
      <c r="H1726" s="16" t="s">
        <v>233</v>
      </c>
      <c r="I1726" s="10">
        <f t="shared" si="479"/>
        <v>480</v>
      </c>
      <c r="J1726" s="16" t="s">
        <v>16</v>
      </c>
      <c r="K1726" s="15"/>
      <c r="L1726" s="15"/>
      <c r="M1726" s="17"/>
      <c r="N1726" s="9"/>
      <c r="O1726" s="18">
        <f t="shared" ref="O1726:O1741" si="481">O1725</f>
        <v>0</v>
      </c>
      <c r="P1726" s="9"/>
      <c r="Q1726" s="9"/>
      <c r="R1726" s="9"/>
      <c r="S1726" s="10">
        <f t="shared" ref="S1726:S1745" si="482">SUM(R1726+Q1726+I1726)</f>
        <v>480</v>
      </c>
    </row>
    <row r="1727" spans="2:19" outlineLevel="1">
      <c r="B1727" s="13" t="s">
        <v>120</v>
      </c>
      <c r="C1727" s="7" t="str">
        <f t="shared" si="478"/>
        <v>ROLO DINAPACK MOD CA 25 KIT PATA CHASSIS B001497</v>
      </c>
      <c r="D1727" s="8">
        <f>D1659</f>
        <v>46094</v>
      </c>
      <c r="E1727" s="15"/>
      <c r="F1727" s="15"/>
      <c r="G1727" s="15">
        <f t="shared" si="480"/>
        <v>0</v>
      </c>
      <c r="H1727" s="16" t="s">
        <v>233</v>
      </c>
      <c r="I1727" s="10">
        <f t="shared" si="479"/>
        <v>480</v>
      </c>
      <c r="J1727" s="16" t="s">
        <v>16</v>
      </c>
      <c r="K1727" s="15"/>
      <c r="L1727" s="15"/>
      <c r="M1727" s="17"/>
      <c r="N1727" s="9"/>
      <c r="O1727" s="18">
        <f t="shared" si="481"/>
        <v>0</v>
      </c>
      <c r="P1727" s="9"/>
      <c r="Q1727" s="9"/>
      <c r="R1727" s="9"/>
      <c r="S1727" s="10">
        <f t="shared" si="482"/>
        <v>480</v>
      </c>
    </row>
    <row r="1728" spans="2:19" outlineLevel="1">
      <c r="B1728" s="13" t="s">
        <v>120</v>
      </c>
      <c r="C1728" s="7" t="str">
        <f t="shared" si="478"/>
        <v>ROLO DINAPACK MOD CA 25 KIT PATA CHASSIS B001497</v>
      </c>
      <c r="D1728" s="8">
        <f>D1660</f>
        <v>46095</v>
      </c>
      <c r="E1728" s="15"/>
      <c r="F1728" s="15"/>
      <c r="G1728" s="15">
        <f>F1728-E1728</f>
        <v>0</v>
      </c>
      <c r="H1728" s="16" t="s">
        <v>233</v>
      </c>
      <c r="I1728" s="10">
        <f t="shared" si="479"/>
        <v>480</v>
      </c>
      <c r="J1728" s="16" t="s">
        <v>16</v>
      </c>
      <c r="K1728" s="15"/>
      <c r="L1728" s="15"/>
      <c r="M1728" s="17"/>
      <c r="N1728" s="9"/>
      <c r="O1728" s="18">
        <f t="shared" si="481"/>
        <v>0</v>
      </c>
      <c r="P1728" s="9"/>
      <c r="Q1728" s="9"/>
      <c r="R1728" s="9"/>
      <c r="S1728" s="10">
        <f t="shared" si="482"/>
        <v>480</v>
      </c>
    </row>
    <row r="1729" spans="2:19" outlineLevel="1">
      <c r="B1729" s="13" t="s">
        <v>120</v>
      </c>
      <c r="C1729" s="7" t="str">
        <f t="shared" si="478"/>
        <v>ROLO DINAPACK MOD CA 25 KIT PATA CHASSIS B001497</v>
      </c>
      <c r="D1729" s="8">
        <f>D1661</f>
        <v>46096</v>
      </c>
      <c r="E1729" s="15"/>
      <c r="F1729" s="15"/>
      <c r="G1729" s="15">
        <f t="shared" si="480"/>
        <v>0</v>
      </c>
      <c r="H1729" s="16" t="s">
        <v>233</v>
      </c>
      <c r="I1729" s="10">
        <f t="shared" si="479"/>
        <v>480</v>
      </c>
      <c r="J1729" s="16" t="s">
        <v>16</v>
      </c>
      <c r="K1729" s="15"/>
      <c r="L1729" s="15"/>
      <c r="M1729" s="17"/>
      <c r="N1729" s="9"/>
      <c r="O1729" s="18">
        <f t="shared" si="481"/>
        <v>0</v>
      </c>
      <c r="P1729" s="9"/>
      <c r="Q1729" s="9"/>
      <c r="R1729" s="9"/>
      <c r="S1729" s="10">
        <f t="shared" si="482"/>
        <v>480</v>
      </c>
    </row>
    <row r="1730" spans="2:19" outlineLevel="1">
      <c r="B1730" s="13" t="s">
        <v>120</v>
      </c>
      <c r="C1730" s="7" t="str">
        <f t="shared" si="478"/>
        <v>ROLO DINAPACK MOD CA 25 KIT PATA CHASSIS B001497</v>
      </c>
      <c r="D1730" s="8">
        <f>D1662</f>
        <v>46097</v>
      </c>
      <c r="E1730" s="15"/>
      <c r="F1730" s="15"/>
      <c r="G1730" s="15">
        <f t="shared" si="480"/>
        <v>0</v>
      </c>
      <c r="H1730" s="16" t="s">
        <v>233</v>
      </c>
      <c r="I1730" s="10">
        <f t="shared" si="479"/>
        <v>480</v>
      </c>
      <c r="J1730" s="16" t="s">
        <v>16</v>
      </c>
      <c r="K1730" s="15"/>
      <c r="L1730" s="15"/>
      <c r="M1730" s="17"/>
      <c r="N1730" s="9"/>
      <c r="O1730" s="18">
        <f t="shared" si="481"/>
        <v>0</v>
      </c>
      <c r="P1730" s="9"/>
      <c r="Q1730" s="9"/>
      <c r="R1730" s="9"/>
      <c r="S1730" s="10">
        <f t="shared" si="482"/>
        <v>480</v>
      </c>
    </row>
    <row r="1731" spans="2:19" outlineLevel="1">
      <c r="B1731" s="13" t="s">
        <v>120</v>
      </c>
      <c r="C1731" s="7" t="str">
        <f t="shared" si="478"/>
        <v>ROLO DINAPACK MOD CA 25 KIT PATA CHASSIS B001497</v>
      </c>
      <c r="D1731" s="8">
        <f>D1663</f>
        <v>46098</v>
      </c>
      <c r="E1731" s="15"/>
      <c r="F1731" s="15"/>
      <c r="G1731" s="15">
        <f t="shared" si="480"/>
        <v>0</v>
      </c>
      <c r="H1731" s="16" t="s">
        <v>233</v>
      </c>
      <c r="I1731" s="10">
        <f t="shared" si="479"/>
        <v>480</v>
      </c>
      <c r="J1731" s="16" t="s">
        <v>16</v>
      </c>
      <c r="K1731" s="15"/>
      <c r="L1731" s="15"/>
      <c r="M1731" s="17"/>
      <c r="N1731" s="9"/>
      <c r="O1731" s="18">
        <f t="shared" si="481"/>
        <v>0</v>
      </c>
      <c r="P1731" s="9"/>
      <c r="Q1731" s="9"/>
      <c r="R1731" s="9"/>
      <c r="S1731" s="10">
        <f t="shared" si="482"/>
        <v>480</v>
      </c>
    </row>
    <row r="1732" spans="2:19" outlineLevel="1">
      <c r="B1732" s="13" t="s">
        <v>120</v>
      </c>
      <c r="C1732" s="7" t="str">
        <f t="shared" si="478"/>
        <v>ROLO DINAPACK MOD CA 25 KIT PATA CHASSIS B001497</v>
      </c>
      <c r="D1732" s="8">
        <f>D1664</f>
        <v>46099</v>
      </c>
      <c r="E1732" s="15"/>
      <c r="F1732" s="15"/>
      <c r="G1732" s="15">
        <f t="shared" si="480"/>
        <v>0</v>
      </c>
      <c r="H1732" s="16" t="s">
        <v>233</v>
      </c>
      <c r="I1732" s="10">
        <f t="shared" si="479"/>
        <v>480</v>
      </c>
      <c r="J1732" s="16" t="s">
        <v>16</v>
      </c>
      <c r="K1732" s="15"/>
      <c r="L1732" s="15"/>
      <c r="M1732" s="17"/>
      <c r="N1732" s="9"/>
      <c r="O1732" s="18">
        <f t="shared" si="481"/>
        <v>0</v>
      </c>
      <c r="P1732" s="9"/>
      <c r="Q1732" s="9"/>
      <c r="R1732" s="9"/>
      <c r="S1732" s="10">
        <f t="shared" si="482"/>
        <v>480</v>
      </c>
    </row>
    <row r="1733" spans="2:19" outlineLevel="1">
      <c r="B1733" s="13" t="s">
        <v>120</v>
      </c>
      <c r="C1733" s="7" t="str">
        <f t="shared" si="478"/>
        <v>ROLO DINAPACK MOD CA 25 KIT PATA CHASSIS B001497</v>
      </c>
      <c r="D1733" s="8">
        <f>D1665</f>
        <v>46100</v>
      </c>
      <c r="E1733" s="15"/>
      <c r="F1733" s="15"/>
      <c r="G1733" s="15">
        <f t="shared" si="480"/>
        <v>0</v>
      </c>
      <c r="H1733" s="16" t="s">
        <v>233</v>
      </c>
      <c r="I1733" s="10">
        <f t="shared" si="479"/>
        <v>480</v>
      </c>
      <c r="J1733" s="16" t="s">
        <v>16</v>
      </c>
      <c r="K1733" s="15"/>
      <c r="L1733" s="15"/>
      <c r="M1733" s="17"/>
      <c r="N1733" s="9"/>
      <c r="O1733" s="18">
        <f t="shared" si="481"/>
        <v>0</v>
      </c>
      <c r="P1733" s="9"/>
      <c r="Q1733" s="9"/>
      <c r="R1733" s="9"/>
      <c r="S1733" s="10">
        <f t="shared" si="482"/>
        <v>480</v>
      </c>
    </row>
    <row r="1734" spans="2:19" outlineLevel="1">
      <c r="B1734" s="13" t="s">
        <v>120</v>
      </c>
      <c r="C1734" s="7" t="str">
        <f t="shared" si="478"/>
        <v>ROLO DINAPACK MOD CA 25 KIT PATA CHASSIS B001497</v>
      </c>
      <c r="D1734" s="8">
        <f>D1666</f>
        <v>46101</v>
      </c>
      <c r="E1734" s="15">
        <v>5731</v>
      </c>
      <c r="F1734" s="15">
        <v>5734</v>
      </c>
      <c r="G1734" s="15">
        <f t="shared" si="480"/>
        <v>3</v>
      </c>
      <c r="H1734" s="16" t="s">
        <v>233</v>
      </c>
      <c r="I1734" s="10">
        <f t="shared" si="479"/>
        <v>480</v>
      </c>
      <c r="J1734" s="16"/>
      <c r="K1734" s="15">
        <v>1</v>
      </c>
      <c r="L1734" s="15"/>
      <c r="M1734" s="17"/>
      <c r="N1734" s="9"/>
      <c r="O1734" s="18">
        <f t="shared" si="481"/>
        <v>0</v>
      </c>
      <c r="P1734" s="9"/>
      <c r="Q1734" s="9"/>
      <c r="R1734" s="9"/>
      <c r="S1734" s="10">
        <f t="shared" si="482"/>
        <v>480</v>
      </c>
    </row>
    <row r="1735" spans="2:19" outlineLevel="1">
      <c r="B1735" s="13" t="s">
        <v>120</v>
      </c>
      <c r="C1735" s="7" t="str">
        <f t="shared" si="478"/>
        <v>ROLO DINAPACK MOD CA 25 KIT PATA CHASSIS B001497</v>
      </c>
      <c r="D1735" s="8">
        <f>D1667</f>
        <v>46102</v>
      </c>
      <c r="E1735" s="15"/>
      <c r="F1735" s="15"/>
      <c r="G1735" s="15">
        <f t="shared" si="480"/>
        <v>0</v>
      </c>
      <c r="H1735" s="16" t="s">
        <v>233</v>
      </c>
      <c r="I1735" s="10">
        <f t="shared" si="479"/>
        <v>480</v>
      </c>
      <c r="J1735" s="16" t="s">
        <v>16</v>
      </c>
      <c r="K1735" s="15"/>
      <c r="L1735" s="15"/>
      <c r="M1735" s="17"/>
      <c r="N1735" s="9"/>
      <c r="O1735" s="18">
        <f t="shared" si="481"/>
        <v>0</v>
      </c>
      <c r="P1735" s="9"/>
      <c r="Q1735" s="9"/>
      <c r="R1735" s="9"/>
      <c r="S1735" s="10">
        <f t="shared" si="482"/>
        <v>480</v>
      </c>
    </row>
    <row r="1736" spans="2:19" outlineLevel="1">
      <c r="B1736" s="13" t="s">
        <v>120</v>
      </c>
      <c r="C1736" s="7" t="str">
        <f t="shared" si="478"/>
        <v>ROLO DINAPACK MOD CA 25 KIT PATA CHASSIS B001497</v>
      </c>
      <c r="D1736" s="8">
        <f>D1668</f>
        <v>46103</v>
      </c>
      <c r="E1736" s="15"/>
      <c r="F1736" s="15"/>
      <c r="G1736" s="15">
        <f t="shared" si="480"/>
        <v>0</v>
      </c>
      <c r="H1736" s="16" t="s">
        <v>233</v>
      </c>
      <c r="I1736" s="10">
        <f t="shared" si="479"/>
        <v>480</v>
      </c>
      <c r="J1736" s="16" t="s">
        <v>16</v>
      </c>
      <c r="K1736" s="15"/>
      <c r="L1736" s="15"/>
      <c r="M1736" s="17"/>
      <c r="N1736" s="9"/>
      <c r="O1736" s="18">
        <f t="shared" si="481"/>
        <v>0</v>
      </c>
      <c r="P1736" s="9"/>
      <c r="Q1736" s="9"/>
      <c r="R1736" s="9"/>
      <c r="S1736" s="10">
        <f t="shared" si="482"/>
        <v>480</v>
      </c>
    </row>
    <row r="1737" spans="2:19" outlineLevel="1">
      <c r="B1737" s="13" t="s">
        <v>120</v>
      </c>
      <c r="C1737" s="7" t="str">
        <f t="shared" si="478"/>
        <v>ROLO DINAPACK MOD CA 25 KIT PATA CHASSIS B001497</v>
      </c>
      <c r="D1737" s="8">
        <f>D1669</f>
        <v>46104</v>
      </c>
      <c r="E1737" s="15">
        <v>5734</v>
      </c>
      <c r="F1737" s="15">
        <v>5736</v>
      </c>
      <c r="G1737" s="15">
        <f t="shared" si="480"/>
        <v>2</v>
      </c>
      <c r="H1737" s="16" t="s">
        <v>340</v>
      </c>
      <c r="I1737" s="10">
        <f t="shared" si="479"/>
        <v>480</v>
      </c>
      <c r="J1737" s="16"/>
      <c r="K1737" s="15">
        <v>1</v>
      </c>
      <c r="L1737" s="15">
        <v>119</v>
      </c>
      <c r="M1737" s="17">
        <v>42423</v>
      </c>
      <c r="N1737" s="9"/>
      <c r="O1737" s="18">
        <f t="shared" si="481"/>
        <v>0</v>
      </c>
      <c r="P1737" s="9"/>
      <c r="Q1737" s="9"/>
      <c r="R1737" s="9"/>
      <c r="S1737" s="10">
        <f t="shared" si="482"/>
        <v>480</v>
      </c>
    </row>
    <row r="1738" spans="2:19" outlineLevel="1">
      <c r="B1738" s="13" t="s">
        <v>120</v>
      </c>
      <c r="C1738" s="7" t="str">
        <f t="shared" si="478"/>
        <v>ROLO DINAPACK MOD CA 25 KIT PATA CHASSIS B001497</v>
      </c>
      <c r="D1738" s="8">
        <f>D1670</f>
        <v>46105</v>
      </c>
      <c r="E1738" s="15">
        <v>5736</v>
      </c>
      <c r="F1738" s="15">
        <v>5739</v>
      </c>
      <c r="G1738" s="15">
        <f t="shared" si="480"/>
        <v>3</v>
      </c>
      <c r="H1738" s="16" t="s">
        <v>340</v>
      </c>
      <c r="I1738" s="10">
        <f t="shared" si="479"/>
        <v>480</v>
      </c>
      <c r="J1738" s="16"/>
      <c r="K1738" s="15">
        <v>1</v>
      </c>
      <c r="L1738" s="15"/>
      <c r="M1738" s="17"/>
      <c r="N1738" s="9"/>
      <c r="O1738" s="18">
        <f t="shared" si="481"/>
        <v>0</v>
      </c>
      <c r="P1738" s="9"/>
      <c r="Q1738" s="9"/>
      <c r="R1738" s="9"/>
      <c r="S1738" s="10">
        <f t="shared" si="482"/>
        <v>480</v>
      </c>
    </row>
    <row r="1739" spans="2:19" outlineLevel="1">
      <c r="B1739" s="13" t="s">
        <v>120</v>
      </c>
      <c r="C1739" s="7" t="str">
        <f t="shared" si="478"/>
        <v>ROLO DINAPACK MOD CA 25 KIT PATA CHASSIS B001497</v>
      </c>
      <c r="D1739" s="8">
        <f>D1671</f>
        <v>46106</v>
      </c>
      <c r="E1739" s="15">
        <v>5739</v>
      </c>
      <c r="F1739" s="15">
        <v>5743</v>
      </c>
      <c r="G1739" s="15">
        <f t="shared" si="480"/>
        <v>4</v>
      </c>
      <c r="H1739" s="16" t="s">
        <v>340</v>
      </c>
      <c r="I1739" s="10">
        <f t="shared" si="479"/>
        <v>480</v>
      </c>
      <c r="J1739" s="16"/>
      <c r="K1739" s="15">
        <v>1</v>
      </c>
      <c r="L1739" s="15"/>
      <c r="M1739" s="17"/>
      <c r="N1739" s="9"/>
      <c r="O1739" s="18">
        <f t="shared" si="481"/>
        <v>0</v>
      </c>
      <c r="P1739" s="9"/>
      <c r="Q1739" s="9"/>
      <c r="R1739" s="9"/>
      <c r="S1739" s="10">
        <f t="shared" si="482"/>
        <v>480</v>
      </c>
    </row>
    <row r="1740" spans="2:19" outlineLevel="1">
      <c r="B1740" s="13" t="s">
        <v>120</v>
      </c>
      <c r="C1740" s="7" t="str">
        <f t="shared" si="478"/>
        <v>ROLO DINAPACK MOD CA 25 KIT PATA CHASSIS B001497</v>
      </c>
      <c r="D1740" s="8">
        <f>D1672</f>
        <v>46107</v>
      </c>
      <c r="E1740" s="15"/>
      <c r="F1740" s="15"/>
      <c r="G1740" s="15">
        <f t="shared" si="480"/>
        <v>0</v>
      </c>
      <c r="H1740" s="16" t="s">
        <v>340</v>
      </c>
      <c r="I1740" s="10">
        <f t="shared" si="479"/>
        <v>480</v>
      </c>
      <c r="J1740" s="16" t="s">
        <v>16</v>
      </c>
      <c r="K1740" s="15"/>
      <c r="L1740" s="15"/>
      <c r="M1740" s="17"/>
      <c r="N1740" s="9"/>
      <c r="O1740" s="18">
        <f t="shared" si="481"/>
        <v>0</v>
      </c>
      <c r="P1740" s="9"/>
      <c r="Q1740" s="9"/>
      <c r="R1740" s="9"/>
      <c r="S1740" s="10">
        <f t="shared" si="482"/>
        <v>480</v>
      </c>
    </row>
    <row r="1741" spans="2:19" outlineLevel="1">
      <c r="B1741" s="13" t="s">
        <v>120</v>
      </c>
      <c r="C1741" s="7" t="str">
        <f t="shared" si="478"/>
        <v>ROLO DINAPACK MOD CA 25 KIT PATA CHASSIS B001497</v>
      </c>
      <c r="D1741" s="8">
        <f>D1673</f>
        <v>46108</v>
      </c>
      <c r="E1741" s="15"/>
      <c r="F1741" s="15"/>
      <c r="G1741" s="15">
        <f t="shared" si="480"/>
        <v>0</v>
      </c>
      <c r="H1741" s="16" t="s">
        <v>340</v>
      </c>
      <c r="I1741" s="10">
        <f t="shared" si="479"/>
        <v>480</v>
      </c>
      <c r="J1741" s="16" t="s">
        <v>16</v>
      </c>
      <c r="K1741" s="15"/>
      <c r="L1741" s="15"/>
      <c r="M1741" s="17"/>
      <c r="N1741" s="9"/>
      <c r="O1741" s="18">
        <f t="shared" si="481"/>
        <v>0</v>
      </c>
      <c r="P1741" s="9"/>
      <c r="Q1741" s="9"/>
      <c r="R1741" s="9"/>
      <c r="S1741" s="10">
        <f t="shared" si="482"/>
        <v>480</v>
      </c>
    </row>
    <row r="1742" spans="2:19" outlineLevel="1">
      <c r="B1742" s="13" t="s">
        <v>120</v>
      </c>
      <c r="C1742" s="7" t="str">
        <f t="shared" si="478"/>
        <v>ROLO DINAPACK MOD CA 25 KIT PATA CHASSIS B001497</v>
      </c>
      <c r="D1742" s="8">
        <f t="shared" ref="D1742" si="483">D1674</f>
        <v>46109</v>
      </c>
      <c r="E1742" s="15"/>
      <c r="F1742" s="15"/>
      <c r="G1742" s="15">
        <f t="shared" ref="G1742:G1744" si="484">F1742-E1742</f>
        <v>0</v>
      </c>
      <c r="H1742" s="16" t="s">
        <v>340</v>
      </c>
      <c r="I1742" s="10">
        <f>I1738</f>
        <v>480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485">SUM(R1742+Q1742+I1742)</f>
        <v>480</v>
      </c>
    </row>
    <row r="1743" spans="2:19" outlineLevel="1">
      <c r="B1743" s="13" t="s">
        <v>120</v>
      </c>
      <c r="C1743" s="7" t="str">
        <f t="shared" si="478"/>
        <v>ROLO DINAPACK MOD CA 25 KIT PATA CHASSIS B001497</v>
      </c>
      <c r="D1743" s="8">
        <f t="shared" ref="D1743:D1745" si="486">D1675</f>
        <v>46110</v>
      </c>
      <c r="E1743" s="15"/>
      <c r="F1743" s="15"/>
      <c r="G1743" s="15">
        <f t="shared" si="484"/>
        <v>0</v>
      </c>
      <c r="H1743" s="16" t="s">
        <v>340</v>
      </c>
      <c r="I1743" s="10">
        <f>I1739</f>
        <v>480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85"/>
        <v>480</v>
      </c>
    </row>
    <row r="1744" spans="2:19" outlineLevel="1">
      <c r="B1744" s="13" t="s">
        <v>120</v>
      </c>
      <c r="C1744" s="7" t="str">
        <f t="shared" si="478"/>
        <v>ROLO DINAPACK MOD CA 25 KIT PATA CHASSIS B001497</v>
      </c>
      <c r="D1744" s="8">
        <f t="shared" si="486"/>
        <v>46111</v>
      </c>
      <c r="E1744" s="15"/>
      <c r="F1744" s="15"/>
      <c r="G1744" s="15">
        <f t="shared" si="484"/>
        <v>0</v>
      </c>
      <c r="H1744" s="16" t="s">
        <v>340</v>
      </c>
      <c r="I1744" s="10">
        <f>I1740</f>
        <v>480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85"/>
        <v>480</v>
      </c>
    </row>
    <row r="1745" spans="2:19" outlineLevel="1">
      <c r="B1745" s="13" t="s">
        <v>120</v>
      </c>
      <c r="C1745" s="7" t="str">
        <f t="shared" si="478"/>
        <v>ROLO DINAPACK MOD CA 25 KIT PATA CHASSIS B001497</v>
      </c>
      <c r="D1745" s="8">
        <f t="shared" si="486"/>
        <v>46112</v>
      </c>
      <c r="E1745" s="15"/>
      <c r="F1745" s="15"/>
      <c r="G1745" s="15">
        <f t="shared" si="480"/>
        <v>0</v>
      </c>
      <c r="H1745" s="16" t="s">
        <v>340</v>
      </c>
      <c r="I1745" s="10">
        <f>I1741</f>
        <v>480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82"/>
        <v>480</v>
      </c>
    </row>
    <row r="1746" spans="2:19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5" t="str">
        <f>M$1</f>
        <v>BM JANEIRO 2026</v>
      </c>
      <c r="N1747" s="135"/>
      <c r="O1747" s="135"/>
      <c r="P1747" s="19" t="s">
        <v>10</v>
      </c>
      <c r="Q1747" s="136"/>
      <c r="R1747" s="136"/>
      <c r="S1747" s="136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outlineLevel="1">
      <c r="B1749" s="68" t="s">
        <v>122</v>
      </c>
      <c r="C1749" s="7" t="str">
        <f t="shared" ref="C1749:C1779" si="487">C$1747</f>
        <v>PIPA PLACA MNL 8768 - REPASSE LAUR</v>
      </c>
      <c r="D1749" s="8">
        <f>D1681</f>
        <v>46082</v>
      </c>
      <c r="E1749" s="15"/>
      <c r="F1749" s="15"/>
      <c r="G1749" s="15">
        <f>F1749-E1749</f>
        <v>0</v>
      </c>
      <c r="H1749" s="16"/>
      <c r="I1749" s="10">
        <f>P1749</f>
        <v>500</v>
      </c>
      <c r="J1749" s="16"/>
      <c r="K1749" s="15"/>
      <c r="L1749" s="15"/>
      <c r="M1749" s="17"/>
      <c r="N1749" s="8"/>
      <c r="O1749" s="9">
        <v>15000</v>
      </c>
      <c r="P1749" s="9">
        <f>O1749/30</f>
        <v>500</v>
      </c>
      <c r="Q1749" s="9"/>
      <c r="R1749" s="9"/>
      <c r="S1749" s="10">
        <f>SUM(R1749+Q1749+I1749)</f>
        <v>500</v>
      </c>
    </row>
    <row r="1750" spans="2:19" outlineLevel="1">
      <c r="B1750" s="12" t="s">
        <v>0</v>
      </c>
      <c r="C1750" s="7" t="str">
        <f t="shared" si="487"/>
        <v>PIPA PLACA MNL 8768 - REPASSE LAUR</v>
      </c>
      <c r="D1750" s="8">
        <f>D1682</f>
        <v>46083</v>
      </c>
      <c r="E1750" s="15"/>
      <c r="F1750" s="15"/>
      <c r="G1750" s="15">
        <f t="shared" ref="G1750:G1779" si="488">F1750-E1750</f>
        <v>0</v>
      </c>
      <c r="H1750" s="16"/>
      <c r="I1750" s="10">
        <f>I1749</f>
        <v>500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489">SUM(R1750+Q1750+I1750)</f>
        <v>500</v>
      </c>
    </row>
    <row r="1751" spans="2:19" outlineLevel="1">
      <c r="B1751" s="13" t="s">
        <v>122</v>
      </c>
      <c r="C1751" s="7" t="str">
        <f t="shared" si="487"/>
        <v>PIPA PLACA MNL 8768 - REPASSE LAUR</v>
      </c>
      <c r="D1751" s="8">
        <f>D1683</f>
        <v>46084</v>
      </c>
      <c r="E1751" s="15"/>
      <c r="F1751" s="15"/>
      <c r="G1751" s="15">
        <f t="shared" si="488"/>
        <v>0</v>
      </c>
      <c r="H1751" s="16"/>
      <c r="I1751" s="10">
        <f t="shared" ref="I1751:I1775" si="490">I1750</f>
        <v>500</v>
      </c>
      <c r="J1751" s="16"/>
      <c r="K1751" s="15"/>
      <c r="L1751" s="15"/>
      <c r="M1751" s="16"/>
      <c r="N1751" s="8"/>
      <c r="O1751" s="18">
        <f t="shared" ref="O1751:O1775" si="491">O1750</f>
        <v>15000</v>
      </c>
      <c r="P1751" s="9"/>
      <c r="Q1751" s="9"/>
      <c r="R1751" s="9"/>
      <c r="S1751" s="10">
        <f t="shared" si="489"/>
        <v>500</v>
      </c>
    </row>
    <row r="1752" spans="2:19" outlineLevel="1">
      <c r="B1752" s="13" t="s">
        <v>122</v>
      </c>
      <c r="C1752" s="7" t="str">
        <f t="shared" si="487"/>
        <v>PIPA PLACA MNL 8768 - REPASSE LAUR</v>
      </c>
      <c r="D1752" s="8">
        <f>D1684</f>
        <v>46085</v>
      </c>
      <c r="E1752" s="15"/>
      <c r="F1752" s="15"/>
      <c r="G1752" s="15">
        <f t="shared" si="488"/>
        <v>0</v>
      </c>
      <c r="H1752" s="16"/>
      <c r="I1752" s="10">
        <f t="shared" si="490"/>
        <v>500</v>
      </c>
      <c r="J1752" s="16"/>
      <c r="K1752" s="15"/>
      <c r="L1752" s="15"/>
      <c r="M1752" s="16"/>
      <c r="N1752" s="8"/>
      <c r="O1752" s="18">
        <f t="shared" si="491"/>
        <v>15000</v>
      </c>
      <c r="P1752" s="9"/>
      <c r="Q1752" s="9"/>
      <c r="R1752" s="9"/>
      <c r="S1752" s="10">
        <f t="shared" si="489"/>
        <v>500</v>
      </c>
    </row>
    <row r="1753" spans="2:19" outlineLevel="1">
      <c r="B1753" s="13" t="s">
        <v>122</v>
      </c>
      <c r="C1753" s="7" t="str">
        <f t="shared" si="487"/>
        <v>PIPA PLACA MNL 8768 - REPASSE LAUR</v>
      </c>
      <c r="D1753" s="8">
        <f>D1685</f>
        <v>46086</v>
      </c>
      <c r="E1753" s="15"/>
      <c r="F1753" s="15"/>
      <c r="G1753" s="15">
        <f t="shared" si="488"/>
        <v>0</v>
      </c>
      <c r="H1753" s="16"/>
      <c r="I1753" s="10">
        <f t="shared" si="490"/>
        <v>500</v>
      </c>
      <c r="J1753" s="16"/>
      <c r="K1753" s="15"/>
      <c r="L1753" s="15"/>
      <c r="M1753" s="16"/>
      <c r="N1753" s="8"/>
      <c r="O1753" s="18">
        <f t="shared" si="491"/>
        <v>15000</v>
      </c>
      <c r="P1753" s="9"/>
      <c r="Q1753" s="9"/>
      <c r="R1753" s="9"/>
      <c r="S1753" s="10">
        <f t="shared" si="489"/>
        <v>500</v>
      </c>
    </row>
    <row r="1754" spans="2:19" outlineLevel="1">
      <c r="B1754" s="13" t="s">
        <v>122</v>
      </c>
      <c r="C1754" s="7" t="str">
        <f t="shared" si="487"/>
        <v>PIPA PLACA MNL 8768 - REPASSE LAUR</v>
      </c>
      <c r="D1754" s="8">
        <f>D1686</f>
        <v>46087</v>
      </c>
      <c r="E1754" s="15"/>
      <c r="F1754" s="15"/>
      <c r="G1754" s="15">
        <f t="shared" si="488"/>
        <v>0</v>
      </c>
      <c r="H1754" s="16"/>
      <c r="I1754" s="10">
        <f t="shared" si="490"/>
        <v>500</v>
      </c>
      <c r="J1754" s="16"/>
      <c r="K1754" s="15"/>
      <c r="L1754" s="15"/>
      <c r="M1754" s="16"/>
      <c r="N1754" s="8"/>
      <c r="O1754" s="18">
        <f t="shared" si="491"/>
        <v>15000</v>
      </c>
      <c r="P1754" s="9"/>
      <c r="Q1754" s="9"/>
      <c r="R1754" s="9"/>
      <c r="S1754" s="10">
        <f t="shared" si="489"/>
        <v>500</v>
      </c>
    </row>
    <row r="1755" spans="2:19" outlineLevel="1">
      <c r="B1755" s="13" t="s">
        <v>122</v>
      </c>
      <c r="C1755" s="7" t="str">
        <f t="shared" si="487"/>
        <v>PIPA PLACA MNL 8768 - REPASSE LAUR</v>
      </c>
      <c r="D1755" s="8">
        <f>D1687</f>
        <v>46088</v>
      </c>
      <c r="E1755" s="15"/>
      <c r="F1755" s="15"/>
      <c r="G1755" s="15">
        <f t="shared" si="488"/>
        <v>0</v>
      </c>
      <c r="H1755" s="16"/>
      <c r="I1755" s="10">
        <f t="shared" si="490"/>
        <v>500</v>
      </c>
      <c r="J1755" s="16"/>
      <c r="K1755" s="15"/>
      <c r="L1755" s="15"/>
      <c r="M1755" s="16"/>
      <c r="N1755" s="8"/>
      <c r="O1755" s="18">
        <f t="shared" si="491"/>
        <v>15000</v>
      </c>
      <c r="P1755" s="9"/>
      <c r="Q1755" s="9"/>
      <c r="R1755" s="9"/>
      <c r="S1755" s="10">
        <f t="shared" si="489"/>
        <v>500</v>
      </c>
    </row>
    <row r="1756" spans="2:19" outlineLevel="1">
      <c r="B1756" s="13" t="s">
        <v>122</v>
      </c>
      <c r="C1756" s="7" t="str">
        <f t="shared" si="487"/>
        <v>PIPA PLACA MNL 8768 - REPASSE LAUR</v>
      </c>
      <c r="D1756" s="8">
        <f>D1688</f>
        <v>46089</v>
      </c>
      <c r="E1756" s="15"/>
      <c r="F1756" s="15"/>
      <c r="G1756" s="15">
        <f t="shared" si="488"/>
        <v>0</v>
      </c>
      <c r="H1756" s="16"/>
      <c r="I1756" s="10">
        <f t="shared" si="490"/>
        <v>500</v>
      </c>
      <c r="J1756" s="16"/>
      <c r="K1756" s="15"/>
      <c r="L1756" s="15"/>
      <c r="M1756" s="16"/>
      <c r="N1756" s="8"/>
      <c r="O1756" s="18">
        <f t="shared" si="491"/>
        <v>15000</v>
      </c>
      <c r="P1756" s="9"/>
      <c r="Q1756" s="9"/>
      <c r="R1756" s="9"/>
      <c r="S1756" s="10">
        <f t="shared" si="489"/>
        <v>500</v>
      </c>
    </row>
    <row r="1757" spans="2:19" outlineLevel="1">
      <c r="B1757" s="13" t="s">
        <v>122</v>
      </c>
      <c r="C1757" s="7" t="str">
        <f t="shared" si="487"/>
        <v>PIPA PLACA MNL 8768 - REPASSE LAUR</v>
      </c>
      <c r="D1757" s="8">
        <f>D1689</f>
        <v>46090</v>
      </c>
      <c r="E1757" s="15"/>
      <c r="F1757" s="15"/>
      <c r="G1757" s="15">
        <f t="shared" si="488"/>
        <v>0</v>
      </c>
      <c r="H1757" s="16"/>
      <c r="I1757" s="10">
        <f t="shared" si="490"/>
        <v>500</v>
      </c>
      <c r="J1757" s="16"/>
      <c r="K1757" s="15"/>
      <c r="L1757" s="15"/>
      <c r="M1757" s="16"/>
      <c r="N1757" s="8"/>
      <c r="O1757" s="18">
        <f t="shared" si="491"/>
        <v>15000</v>
      </c>
      <c r="P1757" s="9"/>
      <c r="Q1757" s="9"/>
      <c r="R1757" s="9"/>
      <c r="S1757" s="10">
        <f t="shared" si="489"/>
        <v>500</v>
      </c>
    </row>
    <row r="1758" spans="2:19" outlineLevel="1">
      <c r="B1758" s="13" t="s">
        <v>122</v>
      </c>
      <c r="C1758" s="7" t="str">
        <f t="shared" si="487"/>
        <v>PIPA PLACA MNL 8768 - REPASSE LAUR</v>
      </c>
      <c r="D1758" s="8">
        <f>D1690</f>
        <v>46091</v>
      </c>
      <c r="E1758" s="15"/>
      <c r="F1758" s="15"/>
      <c r="G1758" s="15">
        <f t="shared" si="488"/>
        <v>0</v>
      </c>
      <c r="H1758" s="16"/>
      <c r="I1758" s="10">
        <f t="shared" si="490"/>
        <v>500</v>
      </c>
      <c r="J1758" s="16"/>
      <c r="K1758" s="15"/>
      <c r="L1758" s="15"/>
      <c r="M1758" s="16"/>
      <c r="N1758" s="8"/>
      <c r="O1758" s="18">
        <f t="shared" si="491"/>
        <v>15000</v>
      </c>
      <c r="P1758" s="9"/>
      <c r="Q1758" s="9"/>
      <c r="R1758" s="9"/>
      <c r="S1758" s="10">
        <f t="shared" si="489"/>
        <v>500</v>
      </c>
    </row>
    <row r="1759" spans="2:19" outlineLevel="1">
      <c r="B1759" s="13" t="s">
        <v>122</v>
      </c>
      <c r="C1759" s="7" t="str">
        <f t="shared" si="487"/>
        <v>PIPA PLACA MNL 8768 - REPASSE LAUR</v>
      </c>
      <c r="D1759" s="8">
        <f>D1691</f>
        <v>46092</v>
      </c>
      <c r="E1759" s="15"/>
      <c r="F1759" s="15"/>
      <c r="G1759" s="15">
        <f t="shared" si="488"/>
        <v>0</v>
      </c>
      <c r="H1759" s="16"/>
      <c r="I1759" s="10">
        <f t="shared" si="490"/>
        <v>500</v>
      </c>
      <c r="J1759" s="16"/>
      <c r="K1759" s="15"/>
      <c r="L1759" s="15"/>
      <c r="M1759" s="16"/>
      <c r="N1759" s="8"/>
      <c r="O1759" s="18">
        <f t="shared" si="491"/>
        <v>15000</v>
      </c>
      <c r="P1759" s="9"/>
      <c r="Q1759" s="9"/>
      <c r="R1759" s="9"/>
      <c r="S1759" s="10">
        <f t="shared" si="489"/>
        <v>500</v>
      </c>
    </row>
    <row r="1760" spans="2:19" outlineLevel="1">
      <c r="B1760" s="13" t="s">
        <v>122</v>
      </c>
      <c r="C1760" s="7" t="str">
        <f t="shared" si="487"/>
        <v>PIPA PLACA MNL 8768 - REPASSE LAUR</v>
      </c>
      <c r="D1760" s="8">
        <f>D1692</f>
        <v>46093</v>
      </c>
      <c r="E1760" s="15"/>
      <c r="F1760" s="15"/>
      <c r="G1760" s="15">
        <f t="shared" si="488"/>
        <v>0</v>
      </c>
      <c r="H1760" s="16"/>
      <c r="I1760" s="10">
        <f t="shared" si="490"/>
        <v>500</v>
      </c>
      <c r="J1760" s="16"/>
      <c r="K1760" s="15"/>
      <c r="L1760" s="15"/>
      <c r="M1760" s="16"/>
      <c r="N1760" s="8"/>
      <c r="O1760" s="18">
        <f t="shared" si="491"/>
        <v>15000</v>
      </c>
      <c r="P1760" s="9"/>
      <c r="Q1760" s="9"/>
      <c r="R1760" s="9"/>
      <c r="S1760" s="10">
        <f t="shared" si="489"/>
        <v>500</v>
      </c>
    </row>
    <row r="1761" spans="2:19" outlineLevel="1">
      <c r="B1761" s="13" t="s">
        <v>122</v>
      </c>
      <c r="C1761" s="7" t="str">
        <f t="shared" si="487"/>
        <v>PIPA PLACA MNL 8768 - REPASSE LAUR</v>
      </c>
      <c r="D1761" s="8">
        <f>D1693</f>
        <v>46094</v>
      </c>
      <c r="E1761" s="15"/>
      <c r="F1761" s="15"/>
      <c r="G1761" s="15">
        <f t="shared" si="488"/>
        <v>0</v>
      </c>
      <c r="H1761" s="16"/>
      <c r="I1761" s="10">
        <f t="shared" si="490"/>
        <v>500</v>
      </c>
      <c r="J1761" s="16"/>
      <c r="K1761" s="15"/>
      <c r="L1761" s="15"/>
      <c r="M1761" s="16"/>
      <c r="N1761" s="8"/>
      <c r="O1761" s="18">
        <f t="shared" si="491"/>
        <v>15000</v>
      </c>
      <c r="P1761" s="9"/>
      <c r="Q1761" s="9"/>
      <c r="R1761" s="9"/>
      <c r="S1761" s="10">
        <f t="shared" si="489"/>
        <v>500</v>
      </c>
    </row>
    <row r="1762" spans="2:19" outlineLevel="1">
      <c r="B1762" s="13" t="s">
        <v>122</v>
      </c>
      <c r="C1762" s="7" t="str">
        <f t="shared" si="487"/>
        <v>PIPA PLACA MNL 8768 - REPASSE LAUR</v>
      </c>
      <c r="D1762" s="8">
        <f>D1694</f>
        <v>46095</v>
      </c>
      <c r="E1762" s="15"/>
      <c r="F1762" s="15"/>
      <c r="G1762" s="15">
        <f t="shared" si="488"/>
        <v>0</v>
      </c>
      <c r="H1762" s="16"/>
      <c r="I1762" s="10">
        <f t="shared" si="490"/>
        <v>500</v>
      </c>
      <c r="J1762" s="16"/>
      <c r="K1762" s="15"/>
      <c r="L1762" s="15"/>
      <c r="M1762" s="16"/>
      <c r="N1762" s="8"/>
      <c r="O1762" s="18">
        <f t="shared" si="491"/>
        <v>15000</v>
      </c>
      <c r="P1762" s="9"/>
      <c r="Q1762" s="9"/>
      <c r="R1762" s="9"/>
      <c r="S1762" s="10">
        <f t="shared" si="489"/>
        <v>500</v>
      </c>
    </row>
    <row r="1763" spans="2:19" outlineLevel="1">
      <c r="B1763" s="13" t="s">
        <v>122</v>
      </c>
      <c r="C1763" s="7" t="str">
        <f t="shared" si="487"/>
        <v>PIPA PLACA MNL 8768 - REPASSE LAUR</v>
      </c>
      <c r="D1763" s="8">
        <f>D1695</f>
        <v>46096</v>
      </c>
      <c r="E1763" s="15"/>
      <c r="F1763" s="15"/>
      <c r="G1763" s="15">
        <f t="shared" si="488"/>
        <v>0</v>
      </c>
      <c r="H1763" s="16"/>
      <c r="I1763" s="10">
        <f t="shared" si="490"/>
        <v>500</v>
      </c>
      <c r="J1763" s="16"/>
      <c r="K1763" s="15"/>
      <c r="L1763" s="15"/>
      <c r="M1763" s="16"/>
      <c r="N1763" s="8"/>
      <c r="O1763" s="18">
        <f t="shared" si="491"/>
        <v>15000</v>
      </c>
      <c r="P1763" s="9"/>
      <c r="Q1763" s="9"/>
      <c r="R1763" s="9"/>
      <c r="S1763" s="10">
        <f t="shared" si="489"/>
        <v>500</v>
      </c>
    </row>
    <row r="1764" spans="2:19" outlineLevel="1">
      <c r="B1764" s="13" t="s">
        <v>122</v>
      </c>
      <c r="C1764" s="7" t="str">
        <f t="shared" si="487"/>
        <v>PIPA PLACA MNL 8768 - REPASSE LAUR</v>
      </c>
      <c r="D1764" s="8">
        <f>D1696</f>
        <v>46097</v>
      </c>
      <c r="E1764" s="15"/>
      <c r="F1764" s="15"/>
      <c r="G1764" s="15">
        <f t="shared" si="488"/>
        <v>0</v>
      </c>
      <c r="H1764" s="16"/>
      <c r="I1764" s="10">
        <f t="shared" si="490"/>
        <v>500</v>
      </c>
      <c r="J1764" s="16"/>
      <c r="K1764" s="15"/>
      <c r="L1764" s="15"/>
      <c r="M1764" s="16"/>
      <c r="N1764" s="8"/>
      <c r="O1764" s="18">
        <f t="shared" si="491"/>
        <v>15000</v>
      </c>
      <c r="P1764" s="9"/>
      <c r="Q1764" s="9"/>
      <c r="R1764" s="9"/>
      <c r="S1764" s="10">
        <f t="shared" si="489"/>
        <v>500</v>
      </c>
    </row>
    <row r="1765" spans="2:19" outlineLevel="1">
      <c r="B1765" s="13" t="s">
        <v>122</v>
      </c>
      <c r="C1765" s="7" t="str">
        <f t="shared" si="487"/>
        <v>PIPA PLACA MNL 8768 - REPASSE LAUR</v>
      </c>
      <c r="D1765" s="8">
        <f>D1697</f>
        <v>46098</v>
      </c>
      <c r="E1765" s="15"/>
      <c r="F1765" s="15"/>
      <c r="G1765" s="15">
        <f t="shared" si="488"/>
        <v>0</v>
      </c>
      <c r="H1765" s="16"/>
      <c r="I1765" s="10">
        <f t="shared" si="490"/>
        <v>500</v>
      </c>
      <c r="J1765" s="16"/>
      <c r="K1765" s="15"/>
      <c r="L1765" s="15"/>
      <c r="M1765" s="16"/>
      <c r="N1765" s="8"/>
      <c r="O1765" s="18">
        <f t="shared" si="491"/>
        <v>15000</v>
      </c>
      <c r="P1765" s="9"/>
      <c r="Q1765" s="9"/>
      <c r="R1765" s="9"/>
      <c r="S1765" s="10">
        <f t="shared" si="489"/>
        <v>500</v>
      </c>
    </row>
    <row r="1766" spans="2:19" outlineLevel="1">
      <c r="B1766" s="13" t="s">
        <v>122</v>
      </c>
      <c r="C1766" s="7" t="str">
        <f t="shared" si="487"/>
        <v>PIPA PLACA MNL 8768 - REPASSE LAUR</v>
      </c>
      <c r="D1766" s="8">
        <f>D1698</f>
        <v>46099</v>
      </c>
      <c r="E1766" s="15"/>
      <c r="F1766" s="15"/>
      <c r="G1766" s="15">
        <f t="shared" si="488"/>
        <v>0</v>
      </c>
      <c r="H1766" s="16"/>
      <c r="I1766" s="10">
        <f t="shared" si="490"/>
        <v>500</v>
      </c>
      <c r="J1766" s="16"/>
      <c r="K1766" s="15"/>
      <c r="L1766" s="15"/>
      <c r="M1766" s="16"/>
      <c r="N1766" s="8"/>
      <c r="O1766" s="18">
        <f t="shared" si="491"/>
        <v>15000</v>
      </c>
      <c r="P1766" s="9"/>
      <c r="Q1766" s="9"/>
      <c r="R1766" s="9"/>
      <c r="S1766" s="10">
        <f t="shared" si="489"/>
        <v>500</v>
      </c>
    </row>
    <row r="1767" spans="2:19" outlineLevel="1">
      <c r="B1767" s="13" t="s">
        <v>122</v>
      </c>
      <c r="C1767" s="7" t="str">
        <f t="shared" si="487"/>
        <v>PIPA PLACA MNL 8768 - REPASSE LAUR</v>
      </c>
      <c r="D1767" s="8">
        <f>D1699</f>
        <v>46100</v>
      </c>
      <c r="E1767" s="15"/>
      <c r="F1767" s="15"/>
      <c r="G1767" s="15">
        <f t="shared" si="488"/>
        <v>0</v>
      </c>
      <c r="H1767" s="16"/>
      <c r="I1767" s="10">
        <f t="shared" si="490"/>
        <v>500</v>
      </c>
      <c r="J1767" s="16"/>
      <c r="K1767" s="15"/>
      <c r="L1767" s="15"/>
      <c r="M1767" s="16"/>
      <c r="N1767" s="8"/>
      <c r="O1767" s="18">
        <f t="shared" si="491"/>
        <v>15000</v>
      </c>
      <c r="P1767" s="9"/>
      <c r="Q1767" s="9"/>
      <c r="R1767" s="9"/>
      <c r="S1767" s="10">
        <f t="shared" si="489"/>
        <v>500</v>
      </c>
    </row>
    <row r="1768" spans="2:19" outlineLevel="1">
      <c r="B1768" s="13" t="s">
        <v>122</v>
      </c>
      <c r="C1768" s="7" t="str">
        <f t="shared" si="487"/>
        <v>PIPA PLACA MNL 8768 - REPASSE LAUR</v>
      </c>
      <c r="D1768" s="8">
        <f>D1700</f>
        <v>46101</v>
      </c>
      <c r="E1768" s="15"/>
      <c r="F1768" s="15"/>
      <c r="G1768" s="15">
        <f t="shared" si="488"/>
        <v>0</v>
      </c>
      <c r="H1768" s="16"/>
      <c r="I1768" s="10">
        <f t="shared" si="490"/>
        <v>500</v>
      </c>
      <c r="J1768" s="16"/>
      <c r="K1768" s="15"/>
      <c r="L1768" s="15"/>
      <c r="M1768" s="16"/>
      <c r="N1768" s="8"/>
      <c r="O1768" s="18">
        <f t="shared" si="491"/>
        <v>15000</v>
      </c>
      <c r="P1768" s="9"/>
      <c r="Q1768" s="9"/>
      <c r="R1768" s="9"/>
      <c r="S1768" s="10">
        <f t="shared" si="489"/>
        <v>500</v>
      </c>
    </row>
    <row r="1769" spans="2:19" outlineLevel="1">
      <c r="B1769" s="13" t="s">
        <v>122</v>
      </c>
      <c r="C1769" s="7" t="str">
        <f t="shared" si="487"/>
        <v>PIPA PLACA MNL 8768 - REPASSE LAUR</v>
      </c>
      <c r="D1769" s="8">
        <f>D1701</f>
        <v>46102</v>
      </c>
      <c r="E1769" s="15"/>
      <c r="F1769" s="15"/>
      <c r="G1769" s="15">
        <f t="shared" si="488"/>
        <v>0</v>
      </c>
      <c r="H1769" s="16"/>
      <c r="I1769" s="10">
        <f t="shared" si="490"/>
        <v>500</v>
      </c>
      <c r="J1769" s="16"/>
      <c r="K1769" s="15"/>
      <c r="L1769" s="15"/>
      <c r="M1769" s="16"/>
      <c r="N1769" s="8"/>
      <c r="O1769" s="18">
        <f t="shared" si="491"/>
        <v>15000</v>
      </c>
      <c r="P1769" s="9"/>
      <c r="Q1769" s="9"/>
      <c r="R1769" s="9"/>
      <c r="S1769" s="10">
        <f t="shared" si="489"/>
        <v>500</v>
      </c>
    </row>
    <row r="1770" spans="2:19" outlineLevel="1">
      <c r="B1770" s="13" t="s">
        <v>122</v>
      </c>
      <c r="C1770" s="7" t="str">
        <f t="shared" si="487"/>
        <v>PIPA PLACA MNL 8768 - REPASSE LAUR</v>
      </c>
      <c r="D1770" s="8">
        <f>D1702</f>
        <v>46103</v>
      </c>
      <c r="E1770" s="15"/>
      <c r="F1770" s="15"/>
      <c r="G1770" s="15">
        <f t="shared" si="488"/>
        <v>0</v>
      </c>
      <c r="H1770" s="16"/>
      <c r="I1770" s="10">
        <f t="shared" si="490"/>
        <v>500</v>
      </c>
      <c r="J1770" s="16"/>
      <c r="K1770" s="15"/>
      <c r="L1770" s="15"/>
      <c r="M1770" s="16"/>
      <c r="N1770" s="8"/>
      <c r="O1770" s="18">
        <f t="shared" si="491"/>
        <v>15000</v>
      </c>
      <c r="P1770" s="9"/>
      <c r="Q1770" s="9"/>
      <c r="R1770" s="9"/>
      <c r="S1770" s="10">
        <f t="shared" si="489"/>
        <v>500</v>
      </c>
    </row>
    <row r="1771" spans="2:19" outlineLevel="1">
      <c r="B1771" s="13" t="s">
        <v>122</v>
      </c>
      <c r="C1771" s="7" t="str">
        <f t="shared" si="487"/>
        <v>PIPA PLACA MNL 8768 - REPASSE LAUR</v>
      </c>
      <c r="D1771" s="8">
        <f>D1703</f>
        <v>46104</v>
      </c>
      <c r="E1771" s="15"/>
      <c r="F1771" s="15"/>
      <c r="G1771" s="15">
        <f t="shared" si="488"/>
        <v>0</v>
      </c>
      <c r="H1771" s="16"/>
      <c r="I1771" s="10">
        <f t="shared" si="490"/>
        <v>500</v>
      </c>
      <c r="J1771" s="16"/>
      <c r="K1771" s="15"/>
      <c r="L1771" s="15"/>
      <c r="M1771" s="16"/>
      <c r="N1771" s="8"/>
      <c r="O1771" s="18">
        <f t="shared" si="491"/>
        <v>15000</v>
      </c>
      <c r="P1771" s="9"/>
      <c r="Q1771" s="9"/>
      <c r="R1771" s="9"/>
      <c r="S1771" s="10">
        <f t="shared" si="489"/>
        <v>500</v>
      </c>
    </row>
    <row r="1772" spans="2:19" outlineLevel="1">
      <c r="B1772" s="13" t="s">
        <v>122</v>
      </c>
      <c r="C1772" s="7" t="str">
        <f t="shared" si="487"/>
        <v>PIPA PLACA MNL 8768 - REPASSE LAUR</v>
      </c>
      <c r="D1772" s="8">
        <f>D1704</f>
        <v>46105</v>
      </c>
      <c r="E1772" s="15"/>
      <c r="F1772" s="15"/>
      <c r="G1772" s="15">
        <f t="shared" si="488"/>
        <v>0</v>
      </c>
      <c r="H1772" s="16"/>
      <c r="I1772" s="10">
        <f t="shared" si="490"/>
        <v>500</v>
      </c>
      <c r="J1772" s="16"/>
      <c r="K1772" s="15"/>
      <c r="L1772" s="15"/>
      <c r="M1772" s="16"/>
      <c r="N1772" s="8"/>
      <c r="O1772" s="18">
        <f t="shared" si="491"/>
        <v>15000</v>
      </c>
      <c r="P1772" s="9"/>
      <c r="Q1772" s="9"/>
      <c r="R1772" s="9"/>
      <c r="S1772" s="10">
        <f t="shared" si="489"/>
        <v>500</v>
      </c>
    </row>
    <row r="1773" spans="2:19" outlineLevel="1">
      <c r="B1773" s="13" t="s">
        <v>122</v>
      </c>
      <c r="C1773" s="7" t="str">
        <f t="shared" si="487"/>
        <v>PIPA PLACA MNL 8768 - REPASSE LAUR</v>
      </c>
      <c r="D1773" s="8">
        <f>D1705</f>
        <v>46106</v>
      </c>
      <c r="E1773" s="15"/>
      <c r="F1773" s="15"/>
      <c r="G1773" s="15">
        <f t="shared" si="488"/>
        <v>0</v>
      </c>
      <c r="H1773" s="16"/>
      <c r="I1773" s="10">
        <f t="shared" si="490"/>
        <v>500</v>
      </c>
      <c r="J1773" s="16"/>
      <c r="K1773" s="15"/>
      <c r="L1773" s="15"/>
      <c r="M1773" s="16"/>
      <c r="N1773" s="8"/>
      <c r="O1773" s="18">
        <f t="shared" si="491"/>
        <v>15000</v>
      </c>
      <c r="P1773" s="9"/>
      <c r="Q1773" s="9"/>
      <c r="R1773" s="9"/>
      <c r="S1773" s="10">
        <f t="shared" si="489"/>
        <v>500</v>
      </c>
    </row>
    <row r="1774" spans="2:19" outlineLevel="1">
      <c r="B1774" s="13" t="s">
        <v>122</v>
      </c>
      <c r="C1774" s="7" t="str">
        <f t="shared" si="487"/>
        <v>PIPA PLACA MNL 8768 - REPASSE LAUR</v>
      </c>
      <c r="D1774" s="8">
        <f>D1706</f>
        <v>46107</v>
      </c>
      <c r="E1774" s="15"/>
      <c r="F1774" s="15"/>
      <c r="G1774" s="15">
        <f t="shared" si="488"/>
        <v>0</v>
      </c>
      <c r="H1774" s="16"/>
      <c r="I1774" s="10">
        <f t="shared" si="490"/>
        <v>500</v>
      </c>
      <c r="J1774" s="16"/>
      <c r="K1774" s="15"/>
      <c r="L1774" s="15"/>
      <c r="M1774" s="16"/>
      <c r="N1774" s="8"/>
      <c r="O1774" s="18">
        <f t="shared" si="491"/>
        <v>15000</v>
      </c>
      <c r="P1774" s="9"/>
      <c r="Q1774" s="9"/>
      <c r="R1774" s="9"/>
      <c r="S1774" s="10">
        <f t="shared" si="489"/>
        <v>500</v>
      </c>
    </row>
    <row r="1775" spans="2:19" outlineLevel="1">
      <c r="B1775" s="13" t="s">
        <v>122</v>
      </c>
      <c r="C1775" s="7" t="str">
        <f t="shared" si="487"/>
        <v>PIPA PLACA MNL 8768 - REPASSE LAUR</v>
      </c>
      <c r="D1775" s="8">
        <f>D1707</f>
        <v>46108</v>
      </c>
      <c r="E1775" s="15"/>
      <c r="F1775" s="15"/>
      <c r="G1775" s="15">
        <f t="shared" si="488"/>
        <v>0</v>
      </c>
      <c r="H1775" s="16"/>
      <c r="I1775" s="10">
        <f t="shared" si="490"/>
        <v>500</v>
      </c>
      <c r="J1775" s="16"/>
      <c r="K1775" s="15"/>
      <c r="L1775" s="15"/>
      <c r="M1775" s="16"/>
      <c r="N1775" s="8"/>
      <c r="O1775" s="18">
        <f t="shared" si="491"/>
        <v>15000</v>
      </c>
      <c r="P1775" s="9"/>
      <c r="Q1775" s="9"/>
      <c r="R1775" s="9"/>
      <c r="S1775" s="10">
        <f t="shared" si="489"/>
        <v>500</v>
      </c>
    </row>
    <row r="1776" spans="2:19" outlineLevel="1">
      <c r="B1776" s="13" t="s">
        <v>122</v>
      </c>
      <c r="C1776" s="7" t="str">
        <f t="shared" si="487"/>
        <v>PIPA PLACA MNL 8768 - REPASSE LAUR</v>
      </c>
      <c r="D1776" s="8">
        <f t="shared" ref="D1776" si="492">D1708</f>
        <v>46109</v>
      </c>
      <c r="E1776" s="15"/>
      <c r="F1776" s="15"/>
      <c r="G1776" s="15">
        <f t="shared" ref="G1776:G1778" si="493">F1776-E1776</f>
        <v>0</v>
      </c>
      <c r="H1776" s="16"/>
      <c r="I1776" s="10">
        <f>I1772</f>
        <v>500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494">SUM(R1776+Q1776+I1776)</f>
        <v>500</v>
      </c>
    </row>
    <row r="1777" spans="2:19" outlineLevel="1">
      <c r="B1777" s="13" t="s">
        <v>122</v>
      </c>
      <c r="C1777" s="7" t="str">
        <f t="shared" si="487"/>
        <v>PIPA PLACA MNL 8768 - REPASSE LAUR</v>
      </c>
      <c r="D1777" s="8">
        <f t="shared" ref="D1777:D1779" si="495">D1709</f>
        <v>46110</v>
      </c>
      <c r="E1777" s="15"/>
      <c r="F1777" s="15"/>
      <c r="G1777" s="15">
        <f t="shared" si="493"/>
        <v>0</v>
      </c>
      <c r="H1777" s="16"/>
      <c r="I1777" s="10">
        <f>I1773</f>
        <v>500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494"/>
        <v>500</v>
      </c>
    </row>
    <row r="1778" spans="2:19" outlineLevel="1">
      <c r="B1778" s="13" t="s">
        <v>122</v>
      </c>
      <c r="C1778" s="7" t="str">
        <f t="shared" si="487"/>
        <v>PIPA PLACA MNL 8768 - REPASSE LAUR</v>
      </c>
      <c r="D1778" s="8">
        <f t="shared" si="495"/>
        <v>46111</v>
      </c>
      <c r="E1778" s="15"/>
      <c r="F1778" s="15"/>
      <c r="G1778" s="15">
        <f t="shared" si="493"/>
        <v>0</v>
      </c>
      <c r="H1778" s="16"/>
      <c r="I1778" s="10">
        <f>I1774</f>
        <v>500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494"/>
        <v>500</v>
      </c>
    </row>
    <row r="1779" spans="2:19" outlineLevel="1">
      <c r="B1779" s="13" t="s">
        <v>122</v>
      </c>
      <c r="C1779" s="7" t="str">
        <f t="shared" si="487"/>
        <v>PIPA PLACA MNL 8768 - REPASSE LAUR</v>
      </c>
      <c r="D1779" s="8">
        <f t="shared" si="495"/>
        <v>46112</v>
      </c>
      <c r="E1779" s="15"/>
      <c r="F1779" s="15"/>
      <c r="G1779" s="15">
        <f t="shared" si="488"/>
        <v>0</v>
      </c>
      <c r="H1779" s="16"/>
      <c r="I1779" s="10">
        <f>I1775</f>
        <v>500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489"/>
        <v>500</v>
      </c>
    </row>
    <row r="1780" spans="2:19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5" t="str">
        <f>M$1</f>
        <v>BM JANEIRO 2026</v>
      </c>
      <c r="N1781" s="135"/>
      <c r="O1781" s="135"/>
      <c r="P1781" s="19" t="s">
        <v>10</v>
      </c>
      <c r="Q1781" s="136" t="s">
        <v>256</v>
      </c>
      <c r="R1781" s="136"/>
      <c r="S1781" s="136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outlineLevel="1">
      <c r="B1783" s="11" t="s">
        <v>124</v>
      </c>
      <c r="C1783" s="7" t="str">
        <f>C$1781</f>
        <v>USINA DE MICRO EMMAQ CAMINHÃO VW 26260 PL SLR 4I80</v>
      </c>
      <c r="D1783" s="8">
        <f>D1715</f>
        <v>46082</v>
      </c>
      <c r="E1783" s="15"/>
      <c r="F1783" s="15"/>
      <c r="G1783" s="15">
        <f t="shared" ref="G1783:G1786" si="496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outlineLevel="1">
      <c r="B1784" s="12" t="s">
        <v>0</v>
      </c>
      <c r="C1784" s="7" t="str">
        <f t="shared" ref="C1784:C1813" si="497">C$1781</f>
        <v>USINA DE MICRO EMMAQ CAMINHÃO VW 26260 PL SLR 4I80</v>
      </c>
      <c r="D1784" s="8">
        <f>D1716</f>
        <v>46083</v>
      </c>
      <c r="E1784" s="15"/>
      <c r="F1784" s="15"/>
      <c r="G1784" s="15">
        <f t="shared" si="496"/>
        <v>0</v>
      </c>
      <c r="H1784" s="16" t="s">
        <v>6</v>
      </c>
      <c r="I1784" s="10">
        <f t="shared" ref="I1784:I1813" si="498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499">SUM(R1784+Q1784+I1784)</f>
        <v>0</v>
      </c>
    </row>
    <row r="1785" spans="2:19" outlineLevel="1">
      <c r="B1785" s="13" t="s">
        <v>124</v>
      </c>
      <c r="C1785" s="7" t="str">
        <f t="shared" si="497"/>
        <v>USINA DE MICRO EMMAQ CAMINHÃO VW 26260 PL SLR 4I80</v>
      </c>
      <c r="D1785" s="8">
        <f>D1717</f>
        <v>46084</v>
      </c>
      <c r="E1785" s="15"/>
      <c r="F1785" s="15"/>
      <c r="G1785" s="15">
        <f t="shared" si="496"/>
        <v>0</v>
      </c>
      <c r="H1785" s="16" t="s">
        <v>6</v>
      </c>
      <c r="I1785" s="10">
        <f t="shared" si="498"/>
        <v>0</v>
      </c>
      <c r="J1785" s="16" t="s">
        <v>201</v>
      </c>
      <c r="K1785" s="15"/>
      <c r="L1785" s="15"/>
      <c r="M1785" s="17"/>
      <c r="N1785" s="9"/>
      <c r="O1785" s="18">
        <f t="shared" ref="O1785:O1804" si="500">O1784</f>
        <v>1</v>
      </c>
      <c r="P1785" s="9"/>
      <c r="Q1785" s="9"/>
      <c r="R1785" s="9"/>
      <c r="S1785" s="10">
        <f t="shared" si="499"/>
        <v>0</v>
      </c>
    </row>
    <row r="1786" spans="2:19" outlineLevel="1">
      <c r="B1786" s="13" t="s">
        <v>124</v>
      </c>
      <c r="C1786" s="7" t="str">
        <f t="shared" si="497"/>
        <v>USINA DE MICRO EMMAQ CAMINHÃO VW 26260 PL SLR 4I80</v>
      </c>
      <c r="D1786" s="8">
        <f>D1718</f>
        <v>46085</v>
      </c>
      <c r="E1786" s="15"/>
      <c r="F1786" s="15"/>
      <c r="G1786" s="15">
        <f t="shared" si="496"/>
        <v>0</v>
      </c>
      <c r="H1786" s="16" t="s">
        <v>6</v>
      </c>
      <c r="I1786" s="10">
        <f t="shared" si="498"/>
        <v>0</v>
      </c>
      <c r="J1786" s="16" t="s">
        <v>201</v>
      </c>
      <c r="K1786" s="15"/>
      <c r="L1786" s="15"/>
      <c r="M1786" s="17"/>
      <c r="N1786" s="9"/>
      <c r="O1786" s="18">
        <f t="shared" si="500"/>
        <v>1</v>
      </c>
      <c r="P1786" s="9"/>
      <c r="Q1786" s="9"/>
      <c r="R1786" s="9"/>
      <c r="S1786" s="10">
        <f t="shared" si="499"/>
        <v>0</v>
      </c>
    </row>
    <row r="1787" spans="2:19" outlineLevel="1">
      <c r="B1787" s="13" t="s">
        <v>124</v>
      </c>
      <c r="C1787" s="7" t="str">
        <f t="shared" si="497"/>
        <v>USINA DE MICRO EMMAQ CAMINHÃO VW 26260 PL SLR 4I80</v>
      </c>
      <c r="D1787" s="8">
        <f>D1719</f>
        <v>46086</v>
      </c>
      <c r="E1787" s="15"/>
      <c r="F1787" s="15"/>
      <c r="G1787" s="15">
        <f t="shared" ref="G1787:G1813" si="501">F1787-E1787</f>
        <v>0</v>
      </c>
      <c r="H1787" s="16" t="s">
        <v>6</v>
      </c>
      <c r="I1787" s="10">
        <f t="shared" si="498"/>
        <v>0</v>
      </c>
      <c r="J1787" s="16" t="s">
        <v>201</v>
      </c>
      <c r="K1787" s="15"/>
      <c r="L1787" s="15"/>
      <c r="M1787" s="17"/>
      <c r="N1787" s="9"/>
      <c r="O1787" s="18">
        <f t="shared" si="500"/>
        <v>1</v>
      </c>
      <c r="P1787" s="9"/>
      <c r="Q1787" s="9"/>
      <c r="R1787" s="9"/>
      <c r="S1787" s="10">
        <f t="shared" si="499"/>
        <v>0</v>
      </c>
    </row>
    <row r="1788" spans="2:19" outlineLevel="1">
      <c r="B1788" s="13" t="s">
        <v>124</v>
      </c>
      <c r="C1788" s="7" t="str">
        <f t="shared" si="497"/>
        <v>USINA DE MICRO EMMAQ CAMINHÃO VW 26260 PL SLR 4I80</v>
      </c>
      <c r="D1788" s="8">
        <f>D1720</f>
        <v>46087</v>
      </c>
      <c r="E1788" s="15"/>
      <c r="F1788" s="15"/>
      <c r="G1788" s="15">
        <f t="shared" si="501"/>
        <v>0</v>
      </c>
      <c r="H1788" s="16" t="s">
        <v>6</v>
      </c>
      <c r="I1788" s="10">
        <f t="shared" si="498"/>
        <v>0</v>
      </c>
      <c r="J1788" s="16" t="s">
        <v>201</v>
      </c>
      <c r="K1788" s="15"/>
      <c r="L1788" s="15"/>
      <c r="M1788" s="17"/>
      <c r="N1788" s="9"/>
      <c r="O1788" s="18">
        <f t="shared" si="500"/>
        <v>1</v>
      </c>
      <c r="P1788" s="9"/>
      <c r="Q1788" s="9"/>
      <c r="R1788" s="9"/>
      <c r="S1788" s="10">
        <f t="shared" si="499"/>
        <v>0</v>
      </c>
    </row>
    <row r="1789" spans="2:19" outlineLevel="1">
      <c r="B1789" s="13" t="s">
        <v>124</v>
      </c>
      <c r="C1789" s="7" t="str">
        <f t="shared" si="497"/>
        <v>USINA DE MICRO EMMAQ CAMINHÃO VW 26260 PL SLR 4I80</v>
      </c>
      <c r="D1789" s="8">
        <f>D1721</f>
        <v>46088</v>
      </c>
      <c r="E1789" s="15"/>
      <c r="F1789" s="15"/>
      <c r="G1789" s="15">
        <f t="shared" si="501"/>
        <v>0</v>
      </c>
      <c r="H1789" s="16" t="s">
        <v>6</v>
      </c>
      <c r="I1789" s="10">
        <f t="shared" si="498"/>
        <v>0</v>
      </c>
      <c r="J1789" s="16" t="s">
        <v>201</v>
      </c>
      <c r="K1789" s="15"/>
      <c r="L1789" s="15"/>
      <c r="M1789" s="17"/>
      <c r="N1789" s="9"/>
      <c r="O1789" s="18">
        <f t="shared" si="500"/>
        <v>1</v>
      </c>
      <c r="P1789" s="9"/>
      <c r="Q1789" s="9"/>
      <c r="R1789" s="9"/>
      <c r="S1789" s="10">
        <f t="shared" si="499"/>
        <v>0</v>
      </c>
    </row>
    <row r="1790" spans="2:19" outlineLevel="1">
      <c r="B1790" s="13" t="s">
        <v>124</v>
      </c>
      <c r="C1790" s="7" t="str">
        <f t="shared" si="497"/>
        <v>USINA DE MICRO EMMAQ CAMINHÃO VW 26260 PL SLR 4I80</v>
      </c>
      <c r="D1790" s="8">
        <f>D1722</f>
        <v>46089</v>
      </c>
      <c r="E1790" s="15"/>
      <c r="F1790" s="15"/>
      <c r="G1790" s="15">
        <f t="shared" si="501"/>
        <v>0</v>
      </c>
      <c r="H1790" s="16" t="s">
        <v>6</v>
      </c>
      <c r="I1790" s="10">
        <f t="shared" si="498"/>
        <v>0</v>
      </c>
      <c r="J1790" s="16" t="s">
        <v>201</v>
      </c>
      <c r="K1790" s="15"/>
      <c r="L1790" s="15"/>
      <c r="M1790" s="17"/>
      <c r="N1790" s="9"/>
      <c r="O1790" s="18">
        <f t="shared" si="500"/>
        <v>1</v>
      </c>
      <c r="P1790" s="9"/>
      <c r="Q1790" s="9"/>
      <c r="R1790" s="9"/>
      <c r="S1790" s="10">
        <f t="shared" si="499"/>
        <v>0</v>
      </c>
    </row>
    <row r="1791" spans="2:19" outlineLevel="1">
      <c r="B1791" s="13" t="s">
        <v>124</v>
      </c>
      <c r="C1791" s="7" t="str">
        <f t="shared" si="497"/>
        <v>USINA DE MICRO EMMAQ CAMINHÃO VW 26260 PL SLR 4I80</v>
      </c>
      <c r="D1791" s="8">
        <f>D1723</f>
        <v>46090</v>
      </c>
      <c r="E1791" s="15"/>
      <c r="F1791" s="15"/>
      <c r="G1791" s="15">
        <f t="shared" si="501"/>
        <v>0</v>
      </c>
      <c r="H1791" s="16" t="s">
        <v>6</v>
      </c>
      <c r="I1791" s="10">
        <f t="shared" si="498"/>
        <v>0</v>
      </c>
      <c r="J1791" s="16" t="s">
        <v>201</v>
      </c>
      <c r="K1791" s="15"/>
      <c r="L1791" s="15"/>
      <c r="M1791" s="17"/>
      <c r="N1791" s="9"/>
      <c r="O1791" s="18">
        <f t="shared" si="500"/>
        <v>1</v>
      </c>
      <c r="P1791" s="9"/>
      <c r="Q1791" s="9"/>
      <c r="R1791" s="9"/>
      <c r="S1791" s="10">
        <f t="shared" si="499"/>
        <v>0</v>
      </c>
    </row>
    <row r="1792" spans="2:19" outlineLevel="1">
      <c r="B1792" s="13" t="s">
        <v>124</v>
      </c>
      <c r="C1792" s="7" t="str">
        <f t="shared" si="497"/>
        <v>USINA DE MICRO EMMAQ CAMINHÃO VW 26260 PL SLR 4I80</v>
      </c>
      <c r="D1792" s="8">
        <f>D1724</f>
        <v>46091</v>
      </c>
      <c r="E1792" s="15"/>
      <c r="F1792" s="15"/>
      <c r="G1792" s="15">
        <f t="shared" si="501"/>
        <v>0</v>
      </c>
      <c r="H1792" s="16" t="s">
        <v>6</v>
      </c>
      <c r="I1792" s="10">
        <f t="shared" si="498"/>
        <v>0</v>
      </c>
      <c r="J1792" s="16" t="s">
        <v>201</v>
      </c>
      <c r="K1792" s="15"/>
      <c r="L1792" s="15"/>
      <c r="M1792" s="17"/>
      <c r="N1792" s="9"/>
      <c r="O1792" s="18">
        <f t="shared" si="500"/>
        <v>1</v>
      </c>
      <c r="P1792" s="9"/>
      <c r="Q1792" s="9"/>
      <c r="R1792" s="9"/>
      <c r="S1792" s="10">
        <f t="shared" si="499"/>
        <v>0</v>
      </c>
    </row>
    <row r="1793" spans="2:19" outlineLevel="1">
      <c r="B1793" s="13" t="s">
        <v>124</v>
      </c>
      <c r="C1793" s="7" t="str">
        <f t="shared" si="497"/>
        <v>USINA DE MICRO EMMAQ CAMINHÃO VW 26260 PL SLR 4I80</v>
      </c>
      <c r="D1793" s="8">
        <f>D1725</f>
        <v>46092</v>
      </c>
      <c r="E1793" s="15"/>
      <c r="F1793" s="15"/>
      <c r="G1793" s="15">
        <f t="shared" si="501"/>
        <v>0</v>
      </c>
      <c r="H1793" s="16" t="s">
        <v>6</v>
      </c>
      <c r="I1793" s="10">
        <f t="shared" si="498"/>
        <v>0</v>
      </c>
      <c r="J1793" s="16" t="s">
        <v>201</v>
      </c>
      <c r="K1793" s="15"/>
      <c r="L1793" s="15"/>
      <c r="M1793" s="17"/>
      <c r="N1793" s="9"/>
      <c r="O1793" s="18">
        <f t="shared" si="500"/>
        <v>1</v>
      </c>
      <c r="P1793" s="9"/>
      <c r="Q1793" s="9"/>
      <c r="R1793" s="9"/>
      <c r="S1793" s="10">
        <f t="shared" si="499"/>
        <v>0</v>
      </c>
    </row>
    <row r="1794" spans="2:19" outlineLevel="1">
      <c r="B1794" s="13" t="s">
        <v>124</v>
      </c>
      <c r="C1794" s="7" t="str">
        <f t="shared" si="497"/>
        <v>USINA DE MICRO EMMAQ CAMINHÃO VW 26260 PL SLR 4I80</v>
      </c>
      <c r="D1794" s="8">
        <f>D1726</f>
        <v>46093</v>
      </c>
      <c r="E1794" s="15"/>
      <c r="F1794" s="15"/>
      <c r="G1794" s="15">
        <f t="shared" si="501"/>
        <v>0</v>
      </c>
      <c r="H1794" s="16" t="s">
        <v>6</v>
      </c>
      <c r="I1794" s="10">
        <f t="shared" si="498"/>
        <v>0</v>
      </c>
      <c r="J1794" s="16" t="s">
        <v>201</v>
      </c>
      <c r="K1794" s="15"/>
      <c r="L1794" s="15"/>
      <c r="M1794" s="17"/>
      <c r="N1794" s="9"/>
      <c r="O1794" s="18">
        <f t="shared" si="500"/>
        <v>1</v>
      </c>
      <c r="P1794" s="9"/>
      <c r="Q1794" s="9"/>
      <c r="R1794" s="9"/>
      <c r="S1794" s="10">
        <f t="shared" si="499"/>
        <v>0</v>
      </c>
    </row>
    <row r="1795" spans="2:19" outlineLevel="1">
      <c r="B1795" s="13" t="s">
        <v>124</v>
      </c>
      <c r="C1795" s="7" t="str">
        <f t="shared" si="497"/>
        <v>USINA DE MICRO EMMAQ CAMINHÃO VW 26260 PL SLR 4I80</v>
      </c>
      <c r="D1795" s="8">
        <f>D1727</f>
        <v>46094</v>
      </c>
      <c r="E1795" s="15"/>
      <c r="F1795" s="15"/>
      <c r="G1795" s="15">
        <f t="shared" si="501"/>
        <v>0</v>
      </c>
      <c r="H1795" s="16" t="s">
        <v>6</v>
      </c>
      <c r="I1795" s="10">
        <f t="shared" si="498"/>
        <v>0</v>
      </c>
      <c r="J1795" s="16" t="s">
        <v>201</v>
      </c>
      <c r="K1795" s="15"/>
      <c r="L1795" s="15"/>
      <c r="M1795" s="17"/>
      <c r="N1795" s="9"/>
      <c r="O1795" s="18">
        <f t="shared" si="500"/>
        <v>1</v>
      </c>
      <c r="P1795" s="9"/>
      <c r="Q1795" s="9"/>
      <c r="R1795" s="9"/>
      <c r="S1795" s="10">
        <f t="shared" si="499"/>
        <v>0</v>
      </c>
    </row>
    <row r="1796" spans="2:19" outlineLevel="1">
      <c r="B1796" s="13" t="s">
        <v>124</v>
      </c>
      <c r="C1796" s="7" t="str">
        <f t="shared" si="497"/>
        <v>USINA DE MICRO EMMAQ CAMINHÃO VW 26260 PL SLR 4I80</v>
      </c>
      <c r="D1796" s="8">
        <f>D1728</f>
        <v>46095</v>
      </c>
      <c r="E1796" s="15"/>
      <c r="F1796" s="15"/>
      <c r="G1796" s="15">
        <f t="shared" si="501"/>
        <v>0</v>
      </c>
      <c r="H1796" s="16" t="s">
        <v>6</v>
      </c>
      <c r="I1796" s="10">
        <f t="shared" si="498"/>
        <v>0</v>
      </c>
      <c r="J1796" s="16" t="s">
        <v>201</v>
      </c>
      <c r="K1796" s="15"/>
      <c r="L1796" s="15"/>
      <c r="M1796" s="17"/>
      <c r="N1796" s="9"/>
      <c r="O1796" s="18">
        <f t="shared" si="500"/>
        <v>1</v>
      </c>
      <c r="P1796" s="9"/>
      <c r="Q1796" s="9"/>
      <c r="R1796" s="9"/>
      <c r="S1796" s="10">
        <f t="shared" si="499"/>
        <v>0</v>
      </c>
    </row>
    <row r="1797" spans="2:19" outlineLevel="1">
      <c r="B1797" s="13" t="s">
        <v>124</v>
      </c>
      <c r="C1797" s="7" t="str">
        <f t="shared" si="497"/>
        <v>USINA DE MICRO EMMAQ CAMINHÃO VW 26260 PL SLR 4I80</v>
      </c>
      <c r="D1797" s="8">
        <f>D1729</f>
        <v>46096</v>
      </c>
      <c r="E1797" s="15"/>
      <c r="F1797" s="15"/>
      <c r="G1797" s="15">
        <f t="shared" si="501"/>
        <v>0</v>
      </c>
      <c r="H1797" s="16" t="s">
        <v>6</v>
      </c>
      <c r="I1797" s="10">
        <f t="shared" si="498"/>
        <v>0</v>
      </c>
      <c r="J1797" s="16" t="s">
        <v>201</v>
      </c>
      <c r="K1797" s="15"/>
      <c r="L1797" s="15"/>
      <c r="M1797" s="17"/>
      <c r="N1797" s="9"/>
      <c r="O1797" s="18">
        <f t="shared" si="500"/>
        <v>1</v>
      </c>
      <c r="P1797" s="9"/>
      <c r="Q1797" s="9"/>
      <c r="R1797" s="9"/>
      <c r="S1797" s="10">
        <f t="shared" si="499"/>
        <v>0</v>
      </c>
    </row>
    <row r="1798" spans="2:19" outlineLevel="1">
      <c r="B1798" s="13" t="s">
        <v>124</v>
      </c>
      <c r="C1798" s="7" t="str">
        <f t="shared" si="497"/>
        <v>USINA DE MICRO EMMAQ CAMINHÃO VW 26260 PL SLR 4I80</v>
      </c>
      <c r="D1798" s="8">
        <f>D1730</f>
        <v>46097</v>
      </c>
      <c r="E1798" s="15"/>
      <c r="F1798" s="15"/>
      <c r="G1798" s="15">
        <f t="shared" si="501"/>
        <v>0</v>
      </c>
      <c r="H1798" s="16" t="s">
        <v>6</v>
      </c>
      <c r="I1798" s="10">
        <f t="shared" si="498"/>
        <v>0</v>
      </c>
      <c r="J1798" s="16" t="s">
        <v>201</v>
      </c>
      <c r="K1798" s="15"/>
      <c r="L1798" s="15"/>
      <c r="M1798" s="17"/>
      <c r="N1798" s="9"/>
      <c r="O1798" s="18">
        <f t="shared" si="500"/>
        <v>1</v>
      </c>
      <c r="P1798" s="9"/>
      <c r="Q1798" s="9"/>
      <c r="R1798" s="9"/>
      <c r="S1798" s="10">
        <f t="shared" si="499"/>
        <v>0</v>
      </c>
    </row>
    <row r="1799" spans="2:19" outlineLevel="1">
      <c r="B1799" s="13" t="s">
        <v>124</v>
      </c>
      <c r="C1799" s="7" t="str">
        <f t="shared" si="497"/>
        <v>USINA DE MICRO EMMAQ CAMINHÃO VW 26260 PL SLR 4I80</v>
      </c>
      <c r="D1799" s="8">
        <f>D1731</f>
        <v>46098</v>
      </c>
      <c r="E1799" s="15"/>
      <c r="F1799" s="15"/>
      <c r="G1799" s="15">
        <f t="shared" si="501"/>
        <v>0</v>
      </c>
      <c r="H1799" s="16" t="s">
        <v>6</v>
      </c>
      <c r="I1799" s="10">
        <f t="shared" si="498"/>
        <v>0</v>
      </c>
      <c r="J1799" s="16" t="s">
        <v>201</v>
      </c>
      <c r="K1799" s="15"/>
      <c r="L1799" s="15"/>
      <c r="M1799" s="17"/>
      <c r="N1799" s="9"/>
      <c r="O1799" s="18">
        <f t="shared" si="500"/>
        <v>1</v>
      </c>
      <c r="P1799" s="9"/>
      <c r="Q1799" s="9"/>
      <c r="R1799" s="9"/>
      <c r="S1799" s="10">
        <f t="shared" si="499"/>
        <v>0</v>
      </c>
    </row>
    <row r="1800" spans="2:19" outlineLevel="1">
      <c r="B1800" s="13" t="s">
        <v>124</v>
      </c>
      <c r="C1800" s="7" t="str">
        <f t="shared" si="497"/>
        <v>USINA DE MICRO EMMAQ CAMINHÃO VW 26260 PL SLR 4I80</v>
      </c>
      <c r="D1800" s="8">
        <f>D1732</f>
        <v>46099</v>
      </c>
      <c r="E1800" s="15"/>
      <c r="F1800" s="15"/>
      <c r="G1800" s="15">
        <f t="shared" si="501"/>
        <v>0</v>
      </c>
      <c r="H1800" s="16" t="s">
        <v>6</v>
      </c>
      <c r="I1800" s="10">
        <f t="shared" si="498"/>
        <v>0</v>
      </c>
      <c r="J1800" s="16" t="s">
        <v>201</v>
      </c>
      <c r="K1800" s="15"/>
      <c r="L1800" s="15"/>
      <c r="M1800" s="17"/>
      <c r="N1800" s="9"/>
      <c r="O1800" s="18">
        <f t="shared" si="500"/>
        <v>1</v>
      </c>
      <c r="P1800" s="9"/>
      <c r="Q1800" s="9"/>
      <c r="R1800" s="9"/>
      <c r="S1800" s="10">
        <f t="shared" si="499"/>
        <v>0</v>
      </c>
    </row>
    <row r="1801" spans="2:19" outlineLevel="1">
      <c r="B1801" s="13" t="s">
        <v>124</v>
      </c>
      <c r="C1801" s="7" t="str">
        <f t="shared" si="497"/>
        <v>USINA DE MICRO EMMAQ CAMINHÃO VW 26260 PL SLR 4I80</v>
      </c>
      <c r="D1801" s="8">
        <f>D1733</f>
        <v>46100</v>
      </c>
      <c r="E1801" s="15"/>
      <c r="F1801" s="15"/>
      <c r="G1801" s="15">
        <f t="shared" si="501"/>
        <v>0</v>
      </c>
      <c r="H1801" s="16" t="s">
        <v>6</v>
      </c>
      <c r="I1801" s="10">
        <f t="shared" si="498"/>
        <v>0</v>
      </c>
      <c r="J1801" s="16" t="s">
        <v>201</v>
      </c>
      <c r="K1801" s="15"/>
      <c r="L1801" s="15"/>
      <c r="M1801" s="17"/>
      <c r="N1801" s="9"/>
      <c r="O1801" s="18">
        <f t="shared" si="500"/>
        <v>1</v>
      </c>
      <c r="P1801" s="9"/>
      <c r="Q1801" s="9"/>
      <c r="R1801" s="9"/>
      <c r="S1801" s="10">
        <f t="shared" si="499"/>
        <v>0</v>
      </c>
    </row>
    <row r="1802" spans="2:19" outlineLevel="1">
      <c r="B1802" s="13" t="s">
        <v>124</v>
      </c>
      <c r="C1802" s="7" t="str">
        <f t="shared" si="497"/>
        <v>USINA DE MICRO EMMAQ CAMINHÃO VW 26260 PL SLR 4I80</v>
      </c>
      <c r="D1802" s="8">
        <f>D1734</f>
        <v>46101</v>
      </c>
      <c r="E1802" s="15"/>
      <c r="F1802" s="15"/>
      <c r="G1802" s="15">
        <f t="shared" si="501"/>
        <v>0</v>
      </c>
      <c r="H1802" s="16" t="s">
        <v>6</v>
      </c>
      <c r="I1802" s="10">
        <f t="shared" si="498"/>
        <v>0</v>
      </c>
      <c r="J1802" s="16" t="s">
        <v>201</v>
      </c>
      <c r="K1802" s="15"/>
      <c r="L1802" s="15"/>
      <c r="M1802" s="17"/>
      <c r="N1802" s="9"/>
      <c r="O1802" s="18">
        <f t="shared" si="500"/>
        <v>1</v>
      </c>
      <c r="P1802" s="9"/>
      <c r="Q1802" s="9"/>
      <c r="R1802" s="9"/>
      <c r="S1802" s="10">
        <f t="shared" si="499"/>
        <v>0</v>
      </c>
    </row>
    <row r="1803" spans="2:19" outlineLevel="1">
      <c r="B1803" s="13" t="s">
        <v>124</v>
      </c>
      <c r="C1803" s="7" t="str">
        <f t="shared" si="497"/>
        <v>USINA DE MICRO EMMAQ CAMINHÃO VW 26260 PL SLR 4I80</v>
      </c>
      <c r="D1803" s="8">
        <f>D1735</f>
        <v>46102</v>
      </c>
      <c r="E1803" s="15"/>
      <c r="F1803" s="15"/>
      <c r="G1803" s="15">
        <f t="shared" si="501"/>
        <v>0</v>
      </c>
      <c r="H1803" s="16" t="s">
        <v>6</v>
      </c>
      <c r="I1803" s="10">
        <f t="shared" si="498"/>
        <v>0</v>
      </c>
      <c r="J1803" s="16" t="s">
        <v>201</v>
      </c>
      <c r="K1803" s="15"/>
      <c r="L1803" s="15"/>
      <c r="M1803" s="17"/>
      <c r="N1803" s="9"/>
      <c r="O1803" s="18">
        <f t="shared" si="500"/>
        <v>1</v>
      </c>
      <c r="P1803" s="9"/>
      <c r="Q1803" s="9"/>
      <c r="R1803" s="9"/>
      <c r="S1803" s="10">
        <f t="shared" si="499"/>
        <v>0</v>
      </c>
    </row>
    <row r="1804" spans="2:19" outlineLevel="1">
      <c r="B1804" s="13" t="s">
        <v>124</v>
      </c>
      <c r="C1804" s="7" t="str">
        <f t="shared" si="497"/>
        <v>USINA DE MICRO EMMAQ CAMINHÃO VW 26260 PL SLR 4I80</v>
      </c>
      <c r="D1804" s="8">
        <f>D1736</f>
        <v>46103</v>
      </c>
      <c r="E1804" s="15"/>
      <c r="F1804" s="15"/>
      <c r="G1804" s="15">
        <f t="shared" si="501"/>
        <v>0</v>
      </c>
      <c r="H1804" s="16" t="s">
        <v>6</v>
      </c>
      <c r="I1804" s="10">
        <f t="shared" si="498"/>
        <v>0</v>
      </c>
      <c r="J1804" s="16" t="s">
        <v>201</v>
      </c>
      <c r="K1804" s="15"/>
      <c r="L1804" s="15"/>
      <c r="M1804" s="17"/>
      <c r="N1804" s="9"/>
      <c r="O1804" s="18">
        <f t="shared" si="500"/>
        <v>1</v>
      </c>
      <c r="P1804" s="9"/>
      <c r="Q1804" s="9"/>
      <c r="R1804" s="9"/>
      <c r="S1804" s="10">
        <f t="shared" si="499"/>
        <v>0</v>
      </c>
    </row>
    <row r="1805" spans="2:19" outlineLevel="1">
      <c r="B1805" s="13" t="s">
        <v>124</v>
      </c>
      <c r="C1805" s="7" t="str">
        <f t="shared" si="497"/>
        <v>USINA DE MICRO EMMAQ CAMINHÃO VW 26260 PL SLR 4I80</v>
      </c>
      <c r="D1805" s="8">
        <f>D1737</f>
        <v>46104</v>
      </c>
      <c r="E1805" s="15"/>
      <c r="F1805" s="15"/>
      <c r="G1805" s="15">
        <f t="shared" si="501"/>
        <v>0</v>
      </c>
      <c r="H1805" s="16" t="s">
        <v>6</v>
      </c>
      <c r="I1805" s="10">
        <f t="shared" si="498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499"/>
        <v>0</v>
      </c>
    </row>
    <row r="1806" spans="2:19" outlineLevel="1">
      <c r="B1806" s="13" t="s">
        <v>124</v>
      </c>
      <c r="C1806" s="7" t="str">
        <f t="shared" si="497"/>
        <v>USINA DE MICRO EMMAQ CAMINHÃO VW 26260 PL SLR 4I80</v>
      </c>
      <c r="D1806" s="8">
        <f>D1738</f>
        <v>46105</v>
      </c>
      <c r="E1806" s="15"/>
      <c r="F1806" s="15"/>
      <c r="G1806" s="15">
        <f t="shared" si="501"/>
        <v>0</v>
      </c>
      <c r="H1806" s="16" t="s">
        <v>6</v>
      </c>
      <c r="I1806" s="10">
        <f t="shared" si="498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499"/>
        <v>0</v>
      </c>
    </row>
    <row r="1807" spans="2:19" outlineLevel="1">
      <c r="B1807" s="13" t="s">
        <v>124</v>
      </c>
      <c r="C1807" s="7" t="str">
        <f t="shared" si="497"/>
        <v>USINA DE MICRO EMMAQ CAMINHÃO VW 26260 PL SLR 4I80</v>
      </c>
      <c r="D1807" s="8">
        <f>D1739</f>
        <v>46106</v>
      </c>
      <c r="E1807" s="15"/>
      <c r="F1807" s="15"/>
      <c r="G1807" s="15">
        <f t="shared" si="501"/>
        <v>0</v>
      </c>
      <c r="H1807" s="16" t="s">
        <v>6</v>
      </c>
      <c r="I1807" s="10">
        <f t="shared" si="498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499"/>
        <v>0</v>
      </c>
    </row>
    <row r="1808" spans="2:19" outlineLevel="1">
      <c r="B1808" s="13" t="s">
        <v>124</v>
      </c>
      <c r="C1808" s="7" t="str">
        <f t="shared" si="497"/>
        <v>USINA DE MICRO EMMAQ CAMINHÃO VW 26260 PL SLR 4I80</v>
      </c>
      <c r="D1808" s="8">
        <f>D1740</f>
        <v>46107</v>
      </c>
      <c r="E1808" s="15"/>
      <c r="F1808" s="15"/>
      <c r="G1808" s="15">
        <f t="shared" si="501"/>
        <v>0</v>
      </c>
      <c r="H1808" s="16" t="s">
        <v>6</v>
      </c>
      <c r="I1808" s="10">
        <f t="shared" si="498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499"/>
        <v>0</v>
      </c>
    </row>
    <row r="1809" spans="2:19" customFormat="1" outlineLevel="1">
      <c r="B1809" s="13" t="s">
        <v>124</v>
      </c>
      <c r="C1809" s="7" t="str">
        <f t="shared" si="497"/>
        <v>USINA DE MICRO EMMAQ CAMINHÃO VW 26260 PL SLR 4I80</v>
      </c>
      <c r="D1809" s="8">
        <f>D1741</f>
        <v>46108</v>
      </c>
      <c r="E1809" s="15"/>
      <c r="F1809" s="15"/>
      <c r="G1809" s="15">
        <f t="shared" si="501"/>
        <v>0</v>
      </c>
      <c r="H1809" s="16" t="s">
        <v>6</v>
      </c>
      <c r="I1809" s="10">
        <f t="shared" si="498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499"/>
        <v>0</v>
      </c>
    </row>
    <row r="1810" spans="2:19" customFormat="1" outlineLevel="1">
      <c r="B1810" s="13" t="s">
        <v>124</v>
      </c>
      <c r="C1810" s="7" t="str">
        <f t="shared" si="497"/>
        <v>USINA DE MICRO EMMAQ CAMINHÃO VW 26260 PL SLR 4I80</v>
      </c>
      <c r="D1810" s="8">
        <f t="shared" ref="D1810" si="502">D1742</f>
        <v>46109</v>
      </c>
      <c r="E1810" s="15"/>
      <c r="F1810" s="15"/>
      <c r="G1810" s="15">
        <f t="shared" ref="G1810:G1812" si="503">F1810-E1810</f>
        <v>0</v>
      </c>
      <c r="H1810" s="16" t="s">
        <v>6</v>
      </c>
      <c r="I1810" s="10">
        <f t="shared" ref="I1810:I1812" si="504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505">SUM(R1810+Q1810+I1810)</f>
        <v>0</v>
      </c>
    </row>
    <row r="1811" spans="2:19" customFormat="1" outlineLevel="1">
      <c r="B1811" s="13" t="s">
        <v>124</v>
      </c>
      <c r="C1811" s="7" t="str">
        <f t="shared" si="497"/>
        <v>USINA DE MICRO EMMAQ CAMINHÃO VW 26260 PL SLR 4I80</v>
      </c>
      <c r="D1811" s="8">
        <f t="shared" ref="D1811:D1813" si="506">D1743</f>
        <v>46110</v>
      </c>
      <c r="E1811" s="15"/>
      <c r="F1811" s="15"/>
      <c r="G1811" s="15">
        <f t="shared" si="503"/>
        <v>0</v>
      </c>
      <c r="H1811" s="16" t="s">
        <v>6</v>
      </c>
      <c r="I1811" s="10">
        <f t="shared" si="504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05"/>
        <v>0</v>
      </c>
    </row>
    <row r="1812" spans="2:19" customFormat="1" outlineLevel="1">
      <c r="B1812" s="13" t="s">
        <v>124</v>
      </c>
      <c r="C1812" s="7" t="str">
        <f t="shared" si="497"/>
        <v>USINA DE MICRO EMMAQ CAMINHÃO VW 26260 PL SLR 4I80</v>
      </c>
      <c r="D1812" s="8">
        <f t="shared" si="506"/>
        <v>46111</v>
      </c>
      <c r="E1812" s="15"/>
      <c r="F1812" s="15"/>
      <c r="G1812" s="15">
        <f t="shared" si="503"/>
        <v>0</v>
      </c>
      <c r="H1812" s="16" t="s">
        <v>6</v>
      </c>
      <c r="I1812" s="10">
        <f t="shared" si="504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05"/>
        <v>0</v>
      </c>
    </row>
    <row r="1813" spans="2:19" customFormat="1" outlineLevel="1">
      <c r="B1813" s="13" t="s">
        <v>124</v>
      </c>
      <c r="C1813" s="7" t="str">
        <f t="shared" si="497"/>
        <v>USINA DE MICRO EMMAQ CAMINHÃO VW 26260 PL SLR 4I80</v>
      </c>
      <c r="D1813" s="8">
        <f t="shared" si="506"/>
        <v>46112</v>
      </c>
      <c r="E1813" s="15"/>
      <c r="F1813" s="15"/>
      <c r="G1813" s="15">
        <f t="shared" si="501"/>
        <v>0</v>
      </c>
      <c r="H1813" s="16" t="s">
        <v>6</v>
      </c>
      <c r="I1813" s="10">
        <f t="shared" si="498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499"/>
        <v>0</v>
      </c>
    </row>
    <row r="1814" spans="2:19" customFormat="1">
      <c r="B1814" s="13" t="s">
        <v>124</v>
      </c>
      <c r="D1814" s="1"/>
      <c r="E1814" s="2"/>
      <c r="F1814" s="2"/>
      <c r="G1814" s="2"/>
      <c r="K1814" s="2"/>
      <c r="L1814" s="2"/>
      <c r="O1814" s="2"/>
      <c r="P1814" s="2"/>
      <c r="Q1814" s="2"/>
      <c r="R1814" s="2"/>
    </row>
    <row r="1815" spans="2:19" customFormat="1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5" t="str">
        <f>M$1</f>
        <v>BM JANEIRO 2026</v>
      </c>
      <c r="N1815" s="135"/>
      <c r="O1815" s="135"/>
      <c r="P1815" s="19" t="s">
        <v>10</v>
      </c>
      <c r="Q1815" s="136" t="s">
        <v>247</v>
      </c>
      <c r="R1815" s="136"/>
      <c r="S1815" s="136"/>
    </row>
    <row r="1816" spans="2:19" customFormat="1">
      <c r="B1816" s="14"/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customFormat="1" outlineLevel="1">
      <c r="B1817" s="11" t="s">
        <v>128</v>
      </c>
      <c r="C1817" s="7" t="str">
        <f>C$1815</f>
        <v>VIBRO ACABADORA VOGELE</v>
      </c>
      <c r="D1817" s="8">
        <f>D1749</f>
        <v>46082</v>
      </c>
      <c r="E1817" s="15"/>
      <c r="F1817" s="15"/>
      <c r="G1817" s="15">
        <f t="shared" ref="G1817:G1820" si="507">F1817-E1817</f>
        <v>0</v>
      </c>
      <c r="H1817" s="16" t="s">
        <v>272</v>
      </c>
      <c r="I1817" s="10">
        <f>P1817</f>
        <v>1607.1428571428571</v>
      </c>
      <c r="J1817" s="16" t="s">
        <v>16</v>
      </c>
      <c r="K1817" s="15">
        <v>1</v>
      </c>
      <c r="L1817" s="15"/>
      <c r="M1817" s="20"/>
      <c r="N1817" s="9"/>
      <c r="O1817" s="9">
        <v>45000</v>
      </c>
      <c r="P1817" s="9">
        <f>O1817/28</f>
        <v>1607.1428571428571</v>
      </c>
      <c r="Q1817" s="9"/>
      <c r="R1817" s="72"/>
      <c r="S1817" s="10">
        <f>SUM(R1817+Q1817+I1817)</f>
        <v>1607.1428571428571</v>
      </c>
    </row>
    <row r="1818" spans="2:19" customFormat="1" outlineLevel="1">
      <c r="B1818" s="12" t="s">
        <v>0</v>
      </c>
      <c r="C1818" s="7" t="str">
        <f t="shared" ref="C1818:C1847" si="508">C$1815</f>
        <v>VIBRO ACABADORA VOGELE</v>
      </c>
      <c r="D1818" s="8">
        <f>D1750</f>
        <v>46083</v>
      </c>
      <c r="E1818" s="15">
        <v>263.5</v>
      </c>
      <c r="F1818" s="15">
        <v>271.5</v>
      </c>
      <c r="G1818" s="15">
        <f t="shared" si="507"/>
        <v>8</v>
      </c>
      <c r="H1818" s="16" t="s">
        <v>272</v>
      </c>
      <c r="I1818" s="10">
        <f>I1817</f>
        <v>1607.1428571428571</v>
      </c>
      <c r="J1818" s="16"/>
      <c r="K1818" s="15">
        <v>1</v>
      </c>
      <c r="L1818" s="15">
        <v>20</v>
      </c>
      <c r="M1818" s="17">
        <v>46055</v>
      </c>
      <c r="N1818" s="9"/>
      <c r="O1818" s="9"/>
      <c r="P1818" s="9"/>
      <c r="Q1818" s="9"/>
      <c r="R1818" s="72"/>
      <c r="S1818" s="10">
        <f t="shared" ref="S1818:S1847" si="509">SUM(R1818+Q1818+I1818)</f>
        <v>1607.1428571428571</v>
      </c>
    </row>
    <row r="1819" spans="2:19" customFormat="1" outlineLevel="1">
      <c r="B1819" s="13" t="s">
        <v>128</v>
      </c>
      <c r="C1819" s="7" t="str">
        <f t="shared" si="508"/>
        <v>VIBRO ACABADORA VOGELE</v>
      </c>
      <c r="D1819" s="8">
        <f>D1751</f>
        <v>46084</v>
      </c>
      <c r="E1819" s="15"/>
      <c r="F1819" s="15"/>
      <c r="G1819" s="15">
        <f t="shared" si="507"/>
        <v>0</v>
      </c>
      <c r="H1819" s="16" t="s">
        <v>272</v>
      </c>
      <c r="I1819" s="10">
        <f t="shared" ref="I1819:I1843" si="510">I1818</f>
        <v>1607.1428571428571</v>
      </c>
      <c r="J1819" s="16" t="s">
        <v>16</v>
      </c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09"/>
        <v>1607.1428571428571</v>
      </c>
    </row>
    <row r="1820" spans="2:19" customFormat="1" outlineLevel="1">
      <c r="B1820" s="13" t="s">
        <v>128</v>
      </c>
      <c r="C1820" s="7" t="str">
        <f t="shared" si="508"/>
        <v>VIBRO ACABADORA VOGELE</v>
      </c>
      <c r="D1820" s="8">
        <f>D1752</f>
        <v>46085</v>
      </c>
      <c r="E1820" s="15">
        <v>271.5</v>
      </c>
      <c r="F1820" s="15">
        <v>278.2</v>
      </c>
      <c r="G1820" s="15">
        <f t="shared" si="507"/>
        <v>6.6999999999999886</v>
      </c>
      <c r="H1820" s="16" t="s">
        <v>272</v>
      </c>
      <c r="I1820" s="10">
        <f t="shared" si="510"/>
        <v>1607.1428571428571</v>
      </c>
      <c r="J1820" s="16"/>
      <c r="K1820" s="15">
        <v>1</v>
      </c>
      <c r="L1820" s="15"/>
      <c r="M1820" s="17"/>
      <c r="N1820" s="9"/>
      <c r="O1820" s="9"/>
      <c r="P1820" s="9"/>
      <c r="Q1820" s="9"/>
      <c r="R1820" s="72"/>
      <c r="S1820" s="10">
        <f t="shared" si="509"/>
        <v>1607.1428571428571</v>
      </c>
    </row>
    <row r="1821" spans="2:19" customFormat="1" outlineLevel="1">
      <c r="B1821" s="13" t="s">
        <v>128</v>
      </c>
      <c r="C1821" s="7" t="str">
        <f t="shared" si="508"/>
        <v>VIBRO ACABADORA VOGELE</v>
      </c>
      <c r="D1821" s="8">
        <f>D1753</f>
        <v>46086</v>
      </c>
      <c r="E1821" s="15">
        <v>278.2</v>
      </c>
      <c r="F1821" s="15">
        <v>283.7</v>
      </c>
      <c r="G1821" s="15">
        <f t="shared" ref="G1821:G1847" si="511">F1821-E1821</f>
        <v>5.5</v>
      </c>
      <c r="H1821" s="16" t="s">
        <v>278</v>
      </c>
      <c r="I1821" s="10">
        <f t="shared" si="510"/>
        <v>1607.1428571428571</v>
      </c>
      <c r="J1821" s="16"/>
      <c r="K1821" s="15">
        <v>1</v>
      </c>
      <c r="L1821" s="15">
        <v>40</v>
      </c>
      <c r="M1821" s="17">
        <v>46058</v>
      </c>
      <c r="N1821" s="9"/>
      <c r="O1821" s="9"/>
      <c r="P1821" s="9"/>
      <c r="Q1821" s="9"/>
      <c r="R1821" s="72"/>
      <c r="S1821" s="10">
        <f t="shared" si="509"/>
        <v>1607.1428571428571</v>
      </c>
    </row>
    <row r="1822" spans="2:19" customFormat="1" outlineLevel="1">
      <c r="B1822" s="13" t="s">
        <v>128</v>
      </c>
      <c r="C1822" s="7" t="str">
        <f t="shared" si="508"/>
        <v>VIBRO ACABADORA VOGELE</v>
      </c>
      <c r="D1822" s="8">
        <f>D1754</f>
        <v>46087</v>
      </c>
      <c r="E1822" s="15"/>
      <c r="F1822" s="15"/>
      <c r="G1822" s="15">
        <f t="shared" si="511"/>
        <v>0</v>
      </c>
      <c r="H1822" s="16" t="s">
        <v>278</v>
      </c>
      <c r="I1822" s="10">
        <f t="shared" si="510"/>
        <v>1607.1428571428571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09"/>
        <v>1607.1428571428571</v>
      </c>
    </row>
    <row r="1823" spans="2:19" customFormat="1" outlineLevel="1">
      <c r="B1823" s="13" t="s">
        <v>128</v>
      </c>
      <c r="C1823" s="7" t="str">
        <f t="shared" si="508"/>
        <v>VIBRO ACABADORA VOGELE</v>
      </c>
      <c r="D1823" s="8">
        <f>D1755</f>
        <v>46088</v>
      </c>
      <c r="E1823" s="15">
        <v>283.7</v>
      </c>
      <c r="F1823" s="15">
        <v>294.8</v>
      </c>
      <c r="G1823" s="15">
        <f t="shared" si="511"/>
        <v>11.100000000000023</v>
      </c>
      <c r="H1823" s="16" t="s">
        <v>278</v>
      </c>
      <c r="I1823" s="10">
        <f t="shared" si="510"/>
        <v>1607.1428571428571</v>
      </c>
      <c r="J1823" s="16"/>
      <c r="K1823" s="15">
        <v>1</v>
      </c>
      <c r="L1823" s="15">
        <v>40</v>
      </c>
      <c r="M1823" s="17">
        <v>46060</v>
      </c>
      <c r="N1823" s="9"/>
      <c r="O1823" s="9"/>
      <c r="P1823" s="9"/>
      <c r="Q1823" s="9"/>
      <c r="R1823" s="72"/>
      <c r="S1823" s="10">
        <f t="shared" si="509"/>
        <v>1607.1428571428571</v>
      </c>
    </row>
    <row r="1824" spans="2:19" customFormat="1" outlineLevel="1">
      <c r="B1824" s="13" t="s">
        <v>128</v>
      </c>
      <c r="C1824" s="7" t="str">
        <f t="shared" si="508"/>
        <v>VIBRO ACABADORA VOGELE</v>
      </c>
      <c r="D1824" s="8">
        <f>D1756</f>
        <v>46089</v>
      </c>
      <c r="E1824" s="15"/>
      <c r="F1824" s="15"/>
      <c r="G1824" s="15">
        <f t="shared" si="511"/>
        <v>0</v>
      </c>
      <c r="H1824" s="16" t="s">
        <v>278</v>
      </c>
      <c r="I1824" s="10">
        <f t="shared" si="510"/>
        <v>1607.1428571428571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09"/>
        <v>1607.1428571428571</v>
      </c>
    </row>
    <row r="1825" spans="2:19" outlineLevel="1">
      <c r="B1825" s="13" t="s">
        <v>128</v>
      </c>
      <c r="C1825" s="7" t="str">
        <f t="shared" si="508"/>
        <v>VIBRO ACABADORA VOGELE</v>
      </c>
      <c r="D1825" s="8">
        <f>D1757</f>
        <v>46090</v>
      </c>
      <c r="E1825" s="15">
        <v>294.8</v>
      </c>
      <c r="F1825" s="15">
        <v>304.10000000000002</v>
      </c>
      <c r="G1825" s="15">
        <f t="shared" si="511"/>
        <v>9.3000000000000114</v>
      </c>
      <c r="H1825" s="16" t="s">
        <v>278</v>
      </c>
      <c r="I1825" s="10">
        <f t="shared" si="510"/>
        <v>1607.1428571428571</v>
      </c>
      <c r="J1825" s="16"/>
      <c r="K1825" s="15">
        <v>1</v>
      </c>
      <c r="L1825" s="15">
        <v>40</v>
      </c>
      <c r="M1825" s="17">
        <v>46062</v>
      </c>
      <c r="N1825" s="9"/>
      <c r="O1825" s="18"/>
      <c r="P1825" s="9"/>
      <c r="Q1825" s="9"/>
      <c r="R1825" s="72"/>
      <c r="S1825" s="10">
        <f t="shared" si="509"/>
        <v>1607.1428571428571</v>
      </c>
    </row>
    <row r="1826" spans="2:19" outlineLevel="1">
      <c r="B1826" s="13" t="s">
        <v>128</v>
      </c>
      <c r="C1826" s="7" t="str">
        <f t="shared" si="508"/>
        <v>VIBRO ACABADORA VOGELE</v>
      </c>
      <c r="D1826" s="8">
        <f>D1758</f>
        <v>46091</v>
      </c>
      <c r="E1826" s="15">
        <v>304.10000000000002</v>
      </c>
      <c r="F1826" s="15">
        <v>314</v>
      </c>
      <c r="G1826" s="15">
        <f t="shared" si="511"/>
        <v>9.8999999999999773</v>
      </c>
      <c r="H1826" s="16" t="s">
        <v>278</v>
      </c>
      <c r="I1826" s="10">
        <f t="shared" si="510"/>
        <v>1607.1428571428571</v>
      </c>
      <c r="J1826" s="16"/>
      <c r="K1826" s="15">
        <v>1</v>
      </c>
      <c r="L1826" s="15">
        <v>80</v>
      </c>
      <c r="M1826" s="17">
        <v>46063</v>
      </c>
      <c r="N1826" s="9"/>
      <c r="O1826" s="18"/>
      <c r="P1826" s="9"/>
      <c r="Q1826" s="9"/>
      <c r="R1826" s="72"/>
      <c r="S1826" s="10">
        <f t="shared" si="509"/>
        <v>1607.1428571428571</v>
      </c>
    </row>
    <row r="1827" spans="2:19" outlineLevel="1">
      <c r="B1827" s="13" t="s">
        <v>128</v>
      </c>
      <c r="C1827" s="7" t="str">
        <f t="shared" si="508"/>
        <v>VIBRO ACABADORA VOGELE</v>
      </c>
      <c r="D1827" s="8">
        <f>D1759</f>
        <v>46092</v>
      </c>
      <c r="E1827" s="15">
        <v>314</v>
      </c>
      <c r="F1827" s="15">
        <v>315.39999999999998</v>
      </c>
      <c r="G1827" s="15">
        <f t="shared" si="511"/>
        <v>1.3999999999999773</v>
      </c>
      <c r="H1827" s="16" t="s">
        <v>282</v>
      </c>
      <c r="I1827" s="10">
        <f t="shared" si="510"/>
        <v>1607.1428571428571</v>
      </c>
      <c r="J1827" s="16"/>
      <c r="K1827" s="15">
        <v>1</v>
      </c>
      <c r="L1827" s="15"/>
      <c r="M1827" s="17"/>
      <c r="N1827" s="9"/>
      <c r="O1827" s="18">
        <f t="shared" ref="O1827:O1843" si="512">O1826</f>
        <v>0</v>
      </c>
      <c r="P1827" s="9"/>
      <c r="Q1827" s="9"/>
      <c r="R1827" s="72"/>
      <c r="S1827" s="10">
        <f t="shared" si="509"/>
        <v>1607.1428571428571</v>
      </c>
    </row>
    <row r="1828" spans="2:19" outlineLevel="1">
      <c r="B1828" s="13" t="s">
        <v>128</v>
      </c>
      <c r="C1828" s="7" t="str">
        <f t="shared" si="508"/>
        <v>VIBRO ACABADORA VOGELE</v>
      </c>
      <c r="D1828" s="8">
        <f>D1760</f>
        <v>46093</v>
      </c>
      <c r="E1828" s="15">
        <v>315.39999999999998</v>
      </c>
      <c r="F1828" s="15">
        <v>321.3</v>
      </c>
      <c r="G1828" s="15">
        <f t="shared" si="511"/>
        <v>5.9000000000000341</v>
      </c>
      <c r="H1828" s="16" t="s">
        <v>282</v>
      </c>
      <c r="I1828" s="10">
        <f t="shared" si="510"/>
        <v>1607.1428571428571</v>
      </c>
      <c r="J1828" s="16"/>
      <c r="K1828" s="15">
        <v>1</v>
      </c>
      <c r="L1828" s="15"/>
      <c r="M1828" s="17"/>
      <c r="N1828" s="9"/>
      <c r="O1828" s="18">
        <f t="shared" si="512"/>
        <v>0</v>
      </c>
      <c r="P1828" s="9"/>
      <c r="Q1828" s="9"/>
      <c r="R1828" s="72"/>
      <c r="S1828" s="10">
        <f t="shared" si="509"/>
        <v>1607.1428571428571</v>
      </c>
    </row>
    <row r="1829" spans="2:19" outlineLevel="1">
      <c r="B1829" s="13" t="s">
        <v>128</v>
      </c>
      <c r="C1829" s="7" t="str">
        <f t="shared" si="508"/>
        <v>VIBRO ACABADORA VOGELE</v>
      </c>
      <c r="D1829" s="8">
        <f>D1761</f>
        <v>46094</v>
      </c>
      <c r="E1829" s="15"/>
      <c r="F1829" s="15"/>
      <c r="G1829" s="15">
        <f t="shared" si="511"/>
        <v>0</v>
      </c>
      <c r="H1829" s="16" t="s">
        <v>282</v>
      </c>
      <c r="I1829" s="10">
        <f t="shared" si="510"/>
        <v>1607.1428571428571</v>
      </c>
      <c r="J1829" s="16" t="s">
        <v>16</v>
      </c>
      <c r="K1829" s="15"/>
      <c r="L1829" s="15"/>
      <c r="M1829" s="17"/>
      <c r="N1829" s="9"/>
      <c r="O1829" s="18">
        <f t="shared" si="512"/>
        <v>0</v>
      </c>
      <c r="P1829" s="9"/>
      <c r="Q1829" s="9"/>
      <c r="R1829" s="72"/>
      <c r="S1829" s="10">
        <f t="shared" si="509"/>
        <v>1607.1428571428571</v>
      </c>
    </row>
    <row r="1830" spans="2:19" outlineLevel="1">
      <c r="B1830" s="13" t="s">
        <v>128</v>
      </c>
      <c r="C1830" s="7" t="str">
        <f t="shared" si="508"/>
        <v>VIBRO ACABADORA VOGELE</v>
      </c>
      <c r="D1830" s="8">
        <f>D1762</f>
        <v>46095</v>
      </c>
      <c r="E1830" s="15"/>
      <c r="F1830" s="15"/>
      <c r="G1830" s="15">
        <f t="shared" si="511"/>
        <v>0</v>
      </c>
      <c r="H1830" s="16" t="s">
        <v>282</v>
      </c>
      <c r="I1830" s="10">
        <f t="shared" si="510"/>
        <v>1607.1428571428571</v>
      </c>
      <c r="J1830" s="16" t="s">
        <v>16</v>
      </c>
      <c r="K1830" s="15"/>
      <c r="L1830" s="15"/>
      <c r="M1830" s="17"/>
      <c r="N1830" s="9"/>
      <c r="O1830" s="18">
        <f t="shared" si="512"/>
        <v>0</v>
      </c>
      <c r="P1830" s="9"/>
      <c r="Q1830" s="9"/>
      <c r="R1830" s="72"/>
      <c r="S1830" s="10">
        <f t="shared" si="509"/>
        <v>1607.1428571428571</v>
      </c>
    </row>
    <row r="1831" spans="2:19" outlineLevel="1">
      <c r="B1831" s="13" t="s">
        <v>128</v>
      </c>
      <c r="C1831" s="7" t="str">
        <f t="shared" si="508"/>
        <v>VIBRO ACABADORA VOGELE</v>
      </c>
      <c r="D1831" s="8">
        <f>D1763</f>
        <v>46096</v>
      </c>
      <c r="E1831" s="15"/>
      <c r="F1831" s="15"/>
      <c r="G1831" s="15">
        <f t="shared" si="511"/>
        <v>0</v>
      </c>
      <c r="H1831" s="16" t="s">
        <v>282</v>
      </c>
      <c r="I1831" s="10">
        <f t="shared" si="510"/>
        <v>1607.1428571428571</v>
      </c>
      <c r="J1831" s="16" t="s">
        <v>16</v>
      </c>
      <c r="K1831" s="15"/>
      <c r="L1831" s="15"/>
      <c r="M1831" s="17"/>
      <c r="N1831" s="9"/>
      <c r="O1831" s="18">
        <f t="shared" si="512"/>
        <v>0</v>
      </c>
      <c r="P1831" s="9"/>
      <c r="Q1831" s="9"/>
      <c r="R1831" s="72"/>
      <c r="S1831" s="10">
        <f t="shared" si="509"/>
        <v>1607.1428571428571</v>
      </c>
    </row>
    <row r="1832" spans="2:19" outlineLevel="1">
      <c r="B1832" s="13" t="s">
        <v>128</v>
      </c>
      <c r="C1832" s="7" t="str">
        <f t="shared" si="508"/>
        <v>VIBRO ACABADORA VOGELE</v>
      </c>
      <c r="D1832" s="8">
        <f>D1764</f>
        <v>46097</v>
      </c>
      <c r="E1832" s="15">
        <v>325.89999999999998</v>
      </c>
      <c r="F1832" s="15">
        <v>330.4</v>
      </c>
      <c r="G1832" s="15">
        <f t="shared" si="511"/>
        <v>4.5</v>
      </c>
      <c r="H1832" s="16" t="s">
        <v>282</v>
      </c>
      <c r="I1832" s="10">
        <f t="shared" si="510"/>
        <v>1607.1428571428571</v>
      </c>
      <c r="J1832" s="16"/>
      <c r="K1832" s="15">
        <v>1</v>
      </c>
      <c r="L1832" s="15"/>
      <c r="M1832" s="17"/>
      <c r="N1832" s="9"/>
      <c r="O1832" s="18">
        <f t="shared" si="512"/>
        <v>0</v>
      </c>
      <c r="P1832" s="9"/>
      <c r="Q1832" s="9"/>
      <c r="R1832" s="72"/>
      <c r="S1832" s="10">
        <f t="shared" si="509"/>
        <v>1607.1428571428571</v>
      </c>
    </row>
    <row r="1833" spans="2:19" outlineLevel="1">
      <c r="B1833" s="13" t="s">
        <v>128</v>
      </c>
      <c r="C1833" s="7" t="str">
        <f t="shared" si="508"/>
        <v>VIBRO ACABADORA VOGELE</v>
      </c>
      <c r="D1833" s="8">
        <f>D1765</f>
        <v>46098</v>
      </c>
      <c r="E1833" s="15"/>
      <c r="F1833" s="15"/>
      <c r="G1833" s="15">
        <f t="shared" si="511"/>
        <v>0</v>
      </c>
      <c r="H1833" s="16" t="s">
        <v>282</v>
      </c>
      <c r="I1833" s="10">
        <f t="shared" si="510"/>
        <v>1607.1428571428571</v>
      </c>
      <c r="J1833" s="16" t="s">
        <v>16</v>
      </c>
      <c r="K1833" s="15"/>
      <c r="L1833" s="15"/>
      <c r="M1833" s="17"/>
      <c r="N1833" s="9"/>
      <c r="O1833" s="18">
        <f t="shared" si="512"/>
        <v>0</v>
      </c>
      <c r="P1833" s="9"/>
      <c r="Q1833" s="9"/>
      <c r="R1833" s="72"/>
      <c r="S1833" s="10">
        <f t="shared" si="509"/>
        <v>1607.1428571428571</v>
      </c>
    </row>
    <row r="1834" spans="2:19" outlineLevel="1">
      <c r="B1834" s="13" t="s">
        <v>128</v>
      </c>
      <c r="C1834" s="7" t="str">
        <f t="shared" si="508"/>
        <v>VIBRO ACABADORA VOGELE</v>
      </c>
      <c r="D1834" s="8">
        <f>D1766</f>
        <v>46099</v>
      </c>
      <c r="E1834" s="15">
        <v>330.4</v>
      </c>
      <c r="F1834" s="15">
        <v>336.6</v>
      </c>
      <c r="G1834" s="15">
        <f t="shared" si="511"/>
        <v>6.2000000000000455</v>
      </c>
      <c r="H1834" s="16" t="s">
        <v>282</v>
      </c>
      <c r="I1834" s="10">
        <f t="shared" si="510"/>
        <v>1607.1428571428571</v>
      </c>
      <c r="J1834" s="16"/>
      <c r="K1834" s="15">
        <v>1</v>
      </c>
      <c r="L1834" s="15">
        <v>80</v>
      </c>
      <c r="M1834" s="17">
        <v>46071</v>
      </c>
      <c r="N1834" s="9"/>
      <c r="O1834" s="18">
        <f t="shared" si="512"/>
        <v>0</v>
      </c>
      <c r="P1834" s="9"/>
      <c r="Q1834" s="9"/>
      <c r="R1834" s="72"/>
      <c r="S1834" s="10">
        <f t="shared" si="509"/>
        <v>1607.1428571428571</v>
      </c>
    </row>
    <row r="1835" spans="2:19" outlineLevel="1">
      <c r="B1835" s="13" t="s">
        <v>128</v>
      </c>
      <c r="C1835" s="7" t="str">
        <f t="shared" si="508"/>
        <v>VIBRO ACABADORA VOGELE</v>
      </c>
      <c r="D1835" s="8">
        <f>D1767</f>
        <v>46100</v>
      </c>
      <c r="E1835" s="15">
        <v>336.6</v>
      </c>
      <c r="F1835" s="15">
        <v>343.3</v>
      </c>
      <c r="G1835" s="15">
        <f t="shared" si="511"/>
        <v>6.6999999999999886</v>
      </c>
      <c r="H1835" s="16" t="s">
        <v>282</v>
      </c>
      <c r="I1835" s="10">
        <f t="shared" si="510"/>
        <v>1607.1428571428571</v>
      </c>
      <c r="J1835" s="16"/>
      <c r="K1835" s="15">
        <v>1</v>
      </c>
      <c r="L1835" s="15"/>
      <c r="M1835" s="17"/>
      <c r="N1835" s="9"/>
      <c r="O1835" s="18">
        <f t="shared" si="512"/>
        <v>0</v>
      </c>
      <c r="P1835" s="9"/>
      <c r="Q1835" s="9"/>
      <c r="R1835" s="72"/>
      <c r="S1835" s="10">
        <f t="shared" si="509"/>
        <v>1607.1428571428571</v>
      </c>
    </row>
    <row r="1836" spans="2:19" outlineLevel="1">
      <c r="B1836" s="13" t="s">
        <v>128</v>
      </c>
      <c r="C1836" s="7" t="str">
        <f t="shared" si="508"/>
        <v>VIBRO ACABADORA VOGELE</v>
      </c>
      <c r="D1836" s="8">
        <f>D1768</f>
        <v>46101</v>
      </c>
      <c r="E1836" s="15">
        <v>343.3</v>
      </c>
      <c r="F1836" s="15">
        <v>345.5</v>
      </c>
      <c r="G1836" s="15">
        <f t="shared" si="511"/>
        <v>2.1999999999999886</v>
      </c>
      <c r="H1836" s="16" t="s">
        <v>282</v>
      </c>
      <c r="I1836" s="10">
        <f t="shared" si="510"/>
        <v>1607.1428571428571</v>
      </c>
      <c r="J1836" s="16"/>
      <c r="K1836" s="15">
        <v>1</v>
      </c>
      <c r="L1836" s="15"/>
      <c r="M1836" s="17"/>
      <c r="N1836" s="9"/>
      <c r="O1836" s="18">
        <f t="shared" si="512"/>
        <v>0</v>
      </c>
      <c r="P1836" s="9"/>
      <c r="Q1836" s="9"/>
      <c r="R1836" s="72"/>
      <c r="S1836" s="10">
        <f t="shared" si="509"/>
        <v>1607.1428571428571</v>
      </c>
    </row>
    <row r="1837" spans="2:19" outlineLevel="1">
      <c r="B1837" s="13" t="s">
        <v>128</v>
      </c>
      <c r="C1837" s="7" t="str">
        <f t="shared" si="508"/>
        <v>VIBRO ACABADORA VOGELE</v>
      </c>
      <c r="D1837" s="8">
        <f>D1769</f>
        <v>46102</v>
      </c>
      <c r="E1837" s="15"/>
      <c r="F1837" s="15"/>
      <c r="G1837" s="15">
        <f t="shared" si="511"/>
        <v>0</v>
      </c>
      <c r="H1837" s="16" t="s">
        <v>282</v>
      </c>
      <c r="I1837" s="10">
        <f t="shared" si="510"/>
        <v>1607.1428571428571</v>
      </c>
      <c r="J1837" s="16" t="s">
        <v>16</v>
      </c>
      <c r="K1837" s="15"/>
      <c r="L1837" s="15"/>
      <c r="M1837" s="17"/>
      <c r="N1837" s="9"/>
      <c r="O1837" s="18">
        <f t="shared" si="512"/>
        <v>0</v>
      </c>
      <c r="P1837" s="9"/>
      <c r="Q1837" s="9"/>
      <c r="R1837" s="72"/>
      <c r="S1837" s="10">
        <f t="shared" si="509"/>
        <v>1607.1428571428571</v>
      </c>
    </row>
    <row r="1838" spans="2:19" outlineLevel="1">
      <c r="B1838" s="13" t="s">
        <v>128</v>
      </c>
      <c r="C1838" s="7" t="str">
        <f t="shared" si="508"/>
        <v>VIBRO ACABADORA VOGELE</v>
      </c>
      <c r="D1838" s="8">
        <f>D1770</f>
        <v>46103</v>
      </c>
      <c r="E1838" s="15"/>
      <c r="F1838" s="15"/>
      <c r="G1838" s="15">
        <f t="shared" si="511"/>
        <v>0</v>
      </c>
      <c r="H1838" s="16" t="s">
        <v>282</v>
      </c>
      <c r="I1838" s="10">
        <f t="shared" si="510"/>
        <v>1607.1428571428571</v>
      </c>
      <c r="J1838" s="16" t="s">
        <v>16</v>
      </c>
      <c r="K1838" s="15"/>
      <c r="L1838" s="15"/>
      <c r="M1838" s="17"/>
      <c r="N1838" s="9"/>
      <c r="O1838" s="18">
        <f t="shared" si="512"/>
        <v>0</v>
      </c>
      <c r="P1838" s="9"/>
      <c r="Q1838" s="9"/>
      <c r="R1838" s="72"/>
      <c r="S1838" s="10">
        <f t="shared" si="509"/>
        <v>1607.1428571428571</v>
      </c>
    </row>
    <row r="1839" spans="2:19" outlineLevel="1">
      <c r="B1839" s="13" t="s">
        <v>128</v>
      </c>
      <c r="C1839" s="7" t="str">
        <f t="shared" si="508"/>
        <v>VIBRO ACABADORA VOGELE</v>
      </c>
      <c r="D1839" s="8">
        <f>D1771</f>
        <v>46104</v>
      </c>
      <c r="E1839" s="15">
        <v>352.2</v>
      </c>
      <c r="F1839" s="15">
        <v>359.5</v>
      </c>
      <c r="G1839" s="15">
        <f t="shared" si="511"/>
        <v>7.3000000000000114</v>
      </c>
      <c r="H1839" s="16" t="s">
        <v>341</v>
      </c>
      <c r="I1839" s="10">
        <f t="shared" si="510"/>
        <v>1607.1428571428571</v>
      </c>
      <c r="J1839" s="16"/>
      <c r="K1839" s="15">
        <v>1</v>
      </c>
      <c r="L1839" s="15"/>
      <c r="M1839" s="17"/>
      <c r="N1839" s="9"/>
      <c r="O1839" s="18">
        <f t="shared" si="512"/>
        <v>0</v>
      </c>
      <c r="P1839" s="9"/>
      <c r="Q1839" s="9"/>
      <c r="R1839" s="72"/>
      <c r="S1839" s="10">
        <f t="shared" si="509"/>
        <v>1607.1428571428571</v>
      </c>
    </row>
    <row r="1840" spans="2:19" outlineLevel="1">
      <c r="B1840" s="13" t="s">
        <v>128</v>
      </c>
      <c r="C1840" s="7" t="str">
        <f t="shared" si="508"/>
        <v>VIBRO ACABADORA VOGELE</v>
      </c>
      <c r="D1840" s="8">
        <f>D1772</f>
        <v>46105</v>
      </c>
      <c r="E1840" s="15">
        <v>359.5</v>
      </c>
      <c r="F1840" s="15">
        <v>364.8</v>
      </c>
      <c r="G1840" s="15">
        <f t="shared" si="511"/>
        <v>5.3000000000000114</v>
      </c>
      <c r="H1840" s="16" t="s">
        <v>341</v>
      </c>
      <c r="I1840" s="10">
        <f t="shared" si="510"/>
        <v>1607.1428571428571</v>
      </c>
      <c r="J1840" s="16"/>
      <c r="K1840" s="15">
        <v>1</v>
      </c>
      <c r="L1840" s="15">
        <v>60</v>
      </c>
      <c r="M1840" s="17"/>
      <c r="N1840" s="9"/>
      <c r="O1840" s="18">
        <f t="shared" si="512"/>
        <v>0</v>
      </c>
      <c r="P1840" s="9"/>
      <c r="Q1840" s="9"/>
      <c r="R1840" s="72"/>
      <c r="S1840" s="10">
        <f t="shared" si="509"/>
        <v>1607.1428571428571</v>
      </c>
    </row>
    <row r="1841" spans="2:19" customFormat="1" outlineLevel="1">
      <c r="B1841" s="13" t="s">
        <v>128</v>
      </c>
      <c r="C1841" s="7" t="str">
        <f t="shared" si="508"/>
        <v>VIBRO ACABADORA VOGELE</v>
      </c>
      <c r="D1841" s="8">
        <f>D1773</f>
        <v>46106</v>
      </c>
      <c r="E1841" s="15">
        <v>364.8</v>
      </c>
      <c r="F1841" s="15">
        <v>369</v>
      </c>
      <c r="G1841" s="15">
        <f t="shared" si="511"/>
        <v>4.1999999999999886</v>
      </c>
      <c r="H1841" s="16" t="s">
        <v>341</v>
      </c>
      <c r="I1841" s="10">
        <f t="shared" si="510"/>
        <v>1607.1428571428571</v>
      </c>
      <c r="J1841" s="16"/>
      <c r="K1841" s="15">
        <v>1</v>
      </c>
      <c r="L1841" s="15">
        <v>20</v>
      </c>
      <c r="M1841" s="17">
        <v>46078</v>
      </c>
      <c r="N1841" s="9"/>
      <c r="O1841" s="18">
        <f t="shared" si="512"/>
        <v>0</v>
      </c>
      <c r="P1841" s="9"/>
      <c r="Q1841" s="9"/>
      <c r="R1841" s="72"/>
      <c r="S1841" s="10">
        <f t="shared" si="509"/>
        <v>1607.1428571428571</v>
      </c>
    </row>
    <row r="1842" spans="2:19" customFormat="1" outlineLevel="1">
      <c r="B1842" s="13" t="s">
        <v>128</v>
      </c>
      <c r="C1842" s="7" t="str">
        <f t="shared" si="508"/>
        <v>VIBRO ACABADORA VOGELE</v>
      </c>
      <c r="D1842" s="8">
        <f>D1774</f>
        <v>46107</v>
      </c>
      <c r="E1842" s="15">
        <v>369</v>
      </c>
      <c r="F1842" s="15">
        <v>375.7</v>
      </c>
      <c r="G1842" s="15">
        <f t="shared" si="511"/>
        <v>6.6999999999999886</v>
      </c>
      <c r="H1842" s="16" t="s">
        <v>341</v>
      </c>
      <c r="I1842" s="10">
        <f t="shared" si="510"/>
        <v>1607.1428571428571</v>
      </c>
      <c r="J1842" s="16"/>
      <c r="K1842" s="15">
        <v>1</v>
      </c>
      <c r="L1842" s="15">
        <v>20</v>
      </c>
      <c r="M1842" s="17">
        <v>46079</v>
      </c>
      <c r="N1842" s="9"/>
      <c r="O1842" s="18">
        <f t="shared" si="512"/>
        <v>0</v>
      </c>
      <c r="P1842" s="9"/>
      <c r="Q1842" s="9"/>
      <c r="R1842" s="72"/>
      <c r="S1842" s="10">
        <f t="shared" si="509"/>
        <v>1607.1428571428571</v>
      </c>
    </row>
    <row r="1843" spans="2:19" customFormat="1" outlineLevel="1">
      <c r="B1843" s="13" t="s">
        <v>128</v>
      </c>
      <c r="C1843" s="7" t="str">
        <f t="shared" si="508"/>
        <v>VIBRO ACABADORA VOGELE</v>
      </c>
      <c r="D1843" s="8">
        <f>D1775</f>
        <v>46108</v>
      </c>
      <c r="E1843" s="15">
        <v>375.7</v>
      </c>
      <c r="F1843" s="15">
        <v>377.4</v>
      </c>
      <c r="G1843" s="15">
        <f t="shared" si="511"/>
        <v>1.6999999999999886</v>
      </c>
      <c r="H1843" s="16" t="s">
        <v>341</v>
      </c>
      <c r="I1843" s="10">
        <f t="shared" si="510"/>
        <v>1607.1428571428571</v>
      </c>
      <c r="J1843" s="16"/>
      <c r="K1843" s="15">
        <v>1</v>
      </c>
      <c r="L1843" s="15"/>
      <c r="M1843" s="17"/>
      <c r="N1843" s="9"/>
      <c r="O1843" s="18">
        <f t="shared" si="512"/>
        <v>0</v>
      </c>
      <c r="P1843" s="9"/>
      <c r="Q1843" s="9"/>
      <c r="R1843" s="72"/>
      <c r="S1843" s="10">
        <f t="shared" si="509"/>
        <v>1607.1428571428571</v>
      </c>
    </row>
    <row r="1844" spans="2:19" customFormat="1" outlineLevel="1">
      <c r="B1844" s="13" t="s">
        <v>128</v>
      </c>
      <c r="C1844" s="7" t="str">
        <f t="shared" si="508"/>
        <v>VIBRO ACABADORA VOGELE</v>
      </c>
      <c r="D1844" s="8">
        <f t="shared" ref="D1844" si="513">D1776</f>
        <v>46109</v>
      </c>
      <c r="E1844" s="15">
        <v>377.4</v>
      </c>
      <c r="F1844" s="15">
        <v>380.9</v>
      </c>
      <c r="G1844" s="15">
        <f t="shared" ref="G1844:G1846" si="514">F1844-E1844</f>
        <v>3.5</v>
      </c>
      <c r="H1844" s="16" t="s">
        <v>341</v>
      </c>
      <c r="I1844" s="10">
        <f>I1840</f>
        <v>1607.1428571428571</v>
      </c>
      <c r="J1844" s="16"/>
      <c r="K1844" s="15">
        <v>1</v>
      </c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15">SUM(R1844+Q1844+I1844)</f>
        <v>1607.1428571428571</v>
      </c>
    </row>
    <row r="1845" spans="2:19" customFormat="1" outlineLevel="1">
      <c r="B1845" s="13" t="s">
        <v>128</v>
      </c>
      <c r="C1845" s="7" t="str">
        <f t="shared" si="508"/>
        <v>VIBRO ACABADORA VOGELE</v>
      </c>
      <c r="D1845" s="8">
        <f t="shared" ref="D1845:D1847" si="516">D1777</f>
        <v>46110</v>
      </c>
      <c r="E1845" s="15">
        <v>377.4</v>
      </c>
      <c r="F1845" s="15">
        <v>380.9</v>
      </c>
      <c r="G1845" s="15">
        <f t="shared" si="514"/>
        <v>3.5</v>
      </c>
      <c r="H1845" s="16" t="s">
        <v>341</v>
      </c>
      <c r="I1845" s="10">
        <f>I1841</f>
        <v>1607.1428571428571</v>
      </c>
      <c r="J1845" s="16"/>
      <c r="K1845" s="15">
        <v>1</v>
      </c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15"/>
        <v>1607.1428571428571</v>
      </c>
    </row>
    <row r="1846" spans="2:19" customFormat="1" outlineLevel="1">
      <c r="B1846" s="13" t="s">
        <v>128</v>
      </c>
      <c r="C1846" s="7" t="str">
        <f t="shared" si="508"/>
        <v>VIBRO ACABADORA VOGELE</v>
      </c>
      <c r="D1846" s="8">
        <f t="shared" si="516"/>
        <v>46111</v>
      </c>
      <c r="E1846" s="15">
        <v>377.4</v>
      </c>
      <c r="F1846" s="15">
        <v>380.9</v>
      </c>
      <c r="G1846" s="15">
        <f t="shared" si="514"/>
        <v>3.5</v>
      </c>
      <c r="H1846" s="16" t="s">
        <v>341</v>
      </c>
      <c r="I1846" s="10">
        <f>I1842</f>
        <v>1607.1428571428571</v>
      </c>
      <c r="J1846" s="16"/>
      <c r="K1846" s="15">
        <v>1</v>
      </c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15"/>
        <v>1607.1428571428571</v>
      </c>
    </row>
    <row r="1847" spans="2:19" customFormat="1" outlineLevel="1">
      <c r="B1847" s="13" t="s">
        <v>128</v>
      </c>
      <c r="C1847" s="7" t="str">
        <f t="shared" si="508"/>
        <v>VIBRO ACABADORA VOGELE</v>
      </c>
      <c r="D1847" s="8">
        <f t="shared" si="516"/>
        <v>46112</v>
      </c>
      <c r="E1847" s="15">
        <v>377.4</v>
      </c>
      <c r="F1847" s="15">
        <v>380.9</v>
      </c>
      <c r="G1847" s="15">
        <f t="shared" si="511"/>
        <v>3.5</v>
      </c>
      <c r="H1847" s="16" t="s">
        <v>341</v>
      </c>
      <c r="I1847" s="10">
        <f>I1843</f>
        <v>1607.1428571428571</v>
      </c>
      <c r="J1847" s="16"/>
      <c r="K1847" s="15">
        <v>1</v>
      </c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09"/>
        <v>1607.1428571428571</v>
      </c>
    </row>
    <row r="1848" spans="2:19" customFormat="1">
      <c r="B1848" s="13" t="s">
        <v>128</v>
      </c>
      <c r="D1848" s="1"/>
      <c r="E1848" s="2"/>
      <c r="F1848" s="2"/>
      <c r="G1848" s="2"/>
      <c r="K1848" s="2"/>
      <c r="L1848" s="2"/>
      <c r="O1848" s="2"/>
      <c r="P1848" s="2"/>
      <c r="Q1848" s="2"/>
      <c r="R1848" s="2"/>
    </row>
    <row r="1849" spans="2:19" customFormat="1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5" t="str">
        <f>M$1</f>
        <v>BM JANEIRO 2026</v>
      </c>
      <c r="N1849" s="135"/>
      <c r="O1849" s="135"/>
      <c r="P1849" s="19" t="s">
        <v>10</v>
      </c>
      <c r="Q1849" s="136" t="s">
        <v>195</v>
      </c>
      <c r="R1849" s="136"/>
      <c r="S1849" s="136"/>
    </row>
    <row r="1850" spans="2:19" customFormat="1">
      <c r="B1850" s="14"/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customFormat="1" outlineLevel="1">
      <c r="B1851" s="11" t="s">
        <v>130</v>
      </c>
      <c r="C1851" s="7" t="str">
        <f>C$1849</f>
        <v>MOTONIVELADORA CASE NOVA MOD 865B  HBZN865BAPAF32370</v>
      </c>
      <c r="D1851" s="8">
        <f>D1783</f>
        <v>46082</v>
      </c>
      <c r="E1851" s="15"/>
      <c r="F1851" s="15"/>
      <c r="G1851" s="15">
        <f t="shared" ref="G1851:G1854" si="517">F1851-E1851</f>
        <v>0</v>
      </c>
      <c r="H1851" s="16" t="s">
        <v>205</v>
      </c>
      <c r="I1851" s="10">
        <f>P1851</f>
        <v>1000</v>
      </c>
      <c r="J1851" s="16"/>
      <c r="K1851" s="15"/>
      <c r="L1851" s="15"/>
      <c r="M1851" s="17"/>
      <c r="N1851" s="9"/>
      <c r="O1851" s="9">
        <v>28000</v>
      </c>
      <c r="P1851" s="9">
        <f>O1851/28</f>
        <v>1000</v>
      </c>
      <c r="Q1851" s="9"/>
      <c r="R1851" s="9"/>
      <c r="S1851" s="10">
        <f>SUM(R1851+Q1851+I1851)</f>
        <v>1000</v>
      </c>
    </row>
    <row r="1852" spans="2:19" customFormat="1" outlineLevel="1">
      <c r="B1852" s="12" t="s">
        <v>0</v>
      </c>
      <c r="C1852" s="7" t="str">
        <f>C$1849</f>
        <v>MOTONIVELADORA CASE NOVA MOD 865B  HBZN865BAPAF32370</v>
      </c>
      <c r="D1852" s="8">
        <f>D1784</f>
        <v>46083</v>
      </c>
      <c r="E1852" s="15">
        <v>3766</v>
      </c>
      <c r="F1852" s="15">
        <v>3773</v>
      </c>
      <c r="G1852" s="15">
        <f t="shared" si="517"/>
        <v>7</v>
      </c>
      <c r="H1852" s="16" t="s">
        <v>205</v>
      </c>
      <c r="I1852" s="10">
        <f>I1851</f>
        <v>1000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ref="S1852:S1878" si="518">SUM(R1852+Q1852+I1852)</f>
        <v>1000</v>
      </c>
    </row>
    <row r="1853" spans="2:19" customFormat="1" outlineLevel="1">
      <c r="B1853" s="13" t="s">
        <v>130</v>
      </c>
      <c r="C1853" s="7" t="str">
        <f>C$1849</f>
        <v>MOTONIVELADORA CASE NOVA MOD 865B  HBZN865BAPAF32370</v>
      </c>
      <c r="D1853" s="8">
        <f>D1785</f>
        <v>46084</v>
      </c>
      <c r="E1853" s="15">
        <v>3773</v>
      </c>
      <c r="F1853" s="15">
        <v>3775</v>
      </c>
      <c r="G1853" s="15">
        <f t="shared" si="517"/>
        <v>2</v>
      </c>
      <c r="H1853" s="16" t="s">
        <v>205</v>
      </c>
      <c r="I1853" s="10">
        <f t="shared" ref="I1853:I1877" si="519">I1852</f>
        <v>1000</v>
      </c>
      <c r="J1853" s="16"/>
      <c r="K1853" s="15">
        <v>1</v>
      </c>
      <c r="L1853" s="15">
        <v>150</v>
      </c>
      <c r="M1853" s="17">
        <v>46056</v>
      </c>
      <c r="N1853" s="9"/>
      <c r="O1853" s="9"/>
      <c r="P1853" s="9"/>
      <c r="Q1853" s="9"/>
      <c r="R1853" s="9"/>
      <c r="S1853" s="10">
        <f t="shared" si="518"/>
        <v>1000</v>
      </c>
    </row>
    <row r="1854" spans="2:19" customFormat="1" outlineLevel="1">
      <c r="B1854" s="13" t="s">
        <v>130</v>
      </c>
      <c r="C1854" s="7" t="str">
        <f>C$1849</f>
        <v>MOTONIVELADORA CASE NOVA MOD 865B  HBZN865BAPAF32370</v>
      </c>
      <c r="D1854" s="8">
        <f>D1786</f>
        <v>46085</v>
      </c>
      <c r="E1854" s="15">
        <v>3775</v>
      </c>
      <c r="F1854" s="15">
        <v>3776</v>
      </c>
      <c r="G1854" s="15">
        <f t="shared" si="517"/>
        <v>1</v>
      </c>
      <c r="H1854" s="16" t="s">
        <v>205</v>
      </c>
      <c r="I1854" s="10">
        <f t="shared" si="519"/>
        <v>1000</v>
      </c>
      <c r="J1854" s="16"/>
      <c r="K1854" s="15">
        <v>1</v>
      </c>
      <c r="L1854" s="15"/>
      <c r="M1854" s="17"/>
      <c r="N1854" s="9"/>
      <c r="O1854" s="9"/>
      <c r="P1854" s="9"/>
      <c r="Q1854" s="9"/>
      <c r="R1854" s="9"/>
      <c r="S1854" s="10">
        <f t="shared" si="518"/>
        <v>1000</v>
      </c>
    </row>
    <row r="1855" spans="2:19" customFormat="1" outlineLevel="1">
      <c r="B1855" s="13" t="s">
        <v>130</v>
      </c>
      <c r="C1855" s="7" t="str">
        <f>C$1849</f>
        <v>MOTONIVELADORA CASE NOVA MOD 865B  HBZN865BAPAF32370</v>
      </c>
      <c r="D1855" s="8">
        <f>D1787</f>
        <v>46086</v>
      </c>
      <c r="E1855" s="15">
        <v>3776</v>
      </c>
      <c r="F1855" s="15">
        <v>3777</v>
      </c>
      <c r="G1855" s="15">
        <f t="shared" ref="G1855:G1878" si="520">F1855-E1855</f>
        <v>1</v>
      </c>
      <c r="H1855" s="16" t="s">
        <v>279</v>
      </c>
      <c r="I1855" s="10">
        <f t="shared" si="519"/>
        <v>1000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18"/>
        <v>1000</v>
      </c>
    </row>
    <row r="1856" spans="2:19" customFormat="1" outlineLevel="1">
      <c r="B1856" s="13" t="s">
        <v>130</v>
      </c>
      <c r="C1856" s="7" t="str">
        <f>C$1849</f>
        <v>MOTONIVELADORA CASE NOVA MOD 865B  HBZN865BAPAF32370</v>
      </c>
      <c r="D1856" s="114">
        <f>D1788</f>
        <v>46087</v>
      </c>
      <c r="E1856" s="15">
        <v>3777</v>
      </c>
      <c r="F1856" s="15">
        <v>3780</v>
      </c>
      <c r="G1856" s="15">
        <f t="shared" si="520"/>
        <v>3</v>
      </c>
      <c r="H1856" s="16" t="s">
        <v>279</v>
      </c>
      <c r="I1856" s="10">
        <f t="shared" si="519"/>
        <v>1000</v>
      </c>
      <c r="J1856" s="16"/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18"/>
        <v>1000</v>
      </c>
    </row>
    <row r="1857" spans="2:19" customFormat="1" outlineLevel="1">
      <c r="B1857" s="13" t="s">
        <v>130</v>
      </c>
      <c r="C1857" s="7" t="str">
        <f>C$1849</f>
        <v>MOTONIVELADORA CASE NOVA MOD 865B  HBZN865BAPAF32370</v>
      </c>
      <c r="D1857" s="8">
        <f>D1789</f>
        <v>46088</v>
      </c>
      <c r="E1857" s="15"/>
      <c r="F1857" s="15"/>
      <c r="G1857" s="15">
        <f t="shared" si="520"/>
        <v>0</v>
      </c>
      <c r="H1857" s="16" t="s">
        <v>279</v>
      </c>
      <c r="I1857" s="10">
        <f t="shared" si="519"/>
        <v>1000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18"/>
        <v>1000</v>
      </c>
    </row>
    <row r="1858" spans="2:19" customFormat="1" outlineLevel="1">
      <c r="B1858" s="13" t="s">
        <v>130</v>
      </c>
      <c r="C1858" s="7" t="str">
        <f>C$1849</f>
        <v>MOTONIVELADORA CASE NOVA MOD 865B  HBZN865BAPAF32370</v>
      </c>
      <c r="D1858" s="8">
        <f>D1790</f>
        <v>46089</v>
      </c>
      <c r="E1858" s="15"/>
      <c r="F1858" s="15"/>
      <c r="G1858" s="15">
        <f t="shared" si="520"/>
        <v>0</v>
      </c>
      <c r="H1858" s="16" t="s">
        <v>279</v>
      </c>
      <c r="I1858" s="10">
        <f t="shared" si="519"/>
        <v>1000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18"/>
        <v>1000</v>
      </c>
    </row>
    <row r="1859" spans="2:19" customFormat="1" outlineLevel="1">
      <c r="B1859" s="13" t="s">
        <v>130</v>
      </c>
      <c r="C1859" s="7" t="str">
        <f>C$1849</f>
        <v>MOTONIVELADORA CASE NOVA MOD 865B  HBZN865BAPAF32370</v>
      </c>
      <c r="D1859" s="8">
        <f>D1791</f>
        <v>46090</v>
      </c>
      <c r="E1859" s="15"/>
      <c r="F1859" s="15"/>
      <c r="G1859" s="15">
        <f t="shared" si="520"/>
        <v>0</v>
      </c>
      <c r="H1859" s="16" t="s">
        <v>279</v>
      </c>
      <c r="I1859" s="10">
        <f t="shared" si="519"/>
        <v>1000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18"/>
        <v>1000</v>
      </c>
    </row>
    <row r="1860" spans="2:19" customFormat="1" outlineLevel="1">
      <c r="B1860" s="13" t="s">
        <v>130</v>
      </c>
      <c r="C1860" s="7" t="str">
        <f>C$1849</f>
        <v>MOTONIVELADORA CASE NOVA MOD 865B  HBZN865BAPAF32370</v>
      </c>
      <c r="D1860" s="8">
        <f>D1792</f>
        <v>46091</v>
      </c>
      <c r="E1860" s="15"/>
      <c r="F1860" s="15"/>
      <c r="G1860" s="15">
        <f t="shared" si="520"/>
        <v>0</v>
      </c>
      <c r="H1860" s="16" t="s">
        <v>279</v>
      </c>
      <c r="I1860" s="10">
        <f t="shared" si="519"/>
        <v>1000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18"/>
        <v>1000</v>
      </c>
    </row>
    <row r="1861" spans="2:19" customFormat="1" outlineLevel="1">
      <c r="B1861" s="13" t="s">
        <v>130</v>
      </c>
      <c r="C1861" s="7" t="str">
        <f>C$1849</f>
        <v>MOTONIVELADORA CASE NOVA MOD 865B  HBZN865BAPAF32370</v>
      </c>
      <c r="D1861" s="8">
        <f>D1793</f>
        <v>46092</v>
      </c>
      <c r="E1861" s="15">
        <v>3780</v>
      </c>
      <c r="F1861" s="15">
        <v>3780</v>
      </c>
      <c r="G1861" s="15">
        <f t="shared" si="520"/>
        <v>0</v>
      </c>
      <c r="H1861" s="16" t="s">
        <v>279</v>
      </c>
      <c r="I1861" s="10">
        <f t="shared" si="519"/>
        <v>1000</v>
      </c>
      <c r="J1861" s="16"/>
      <c r="K1861" s="15">
        <v>1</v>
      </c>
      <c r="L1861" s="15">
        <v>150</v>
      </c>
      <c r="M1861" s="17"/>
      <c r="N1861" s="9"/>
      <c r="O1861" s="9"/>
      <c r="P1861" s="9"/>
      <c r="Q1861" s="9"/>
      <c r="R1861" s="9"/>
      <c r="S1861" s="10">
        <f t="shared" si="518"/>
        <v>1000</v>
      </c>
    </row>
    <row r="1862" spans="2:19" customFormat="1" outlineLevel="1">
      <c r="B1862" s="13" t="s">
        <v>130</v>
      </c>
      <c r="C1862" s="7" t="str">
        <f>C$1849</f>
        <v>MOTONIVELADORA CASE NOVA MOD 865B  HBZN865BAPAF32370</v>
      </c>
      <c r="D1862" s="8">
        <f>D1794</f>
        <v>46093</v>
      </c>
      <c r="E1862" s="15">
        <v>3780</v>
      </c>
      <c r="F1862" s="15">
        <v>3784</v>
      </c>
      <c r="G1862" s="15">
        <f t="shared" si="520"/>
        <v>4</v>
      </c>
      <c r="H1862" s="16" t="s">
        <v>279</v>
      </c>
      <c r="I1862" s="10">
        <f t="shared" si="519"/>
        <v>1000</v>
      </c>
      <c r="J1862" s="16"/>
      <c r="K1862" s="15">
        <v>1</v>
      </c>
      <c r="L1862" s="15"/>
      <c r="M1862" s="17"/>
      <c r="N1862" s="9"/>
      <c r="O1862" s="9"/>
      <c r="P1862" s="9"/>
      <c r="Q1862" s="9"/>
      <c r="R1862" s="9"/>
      <c r="S1862" s="10">
        <f t="shared" si="518"/>
        <v>1000</v>
      </c>
    </row>
    <row r="1863" spans="2:19" customFormat="1" outlineLevel="1">
      <c r="B1863" s="13" t="s">
        <v>130</v>
      </c>
      <c r="C1863" s="7" t="str">
        <f>C$1849</f>
        <v>MOTONIVELADORA CASE NOVA MOD 865B  HBZN865BAPAF32370</v>
      </c>
      <c r="D1863" s="8">
        <f>D1795</f>
        <v>46094</v>
      </c>
      <c r="E1863" s="15">
        <v>3784</v>
      </c>
      <c r="F1863" s="15">
        <v>3786</v>
      </c>
      <c r="G1863" s="15">
        <f t="shared" si="520"/>
        <v>2</v>
      </c>
      <c r="H1863" s="16" t="s">
        <v>279</v>
      </c>
      <c r="I1863" s="10">
        <f t="shared" si="519"/>
        <v>1000</v>
      </c>
      <c r="J1863" s="16"/>
      <c r="K1863" s="15">
        <v>1</v>
      </c>
      <c r="L1863" s="15">
        <v>206</v>
      </c>
      <c r="M1863" s="17">
        <v>46066</v>
      </c>
      <c r="N1863" s="9"/>
      <c r="O1863" s="18"/>
      <c r="P1863" s="9"/>
      <c r="Q1863" s="9"/>
      <c r="R1863" s="9"/>
      <c r="S1863" s="10">
        <f t="shared" si="518"/>
        <v>1000</v>
      </c>
    </row>
    <row r="1864" spans="2:19" customFormat="1" outlineLevel="1">
      <c r="B1864" s="13" t="s">
        <v>130</v>
      </c>
      <c r="C1864" s="7" t="str">
        <f>C$1849</f>
        <v>MOTONIVELADORA CASE NOVA MOD 865B  HBZN865BAPAF32370</v>
      </c>
      <c r="D1864" s="8">
        <f>D1796</f>
        <v>46095</v>
      </c>
      <c r="E1864" s="15"/>
      <c r="F1864" s="15"/>
      <c r="G1864" s="15">
        <f t="shared" si="520"/>
        <v>0</v>
      </c>
      <c r="H1864" s="16" t="s">
        <v>279</v>
      </c>
      <c r="I1864" s="10">
        <f t="shared" si="519"/>
        <v>1000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18"/>
        <v>1000</v>
      </c>
    </row>
    <row r="1865" spans="2:19" customFormat="1" outlineLevel="1">
      <c r="B1865" s="13" t="s">
        <v>130</v>
      </c>
      <c r="C1865" s="7" t="str">
        <f>C$1849</f>
        <v>MOTONIVELADORA CASE NOVA MOD 865B  HBZN865BAPAF32370</v>
      </c>
      <c r="D1865" s="8">
        <f>D1797</f>
        <v>46096</v>
      </c>
      <c r="E1865" s="15"/>
      <c r="F1865" s="15"/>
      <c r="G1865" s="15">
        <f t="shared" si="520"/>
        <v>0</v>
      </c>
      <c r="H1865" s="16" t="s">
        <v>279</v>
      </c>
      <c r="I1865" s="10">
        <f t="shared" si="519"/>
        <v>1000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18"/>
        <v>1000</v>
      </c>
    </row>
    <row r="1866" spans="2:19" customFormat="1" outlineLevel="1">
      <c r="B1866" s="13" t="s">
        <v>130</v>
      </c>
      <c r="C1866" s="7" t="str">
        <f>C$1849</f>
        <v>MOTONIVELADORA CASE NOVA MOD 865B  HBZN865BAPAF32370</v>
      </c>
      <c r="D1866" s="8">
        <f>D1798</f>
        <v>46097</v>
      </c>
      <c r="E1866" s="15"/>
      <c r="F1866" s="15"/>
      <c r="G1866" s="15">
        <f t="shared" si="520"/>
        <v>0</v>
      </c>
      <c r="H1866" s="16" t="s">
        <v>279</v>
      </c>
      <c r="I1866" s="10">
        <f t="shared" si="519"/>
        <v>1000</v>
      </c>
      <c r="J1866" s="16" t="s">
        <v>16</v>
      </c>
      <c r="K1866" s="15"/>
      <c r="L1866" s="15"/>
      <c r="M1866" s="17"/>
      <c r="N1866" s="9"/>
      <c r="O1866" s="18">
        <f t="shared" ref="O1866:O1877" si="521">O1865</f>
        <v>0</v>
      </c>
      <c r="P1866" s="9"/>
      <c r="Q1866" s="9"/>
      <c r="R1866" s="9"/>
      <c r="S1866" s="10">
        <f t="shared" si="518"/>
        <v>1000</v>
      </c>
    </row>
    <row r="1867" spans="2:19" customFormat="1" outlineLevel="1">
      <c r="B1867" s="13" t="s">
        <v>130</v>
      </c>
      <c r="C1867" s="7" t="str">
        <f>C$1849</f>
        <v>MOTONIVELADORA CASE NOVA MOD 865B  HBZN865BAPAF32370</v>
      </c>
      <c r="D1867" s="8">
        <f>D1799</f>
        <v>46098</v>
      </c>
      <c r="E1867" s="15"/>
      <c r="F1867" s="15"/>
      <c r="G1867" s="15">
        <f t="shared" si="520"/>
        <v>0</v>
      </c>
      <c r="H1867" s="16" t="s">
        <v>279</v>
      </c>
      <c r="I1867" s="10">
        <f t="shared" si="519"/>
        <v>1000</v>
      </c>
      <c r="J1867" s="16" t="s">
        <v>16</v>
      </c>
      <c r="K1867" s="15"/>
      <c r="L1867" s="15"/>
      <c r="M1867" s="17"/>
      <c r="N1867" s="9"/>
      <c r="O1867" s="18">
        <f t="shared" si="521"/>
        <v>0</v>
      </c>
      <c r="P1867" s="9"/>
      <c r="Q1867" s="9"/>
      <c r="R1867" s="9"/>
      <c r="S1867" s="10">
        <f t="shared" si="518"/>
        <v>1000</v>
      </c>
    </row>
    <row r="1868" spans="2:19" customFormat="1" outlineLevel="1">
      <c r="B1868" s="13" t="s">
        <v>130</v>
      </c>
      <c r="C1868" s="7" t="str">
        <f>C$1849</f>
        <v>MOTONIVELADORA CASE NOVA MOD 865B  HBZN865BAPAF32370</v>
      </c>
      <c r="D1868" s="8">
        <f>D1800</f>
        <v>46099</v>
      </c>
      <c r="E1868" s="15"/>
      <c r="F1868" s="15"/>
      <c r="G1868" s="15">
        <f t="shared" si="520"/>
        <v>0</v>
      </c>
      <c r="H1868" s="16" t="s">
        <v>279</v>
      </c>
      <c r="I1868" s="10">
        <f t="shared" si="519"/>
        <v>1000</v>
      </c>
      <c r="J1868" s="16" t="s">
        <v>16</v>
      </c>
      <c r="K1868" s="15"/>
      <c r="L1868" s="15"/>
      <c r="M1868" s="17"/>
      <c r="N1868" s="9"/>
      <c r="O1868" s="18">
        <f t="shared" si="521"/>
        <v>0</v>
      </c>
      <c r="P1868" s="9"/>
      <c r="Q1868" s="9"/>
      <c r="R1868" s="9"/>
      <c r="S1868" s="10">
        <f t="shared" si="518"/>
        <v>1000</v>
      </c>
    </row>
    <row r="1869" spans="2:19" customFormat="1" outlineLevel="1">
      <c r="B1869" s="13" t="s">
        <v>130</v>
      </c>
      <c r="C1869" s="7" t="str">
        <f>C$1849</f>
        <v>MOTONIVELADORA CASE NOVA MOD 865B  HBZN865BAPAF32370</v>
      </c>
      <c r="D1869" s="8">
        <f>D1801</f>
        <v>46100</v>
      </c>
      <c r="E1869" s="15">
        <v>3786</v>
      </c>
      <c r="F1869" s="15">
        <v>3790</v>
      </c>
      <c r="G1869" s="15">
        <f t="shared" si="520"/>
        <v>4</v>
      </c>
      <c r="H1869" s="16" t="s">
        <v>279</v>
      </c>
      <c r="I1869" s="10">
        <f t="shared" si="519"/>
        <v>1000</v>
      </c>
      <c r="J1869" s="16"/>
      <c r="K1869" s="15">
        <v>1</v>
      </c>
      <c r="L1869" s="15"/>
      <c r="M1869" s="17"/>
      <c r="N1869" s="9"/>
      <c r="O1869" s="18">
        <f t="shared" si="521"/>
        <v>0</v>
      </c>
      <c r="P1869" s="9"/>
      <c r="Q1869" s="9"/>
      <c r="R1869" s="9"/>
      <c r="S1869" s="10">
        <f t="shared" si="518"/>
        <v>1000</v>
      </c>
    </row>
    <row r="1870" spans="2:19" customFormat="1" outlineLevel="1">
      <c r="B1870" s="13" t="s">
        <v>130</v>
      </c>
      <c r="C1870" s="7" t="str">
        <f>C$1849</f>
        <v>MOTONIVELADORA CASE NOVA MOD 865B  HBZN865BAPAF32370</v>
      </c>
      <c r="D1870" s="8">
        <f>D1802</f>
        <v>46101</v>
      </c>
      <c r="E1870" s="15">
        <v>3790</v>
      </c>
      <c r="F1870" s="15">
        <v>3793</v>
      </c>
      <c r="G1870" s="15">
        <f t="shared" si="520"/>
        <v>3</v>
      </c>
      <c r="H1870" s="16" t="s">
        <v>279</v>
      </c>
      <c r="I1870" s="10">
        <f t="shared" si="519"/>
        <v>1000</v>
      </c>
      <c r="J1870" s="16"/>
      <c r="K1870" s="15">
        <v>1</v>
      </c>
      <c r="L1870" s="15"/>
      <c r="M1870" s="17"/>
      <c r="N1870" s="9"/>
      <c r="O1870" s="18">
        <f t="shared" si="521"/>
        <v>0</v>
      </c>
      <c r="P1870" s="9"/>
      <c r="Q1870" s="9"/>
      <c r="R1870" s="9"/>
      <c r="S1870" s="10">
        <f t="shared" si="518"/>
        <v>1000</v>
      </c>
    </row>
    <row r="1871" spans="2:19" customFormat="1" outlineLevel="1">
      <c r="B1871" s="13" t="s">
        <v>130</v>
      </c>
      <c r="C1871" s="7" t="str">
        <f>C$1849</f>
        <v>MOTONIVELADORA CASE NOVA MOD 865B  HBZN865BAPAF32370</v>
      </c>
      <c r="D1871" s="8">
        <f>D1803</f>
        <v>46102</v>
      </c>
      <c r="E1871" s="15"/>
      <c r="F1871" s="15"/>
      <c r="G1871" s="15">
        <f t="shared" si="520"/>
        <v>0</v>
      </c>
      <c r="H1871" s="16" t="s">
        <v>279</v>
      </c>
      <c r="I1871" s="10">
        <f t="shared" si="519"/>
        <v>1000</v>
      </c>
      <c r="J1871" s="16" t="s">
        <v>16</v>
      </c>
      <c r="K1871" s="15"/>
      <c r="L1871" s="15"/>
      <c r="M1871" s="17"/>
      <c r="N1871" s="9"/>
      <c r="O1871" s="18">
        <f t="shared" si="521"/>
        <v>0</v>
      </c>
      <c r="P1871" s="9"/>
      <c r="Q1871" s="9"/>
      <c r="R1871" s="9"/>
      <c r="S1871" s="10">
        <f t="shared" si="518"/>
        <v>1000</v>
      </c>
    </row>
    <row r="1872" spans="2:19" customFormat="1" outlineLevel="1">
      <c r="B1872" s="13" t="s">
        <v>130</v>
      </c>
      <c r="C1872" s="7" t="str">
        <f>C$1849</f>
        <v>MOTONIVELADORA CASE NOVA MOD 865B  HBZN865BAPAF32370</v>
      </c>
      <c r="D1872" s="8">
        <f>D1804</f>
        <v>46103</v>
      </c>
      <c r="E1872" s="15"/>
      <c r="F1872" s="15"/>
      <c r="G1872" s="15">
        <f t="shared" si="520"/>
        <v>0</v>
      </c>
      <c r="H1872" s="16" t="s">
        <v>279</v>
      </c>
      <c r="I1872" s="10">
        <f t="shared" si="519"/>
        <v>1000</v>
      </c>
      <c r="J1872" s="16" t="s">
        <v>16</v>
      </c>
      <c r="K1872" s="15"/>
      <c r="L1872" s="15"/>
      <c r="M1872" s="17"/>
      <c r="N1872" s="9"/>
      <c r="O1872" s="18">
        <f t="shared" si="521"/>
        <v>0</v>
      </c>
      <c r="P1872" s="9"/>
      <c r="Q1872" s="9"/>
      <c r="R1872" s="9"/>
      <c r="S1872" s="10">
        <f t="shared" si="518"/>
        <v>1000</v>
      </c>
    </row>
    <row r="1873" spans="2:19" customFormat="1" outlineLevel="1">
      <c r="B1873" s="13" t="s">
        <v>130</v>
      </c>
      <c r="C1873" s="7" t="str">
        <f>C$1849</f>
        <v>MOTONIVELADORA CASE NOVA MOD 865B  HBZN865BAPAF32370</v>
      </c>
      <c r="D1873" s="8">
        <f>D1805</f>
        <v>46104</v>
      </c>
      <c r="E1873" s="15">
        <v>3793</v>
      </c>
      <c r="F1873" s="15">
        <v>3793</v>
      </c>
      <c r="G1873" s="15">
        <f t="shared" si="520"/>
        <v>0</v>
      </c>
      <c r="H1873" s="16" t="s">
        <v>279</v>
      </c>
      <c r="I1873" s="10">
        <f t="shared" si="519"/>
        <v>1000</v>
      </c>
      <c r="J1873" s="16"/>
      <c r="K1873" s="15">
        <v>1</v>
      </c>
      <c r="L1873" s="15">
        <v>150</v>
      </c>
      <c r="M1873" s="17"/>
      <c r="N1873" s="9"/>
      <c r="O1873" s="18">
        <f t="shared" si="521"/>
        <v>0</v>
      </c>
      <c r="P1873" s="9"/>
      <c r="Q1873" s="9"/>
      <c r="R1873" s="9"/>
      <c r="S1873" s="10">
        <f t="shared" si="518"/>
        <v>1000</v>
      </c>
    </row>
    <row r="1874" spans="2:19" customFormat="1" outlineLevel="1">
      <c r="B1874" s="13" t="s">
        <v>130</v>
      </c>
      <c r="C1874" s="7" t="str">
        <f>C$1849</f>
        <v>MOTONIVELADORA CASE NOVA MOD 865B  HBZN865BAPAF32370</v>
      </c>
      <c r="D1874" s="8">
        <f>D1806</f>
        <v>46105</v>
      </c>
      <c r="E1874" s="15">
        <v>3793</v>
      </c>
      <c r="F1874" s="15">
        <v>3801</v>
      </c>
      <c r="G1874" s="15">
        <f t="shared" si="520"/>
        <v>8</v>
      </c>
      <c r="H1874" s="16" t="s">
        <v>279</v>
      </c>
      <c r="I1874" s="10">
        <f t="shared" si="519"/>
        <v>1000</v>
      </c>
      <c r="J1874" s="16"/>
      <c r="K1874" s="15">
        <v>1</v>
      </c>
      <c r="L1874" s="15"/>
      <c r="M1874" s="17"/>
      <c r="N1874" s="9"/>
      <c r="O1874" s="18">
        <f t="shared" si="521"/>
        <v>0</v>
      </c>
      <c r="P1874" s="9"/>
      <c r="Q1874" s="9"/>
      <c r="R1874" s="9"/>
      <c r="S1874" s="10">
        <f t="shared" si="518"/>
        <v>1000</v>
      </c>
    </row>
    <row r="1875" spans="2:19" customFormat="1" outlineLevel="1">
      <c r="B1875" s="13" t="s">
        <v>130</v>
      </c>
      <c r="C1875" s="7" t="str">
        <f>C$1849</f>
        <v>MOTONIVELADORA CASE NOVA MOD 865B  HBZN865BAPAF32370</v>
      </c>
      <c r="D1875" s="8">
        <f>D1807</f>
        <v>46106</v>
      </c>
      <c r="E1875" s="15">
        <v>3801</v>
      </c>
      <c r="F1875" s="15">
        <v>3808</v>
      </c>
      <c r="G1875" s="15">
        <f t="shared" si="520"/>
        <v>7</v>
      </c>
      <c r="H1875" s="16" t="s">
        <v>279</v>
      </c>
      <c r="I1875" s="10">
        <f t="shared" si="519"/>
        <v>1000</v>
      </c>
      <c r="J1875" s="16"/>
      <c r="K1875" s="15">
        <v>1</v>
      </c>
      <c r="L1875" s="15"/>
      <c r="M1875" s="17"/>
      <c r="N1875" s="9"/>
      <c r="O1875" s="18">
        <f t="shared" si="521"/>
        <v>0</v>
      </c>
      <c r="P1875" s="9"/>
      <c r="Q1875" s="9"/>
      <c r="R1875" s="9"/>
      <c r="S1875" s="10">
        <f t="shared" si="518"/>
        <v>1000</v>
      </c>
    </row>
    <row r="1876" spans="2:19" customFormat="1" outlineLevel="1">
      <c r="B1876" s="13" t="s">
        <v>130</v>
      </c>
      <c r="C1876" s="7" t="str">
        <f>C$1849</f>
        <v>MOTONIVELADORA CASE NOVA MOD 865B  HBZN865BAPAF32370</v>
      </c>
      <c r="D1876" s="8">
        <f>D1808</f>
        <v>46107</v>
      </c>
      <c r="E1876" s="15">
        <v>3808</v>
      </c>
      <c r="F1876" s="15">
        <v>3813</v>
      </c>
      <c r="G1876" s="15">
        <f t="shared" si="520"/>
        <v>5</v>
      </c>
      <c r="H1876" s="16" t="s">
        <v>279</v>
      </c>
      <c r="I1876" s="10">
        <f t="shared" si="519"/>
        <v>1000</v>
      </c>
      <c r="J1876" s="16"/>
      <c r="K1876" s="15">
        <v>1</v>
      </c>
      <c r="L1876" s="15">
        <v>326</v>
      </c>
      <c r="M1876" s="17"/>
      <c r="N1876" s="9"/>
      <c r="O1876" s="18">
        <f t="shared" si="521"/>
        <v>0</v>
      </c>
      <c r="P1876" s="9"/>
      <c r="Q1876" s="9"/>
      <c r="R1876" s="9"/>
      <c r="S1876" s="10">
        <f t="shared" si="518"/>
        <v>1000</v>
      </c>
    </row>
    <row r="1877" spans="2:19" customFormat="1" outlineLevel="1">
      <c r="B1877" s="13" t="s">
        <v>130</v>
      </c>
      <c r="C1877" s="7" t="str">
        <f>C$1849</f>
        <v>MOTONIVELADORA CASE NOVA MOD 865B  HBZN865BAPAF32370</v>
      </c>
      <c r="D1877" s="8">
        <f>D1809</f>
        <v>46108</v>
      </c>
      <c r="E1877" s="15">
        <v>3813</v>
      </c>
      <c r="F1877" s="15">
        <v>3815</v>
      </c>
      <c r="G1877" s="15">
        <f t="shared" si="520"/>
        <v>2</v>
      </c>
      <c r="H1877" s="16" t="s">
        <v>279</v>
      </c>
      <c r="I1877" s="10">
        <f t="shared" si="519"/>
        <v>1000</v>
      </c>
      <c r="J1877" s="16"/>
      <c r="K1877" s="15">
        <v>1</v>
      </c>
      <c r="L1877" s="15"/>
      <c r="M1877" s="17"/>
      <c r="N1877" s="9"/>
      <c r="O1877" s="18">
        <f t="shared" si="521"/>
        <v>0</v>
      </c>
      <c r="P1877" s="9"/>
      <c r="Q1877" s="9"/>
      <c r="R1877" s="9"/>
      <c r="S1877" s="10">
        <f t="shared" si="518"/>
        <v>1000</v>
      </c>
    </row>
    <row r="1878" spans="2:19" customFormat="1" outlineLevel="1">
      <c r="B1878" s="13" t="s">
        <v>130</v>
      </c>
      <c r="C1878" s="7" t="str">
        <f>C$1849</f>
        <v>MOTONIVELADORA CASE NOVA MOD 865B  HBZN865BAPAF32370</v>
      </c>
      <c r="D1878" s="8">
        <f>D1813</f>
        <v>46112</v>
      </c>
      <c r="E1878" s="15"/>
      <c r="F1878" s="15"/>
      <c r="G1878" s="15">
        <f t="shared" si="520"/>
        <v>0</v>
      </c>
      <c r="H1878" s="16" t="s">
        <v>279</v>
      </c>
      <c r="I1878" s="10">
        <f>I1877</f>
        <v>1000</v>
      </c>
      <c r="J1878" s="16" t="s">
        <v>16</v>
      </c>
      <c r="K1878" s="15"/>
      <c r="L1878" s="15"/>
      <c r="M1878" s="17"/>
      <c r="N1878" s="9"/>
      <c r="O1878" s="18">
        <f>O1877</f>
        <v>0</v>
      </c>
      <c r="P1878" s="9"/>
      <c r="Q1878" s="9"/>
      <c r="R1878" s="9"/>
      <c r="S1878" s="10">
        <f t="shared" si="518"/>
        <v>1000</v>
      </c>
    </row>
    <row r="1879" spans="2:19" customFormat="1">
      <c r="B1879" s="13" t="s">
        <v>130</v>
      </c>
      <c r="D1879" s="1"/>
      <c r="E1879" s="2"/>
      <c r="F1879" s="2"/>
      <c r="G1879" s="2"/>
      <c r="K1879" s="2"/>
      <c r="L1879" s="2"/>
      <c r="O1879" s="2"/>
      <c r="P1879" s="2"/>
      <c r="Q1879" s="2"/>
      <c r="R1879" s="2"/>
    </row>
    <row r="1880" spans="2:19" customFormat="1">
      <c r="B1880" s="13" t="s">
        <v>130</v>
      </c>
      <c r="C1880" s="3" t="s">
        <v>133</v>
      </c>
      <c r="D1880" s="3"/>
      <c r="E1880" s="4"/>
      <c r="F1880" s="4"/>
      <c r="G1880" s="4"/>
      <c r="H1880" s="3"/>
      <c r="I1880" s="3"/>
      <c r="J1880" s="3"/>
      <c r="K1880" s="4"/>
      <c r="L1880" s="4"/>
      <c r="M1880" s="135" t="str">
        <f>M$1</f>
        <v>BM JANEIRO 2026</v>
      </c>
      <c r="N1880" s="135"/>
      <c r="O1880" s="135"/>
      <c r="P1880" s="19" t="s">
        <v>10</v>
      </c>
      <c r="Q1880" s="136" t="s">
        <v>241</v>
      </c>
      <c r="R1880" s="136"/>
      <c r="S1880" s="136"/>
    </row>
    <row r="1881" spans="2:19" customFormat="1">
      <c r="B1881" s="14"/>
      <c r="C1881" s="5" t="s">
        <v>1</v>
      </c>
      <c r="D1881" s="5" t="s">
        <v>11</v>
      </c>
      <c r="E1881" s="6" t="s">
        <v>12</v>
      </c>
      <c r="F1881" s="6" t="s">
        <v>13</v>
      </c>
      <c r="G1881" s="6" t="s">
        <v>14</v>
      </c>
      <c r="H1881" s="5" t="s">
        <v>3</v>
      </c>
      <c r="I1881" s="6" t="s">
        <v>15</v>
      </c>
      <c r="J1881" s="6" t="s">
        <v>16</v>
      </c>
      <c r="K1881" s="6" t="s">
        <v>17</v>
      </c>
      <c r="L1881" s="6" t="s">
        <v>18</v>
      </c>
      <c r="M1881" s="5" t="s">
        <v>11</v>
      </c>
      <c r="N1881" s="5" t="s">
        <v>19</v>
      </c>
      <c r="O1881" s="6" t="s">
        <v>2</v>
      </c>
      <c r="P1881" s="6" t="s">
        <v>20</v>
      </c>
      <c r="Q1881" s="6" t="s">
        <v>21</v>
      </c>
      <c r="R1881" s="6" t="s">
        <v>22</v>
      </c>
      <c r="S1881" s="6" t="s">
        <v>23</v>
      </c>
    </row>
    <row r="1882" spans="2:19" customFormat="1" hidden="1" outlineLevel="1">
      <c r="B1882" s="68" t="s">
        <v>132</v>
      </c>
      <c r="C1882" s="7" t="str">
        <f>C$1880</f>
        <v>ROLO COMPACTADOR KIT NOVO DINAPAC CA-30 CHASSIS PB007883</v>
      </c>
      <c r="D1882" s="8">
        <f>D1817</f>
        <v>46082</v>
      </c>
      <c r="E1882" s="15"/>
      <c r="F1882" s="15"/>
      <c r="G1882" s="15">
        <f t="shared" ref="G1882:G1887" si="522">F1882-E1882</f>
        <v>0</v>
      </c>
      <c r="H1882" s="16" t="s">
        <v>7</v>
      </c>
      <c r="I1882" s="10">
        <f>P1882</f>
        <v>514.28571428571433</v>
      </c>
      <c r="J1882" s="16" t="s">
        <v>16</v>
      </c>
      <c r="K1882" s="15"/>
      <c r="L1882" s="15"/>
      <c r="M1882" s="17"/>
      <c r="N1882" s="9"/>
      <c r="O1882" s="9">
        <v>14400</v>
      </c>
      <c r="P1882" s="9">
        <f>O1882/28</f>
        <v>514.28571428571433</v>
      </c>
      <c r="Q1882" s="9"/>
      <c r="R1882" s="9"/>
      <c r="S1882" s="10">
        <f>SUM(R1882+Q1882+I1882)</f>
        <v>514.28571428571433</v>
      </c>
    </row>
    <row r="1883" spans="2:19" customFormat="1" hidden="1" outlineLevel="1">
      <c r="B1883" s="12" t="s">
        <v>0</v>
      </c>
      <c r="C1883" s="7" t="str">
        <f t="shared" ref="C1883:C1909" si="523">C$1880</f>
        <v>ROLO COMPACTADOR KIT NOVO DINAPAC CA-30 CHASSIS PB007883</v>
      </c>
      <c r="D1883" s="8">
        <f>D1818</f>
        <v>46083</v>
      </c>
      <c r="E1883" s="15"/>
      <c r="F1883" s="15"/>
      <c r="G1883" s="15">
        <f t="shared" si="522"/>
        <v>0</v>
      </c>
      <c r="H1883" s="16" t="s">
        <v>7</v>
      </c>
      <c r="I1883" s="10">
        <f>I1882</f>
        <v>514.28571428571433</v>
      </c>
      <c r="J1883" s="16" t="s">
        <v>276</v>
      </c>
      <c r="K1883" s="15"/>
      <c r="L1883" s="15"/>
      <c r="M1883" s="17"/>
      <c r="N1883" s="9"/>
      <c r="O1883" s="9"/>
      <c r="P1883" s="9"/>
      <c r="Q1883" s="9"/>
      <c r="R1883" s="9"/>
      <c r="S1883" s="10">
        <f t="shared" ref="S1883:S1909" si="524">SUM(R1883+Q1883+I1883)</f>
        <v>514.28571428571433</v>
      </c>
    </row>
    <row r="1884" spans="2:19" customFormat="1" hidden="1" outlineLevel="1">
      <c r="B1884" s="13" t="s">
        <v>132</v>
      </c>
      <c r="C1884" s="7" t="str">
        <f t="shared" si="523"/>
        <v>ROLO COMPACTADOR KIT NOVO DINAPAC CA-30 CHASSIS PB007883</v>
      </c>
      <c r="D1884" s="8">
        <f>D1819</f>
        <v>46084</v>
      </c>
      <c r="E1884" s="15"/>
      <c r="F1884" s="15"/>
      <c r="G1884" s="15">
        <f t="shared" si="522"/>
        <v>0</v>
      </c>
      <c r="H1884" s="16" t="s">
        <v>7</v>
      </c>
      <c r="I1884" s="10">
        <f t="shared" ref="I1884:I1909" si="525">I1883</f>
        <v>514.28571428571433</v>
      </c>
      <c r="J1884" s="16" t="s">
        <v>276</v>
      </c>
      <c r="K1884" s="15"/>
      <c r="L1884" s="15"/>
      <c r="M1884" s="17"/>
      <c r="N1884" s="9"/>
      <c r="O1884" s="9"/>
      <c r="P1884" s="9"/>
      <c r="Q1884" s="9"/>
      <c r="R1884" s="9"/>
      <c r="S1884" s="10">
        <f t="shared" si="524"/>
        <v>514.28571428571433</v>
      </c>
    </row>
    <row r="1885" spans="2:19" customFormat="1" hidden="1" outlineLevel="1">
      <c r="B1885" s="13" t="s">
        <v>132</v>
      </c>
      <c r="C1885" s="7" t="str">
        <f t="shared" si="523"/>
        <v>ROLO COMPACTADOR KIT NOVO DINAPAC CA-30 CHASSIS PB007883</v>
      </c>
      <c r="D1885" s="8">
        <f>D1820</f>
        <v>46085</v>
      </c>
      <c r="E1885" s="15"/>
      <c r="F1885" s="15"/>
      <c r="G1885" s="15">
        <f t="shared" si="522"/>
        <v>0</v>
      </c>
      <c r="H1885" s="16" t="s">
        <v>7</v>
      </c>
      <c r="I1885" s="10">
        <f t="shared" si="525"/>
        <v>514.28571428571433</v>
      </c>
      <c r="J1885" s="16" t="s">
        <v>276</v>
      </c>
      <c r="K1885" s="15"/>
      <c r="L1885" s="15"/>
      <c r="M1885" s="17"/>
      <c r="N1885" s="9"/>
      <c r="O1885" s="9"/>
      <c r="P1885" s="9"/>
      <c r="Q1885" s="9"/>
      <c r="R1885" s="9"/>
      <c r="S1885" s="10">
        <f t="shared" si="524"/>
        <v>514.28571428571433</v>
      </c>
    </row>
    <row r="1886" spans="2:19" customFormat="1" hidden="1" outlineLevel="1">
      <c r="B1886" s="13" t="s">
        <v>132</v>
      </c>
      <c r="C1886" s="7" t="str">
        <f t="shared" si="523"/>
        <v>ROLO COMPACTADOR KIT NOVO DINAPAC CA-30 CHASSIS PB007883</v>
      </c>
      <c r="D1886" s="8">
        <f>D1821</f>
        <v>46086</v>
      </c>
      <c r="E1886" s="15"/>
      <c r="F1886" s="15"/>
      <c r="G1886" s="15">
        <f t="shared" si="522"/>
        <v>0</v>
      </c>
      <c r="H1886" s="16" t="s">
        <v>7</v>
      </c>
      <c r="I1886" s="10">
        <f t="shared" si="525"/>
        <v>514.28571428571433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24"/>
        <v>514.28571428571433</v>
      </c>
    </row>
    <row r="1887" spans="2:19" customFormat="1" hidden="1" outlineLevel="1">
      <c r="B1887" s="13" t="s">
        <v>132</v>
      </c>
      <c r="C1887" s="7" t="str">
        <f t="shared" si="523"/>
        <v>ROLO COMPACTADOR KIT NOVO DINAPAC CA-30 CHASSIS PB007883</v>
      </c>
      <c r="D1887" s="8">
        <f>D1822</f>
        <v>46087</v>
      </c>
      <c r="E1887" s="15"/>
      <c r="F1887" s="15"/>
      <c r="G1887" s="15">
        <f t="shared" si="522"/>
        <v>0</v>
      </c>
      <c r="H1887" s="16" t="s">
        <v>7</v>
      </c>
      <c r="I1887" s="10">
        <f t="shared" si="525"/>
        <v>514.28571428571433</v>
      </c>
      <c r="J1887" s="16" t="s">
        <v>16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24"/>
        <v>514.28571428571433</v>
      </c>
    </row>
    <row r="1888" spans="2:19" customFormat="1" hidden="1" outlineLevel="1">
      <c r="B1888" s="13" t="s">
        <v>132</v>
      </c>
      <c r="C1888" s="7" t="str">
        <f t="shared" si="523"/>
        <v>ROLO COMPACTADOR KIT NOVO DINAPAC CA-30 CHASSIS PB007883</v>
      </c>
      <c r="D1888" s="8">
        <f>D1823</f>
        <v>46088</v>
      </c>
      <c r="E1888" s="15"/>
      <c r="F1888" s="15"/>
      <c r="G1888" s="15">
        <f t="shared" ref="G1888:G1909" si="526">F1888-E1888</f>
        <v>0</v>
      </c>
      <c r="H1888" s="16" t="s">
        <v>7</v>
      </c>
      <c r="I1888" s="10">
        <f t="shared" si="525"/>
        <v>514.28571428571433</v>
      </c>
      <c r="J1888" s="16" t="s">
        <v>16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24"/>
        <v>514.28571428571433</v>
      </c>
    </row>
    <row r="1889" spans="2:19" customFormat="1" hidden="1" outlineLevel="1">
      <c r="B1889" s="13" t="s">
        <v>132</v>
      </c>
      <c r="C1889" s="7" t="str">
        <f t="shared" si="523"/>
        <v>ROLO COMPACTADOR KIT NOVO DINAPAC CA-30 CHASSIS PB007883</v>
      </c>
      <c r="D1889" s="8">
        <f>D1824</f>
        <v>46089</v>
      </c>
      <c r="E1889" s="15"/>
      <c r="F1889" s="15"/>
      <c r="G1889" s="15">
        <f t="shared" si="526"/>
        <v>0</v>
      </c>
      <c r="H1889" s="16" t="s">
        <v>7</v>
      </c>
      <c r="I1889" s="10">
        <f t="shared" si="525"/>
        <v>514.28571428571433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524"/>
        <v>514.28571428571433</v>
      </c>
    </row>
    <row r="1890" spans="2:19" customFormat="1" hidden="1" outlineLevel="1">
      <c r="B1890" s="13" t="s">
        <v>132</v>
      </c>
      <c r="C1890" s="7" t="str">
        <f t="shared" si="523"/>
        <v>ROLO COMPACTADOR KIT NOVO DINAPAC CA-30 CHASSIS PB007883</v>
      </c>
      <c r="D1890" s="8">
        <f>D1825</f>
        <v>46090</v>
      </c>
      <c r="E1890" s="15"/>
      <c r="F1890" s="15"/>
      <c r="G1890" s="15">
        <f t="shared" si="526"/>
        <v>0</v>
      </c>
      <c r="H1890" s="16" t="s">
        <v>7</v>
      </c>
      <c r="I1890" s="10">
        <f t="shared" si="525"/>
        <v>514.28571428571433</v>
      </c>
      <c r="J1890" s="16" t="s">
        <v>16</v>
      </c>
      <c r="K1890" s="15"/>
      <c r="L1890" s="15"/>
      <c r="M1890" s="17"/>
      <c r="N1890" s="9"/>
      <c r="O1890" s="18"/>
      <c r="P1890" s="9"/>
      <c r="Q1890" s="9"/>
      <c r="R1890" s="9"/>
      <c r="S1890" s="10">
        <f t="shared" si="524"/>
        <v>514.28571428571433</v>
      </c>
    </row>
    <row r="1891" spans="2:19" customFormat="1" hidden="1" outlineLevel="1">
      <c r="B1891" s="13" t="s">
        <v>132</v>
      </c>
      <c r="C1891" s="7" t="str">
        <f t="shared" si="523"/>
        <v>ROLO COMPACTADOR KIT NOVO DINAPAC CA-30 CHASSIS PB007883</v>
      </c>
      <c r="D1891" s="8">
        <f>D1826</f>
        <v>46091</v>
      </c>
      <c r="E1891" s="15"/>
      <c r="F1891" s="15"/>
      <c r="G1891" s="15">
        <f t="shared" si="526"/>
        <v>0</v>
      </c>
      <c r="H1891" s="16" t="s">
        <v>7</v>
      </c>
      <c r="I1891" s="10">
        <f t="shared" si="525"/>
        <v>514.28571428571433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24"/>
        <v>514.28571428571433</v>
      </c>
    </row>
    <row r="1892" spans="2:19" customFormat="1" hidden="1" outlineLevel="1">
      <c r="B1892" s="13" t="s">
        <v>132</v>
      </c>
      <c r="C1892" s="7" t="str">
        <f t="shared" si="523"/>
        <v>ROLO COMPACTADOR KIT NOVO DINAPAC CA-30 CHASSIS PB007883</v>
      </c>
      <c r="D1892" s="8">
        <f>D1827</f>
        <v>46092</v>
      </c>
      <c r="E1892" s="15"/>
      <c r="F1892" s="15"/>
      <c r="G1892" s="15">
        <f t="shared" si="526"/>
        <v>0</v>
      </c>
      <c r="H1892" s="16" t="s">
        <v>7</v>
      </c>
      <c r="I1892" s="10">
        <f t="shared" si="525"/>
        <v>514.28571428571433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24"/>
        <v>514.28571428571433</v>
      </c>
    </row>
    <row r="1893" spans="2:19" customFormat="1" hidden="1" outlineLevel="1">
      <c r="B1893" s="13" t="s">
        <v>132</v>
      </c>
      <c r="C1893" s="7" t="str">
        <f t="shared" si="523"/>
        <v>ROLO COMPACTADOR KIT NOVO DINAPAC CA-30 CHASSIS PB007883</v>
      </c>
      <c r="D1893" s="8">
        <f>D1828</f>
        <v>46093</v>
      </c>
      <c r="E1893" s="15"/>
      <c r="F1893" s="15"/>
      <c r="G1893" s="15">
        <f t="shared" si="526"/>
        <v>0</v>
      </c>
      <c r="H1893" s="16" t="s">
        <v>7</v>
      </c>
      <c r="I1893" s="10">
        <f t="shared" si="525"/>
        <v>514.28571428571433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24"/>
        <v>514.28571428571433</v>
      </c>
    </row>
    <row r="1894" spans="2:19" customFormat="1" hidden="1" outlineLevel="1">
      <c r="B1894" s="13" t="s">
        <v>132</v>
      </c>
      <c r="C1894" s="7" t="str">
        <f t="shared" si="523"/>
        <v>ROLO COMPACTADOR KIT NOVO DINAPAC CA-30 CHASSIS PB007883</v>
      </c>
      <c r="D1894" s="8">
        <f>D1829</f>
        <v>46094</v>
      </c>
      <c r="E1894" s="15"/>
      <c r="F1894" s="15"/>
      <c r="G1894" s="15">
        <f t="shared" si="526"/>
        <v>0</v>
      </c>
      <c r="H1894" s="16" t="s">
        <v>7</v>
      </c>
      <c r="I1894" s="10">
        <f t="shared" si="525"/>
        <v>514.28571428571433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24"/>
        <v>514.28571428571433</v>
      </c>
    </row>
    <row r="1895" spans="2:19" customFormat="1" hidden="1" outlineLevel="1">
      <c r="B1895" s="13" t="s">
        <v>132</v>
      </c>
      <c r="C1895" s="7" t="str">
        <f t="shared" si="523"/>
        <v>ROLO COMPACTADOR KIT NOVO DINAPAC CA-30 CHASSIS PB007883</v>
      </c>
      <c r="D1895" s="8">
        <f>D1830</f>
        <v>46095</v>
      </c>
      <c r="E1895" s="15"/>
      <c r="F1895" s="15"/>
      <c r="G1895" s="15">
        <f t="shared" si="526"/>
        <v>0</v>
      </c>
      <c r="H1895" s="16" t="s">
        <v>7</v>
      </c>
      <c r="I1895" s="10">
        <f t="shared" si="525"/>
        <v>514.28571428571433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24"/>
        <v>514.28571428571433</v>
      </c>
    </row>
    <row r="1896" spans="2:19" customFormat="1" hidden="1" outlineLevel="1">
      <c r="B1896" s="13" t="s">
        <v>132</v>
      </c>
      <c r="C1896" s="7" t="str">
        <f t="shared" si="523"/>
        <v>ROLO COMPACTADOR KIT NOVO DINAPAC CA-30 CHASSIS PB007883</v>
      </c>
      <c r="D1896" s="8">
        <f>D1831</f>
        <v>46096</v>
      </c>
      <c r="E1896" s="15"/>
      <c r="F1896" s="15"/>
      <c r="G1896" s="15">
        <f t="shared" si="526"/>
        <v>0</v>
      </c>
      <c r="H1896" s="16" t="s">
        <v>7</v>
      </c>
      <c r="I1896" s="10">
        <f t="shared" si="525"/>
        <v>514.28571428571433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24"/>
        <v>514.28571428571433</v>
      </c>
    </row>
    <row r="1897" spans="2:19" customFormat="1" hidden="1" outlineLevel="1">
      <c r="B1897" s="13" t="s">
        <v>132</v>
      </c>
      <c r="C1897" s="7" t="str">
        <f t="shared" si="523"/>
        <v>ROLO COMPACTADOR KIT NOVO DINAPAC CA-30 CHASSIS PB007883</v>
      </c>
      <c r="D1897" s="8">
        <f>D1832</f>
        <v>46097</v>
      </c>
      <c r="E1897" s="15"/>
      <c r="F1897" s="15"/>
      <c r="G1897" s="15">
        <f t="shared" si="526"/>
        <v>0</v>
      </c>
      <c r="H1897" s="16" t="s">
        <v>7</v>
      </c>
      <c r="I1897" s="10">
        <f t="shared" si="525"/>
        <v>514.28571428571433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24"/>
        <v>514.28571428571433</v>
      </c>
    </row>
    <row r="1898" spans="2:19" customFormat="1" hidden="1" outlineLevel="1">
      <c r="B1898" s="13" t="s">
        <v>132</v>
      </c>
      <c r="C1898" s="7" t="str">
        <f t="shared" si="523"/>
        <v>ROLO COMPACTADOR KIT NOVO DINAPAC CA-30 CHASSIS PB007883</v>
      </c>
      <c r="D1898" s="8">
        <f>D1833</f>
        <v>46098</v>
      </c>
      <c r="E1898" s="15"/>
      <c r="F1898" s="15"/>
      <c r="G1898" s="15">
        <f t="shared" si="526"/>
        <v>0</v>
      </c>
      <c r="H1898" s="16" t="s">
        <v>7</v>
      </c>
      <c r="I1898" s="10">
        <f t="shared" si="525"/>
        <v>514.28571428571433</v>
      </c>
      <c r="J1898" s="16" t="s">
        <v>16</v>
      </c>
      <c r="K1898" s="15"/>
      <c r="L1898" s="15"/>
      <c r="M1898" s="17"/>
      <c r="N1898" s="9"/>
      <c r="O1898" s="18">
        <f t="shared" ref="O1898:O1909" si="527">O1897</f>
        <v>0</v>
      </c>
      <c r="P1898" s="9"/>
      <c r="Q1898" s="9"/>
      <c r="R1898" s="9"/>
      <c r="S1898" s="10">
        <f t="shared" si="524"/>
        <v>514.28571428571433</v>
      </c>
    </row>
    <row r="1899" spans="2:19" customFormat="1" hidden="1" outlineLevel="1">
      <c r="B1899" s="13" t="s">
        <v>132</v>
      </c>
      <c r="C1899" s="7" t="str">
        <f t="shared" si="523"/>
        <v>ROLO COMPACTADOR KIT NOVO DINAPAC CA-30 CHASSIS PB007883</v>
      </c>
      <c r="D1899" s="8">
        <f>D1834</f>
        <v>46099</v>
      </c>
      <c r="E1899" s="15"/>
      <c r="F1899" s="15"/>
      <c r="G1899" s="15">
        <f t="shared" si="526"/>
        <v>0</v>
      </c>
      <c r="H1899" s="16" t="s">
        <v>7</v>
      </c>
      <c r="I1899" s="10">
        <f t="shared" si="525"/>
        <v>514.28571428571433</v>
      </c>
      <c r="J1899" s="16" t="s">
        <v>16</v>
      </c>
      <c r="K1899" s="15"/>
      <c r="L1899" s="15"/>
      <c r="M1899" s="17"/>
      <c r="N1899" s="9"/>
      <c r="O1899" s="18">
        <f t="shared" si="527"/>
        <v>0</v>
      </c>
      <c r="P1899" s="9"/>
      <c r="Q1899" s="9"/>
      <c r="R1899" s="9"/>
      <c r="S1899" s="10">
        <f t="shared" si="524"/>
        <v>514.28571428571433</v>
      </c>
    </row>
    <row r="1900" spans="2:19" customFormat="1" hidden="1" outlineLevel="1">
      <c r="B1900" s="13" t="s">
        <v>132</v>
      </c>
      <c r="C1900" s="7" t="str">
        <f t="shared" si="523"/>
        <v>ROLO COMPACTADOR KIT NOVO DINAPAC CA-30 CHASSIS PB007883</v>
      </c>
      <c r="D1900" s="8">
        <f>D1835</f>
        <v>46100</v>
      </c>
      <c r="E1900" s="15"/>
      <c r="F1900" s="15"/>
      <c r="G1900" s="15">
        <f t="shared" si="526"/>
        <v>0</v>
      </c>
      <c r="H1900" s="16" t="s">
        <v>7</v>
      </c>
      <c r="I1900" s="10">
        <f t="shared" si="525"/>
        <v>514.28571428571433</v>
      </c>
      <c r="J1900" s="16" t="s">
        <v>16</v>
      </c>
      <c r="K1900" s="15"/>
      <c r="L1900" s="15"/>
      <c r="M1900" s="17"/>
      <c r="N1900" s="9"/>
      <c r="O1900" s="18">
        <f t="shared" si="527"/>
        <v>0</v>
      </c>
      <c r="P1900" s="9"/>
      <c r="Q1900" s="9"/>
      <c r="R1900" s="9"/>
      <c r="S1900" s="10">
        <f t="shared" si="524"/>
        <v>514.28571428571433</v>
      </c>
    </row>
    <row r="1901" spans="2:19" customFormat="1" hidden="1" outlineLevel="1">
      <c r="B1901" s="13" t="s">
        <v>132</v>
      </c>
      <c r="C1901" s="7" t="str">
        <f t="shared" si="523"/>
        <v>ROLO COMPACTADOR KIT NOVO DINAPAC CA-30 CHASSIS PB007883</v>
      </c>
      <c r="D1901" s="8">
        <f>D1836</f>
        <v>46101</v>
      </c>
      <c r="E1901" s="15"/>
      <c r="F1901" s="15"/>
      <c r="G1901" s="15">
        <f t="shared" si="526"/>
        <v>0</v>
      </c>
      <c r="H1901" s="16" t="s">
        <v>7</v>
      </c>
      <c r="I1901" s="10">
        <f t="shared" si="525"/>
        <v>514.28571428571433</v>
      </c>
      <c r="J1901" s="16" t="s">
        <v>16</v>
      </c>
      <c r="K1901" s="15"/>
      <c r="L1901" s="15"/>
      <c r="M1901" s="17"/>
      <c r="N1901" s="9"/>
      <c r="O1901" s="18">
        <f t="shared" si="527"/>
        <v>0</v>
      </c>
      <c r="P1901" s="9"/>
      <c r="Q1901" s="9"/>
      <c r="R1901" s="9"/>
      <c r="S1901" s="10">
        <f t="shared" si="524"/>
        <v>514.28571428571433</v>
      </c>
    </row>
    <row r="1902" spans="2:19" customFormat="1" hidden="1" outlineLevel="1">
      <c r="B1902" s="13" t="s">
        <v>132</v>
      </c>
      <c r="C1902" s="7" t="str">
        <f t="shared" si="523"/>
        <v>ROLO COMPACTADOR KIT NOVO DINAPAC CA-30 CHASSIS PB007883</v>
      </c>
      <c r="D1902" s="8">
        <f>D1837</f>
        <v>46102</v>
      </c>
      <c r="E1902" s="15"/>
      <c r="F1902" s="15"/>
      <c r="G1902" s="15">
        <f t="shared" si="526"/>
        <v>0</v>
      </c>
      <c r="H1902" s="16" t="s">
        <v>7</v>
      </c>
      <c r="I1902" s="10">
        <f t="shared" si="525"/>
        <v>514.28571428571433</v>
      </c>
      <c r="J1902" s="16" t="s">
        <v>16</v>
      </c>
      <c r="K1902" s="15"/>
      <c r="L1902" s="15"/>
      <c r="M1902" s="17"/>
      <c r="N1902" s="9"/>
      <c r="O1902" s="18">
        <f t="shared" si="527"/>
        <v>0</v>
      </c>
      <c r="P1902" s="9"/>
      <c r="Q1902" s="9"/>
      <c r="R1902" s="9"/>
      <c r="S1902" s="10">
        <f t="shared" si="524"/>
        <v>514.28571428571433</v>
      </c>
    </row>
    <row r="1903" spans="2:19" customFormat="1" hidden="1" outlineLevel="1">
      <c r="B1903" s="13" t="s">
        <v>132</v>
      </c>
      <c r="C1903" s="7" t="str">
        <f t="shared" si="523"/>
        <v>ROLO COMPACTADOR KIT NOVO DINAPAC CA-30 CHASSIS PB007883</v>
      </c>
      <c r="D1903" s="8">
        <f>D1838</f>
        <v>46103</v>
      </c>
      <c r="E1903" s="15"/>
      <c r="F1903" s="15"/>
      <c r="G1903" s="15">
        <f t="shared" si="526"/>
        <v>0</v>
      </c>
      <c r="H1903" s="16" t="s">
        <v>7</v>
      </c>
      <c r="I1903" s="10">
        <f t="shared" si="525"/>
        <v>514.28571428571433</v>
      </c>
      <c r="J1903" s="16" t="s">
        <v>16</v>
      </c>
      <c r="K1903" s="15"/>
      <c r="L1903" s="15"/>
      <c r="M1903" s="17"/>
      <c r="N1903" s="9"/>
      <c r="O1903" s="18">
        <f t="shared" si="527"/>
        <v>0</v>
      </c>
      <c r="P1903" s="9"/>
      <c r="Q1903" s="9"/>
      <c r="R1903" s="9"/>
      <c r="S1903" s="10">
        <f t="shared" si="524"/>
        <v>514.28571428571433</v>
      </c>
    </row>
    <row r="1904" spans="2:19" customFormat="1" hidden="1" outlineLevel="1">
      <c r="B1904" s="13" t="s">
        <v>132</v>
      </c>
      <c r="C1904" s="7" t="str">
        <f t="shared" si="523"/>
        <v>ROLO COMPACTADOR KIT NOVO DINAPAC CA-30 CHASSIS PB007883</v>
      </c>
      <c r="D1904" s="8">
        <f>D1839</f>
        <v>46104</v>
      </c>
      <c r="E1904" s="15"/>
      <c r="F1904" s="15"/>
      <c r="G1904" s="15">
        <f t="shared" si="526"/>
        <v>0</v>
      </c>
      <c r="H1904" s="16" t="s">
        <v>7</v>
      </c>
      <c r="I1904" s="10">
        <f t="shared" si="525"/>
        <v>514.28571428571433</v>
      </c>
      <c r="J1904" s="16" t="s">
        <v>16</v>
      </c>
      <c r="K1904" s="15"/>
      <c r="L1904" s="15"/>
      <c r="M1904" s="17"/>
      <c r="N1904" s="9"/>
      <c r="O1904" s="18">
        <f t="shared" si="527"/>
        <v>0</v>
      </c>
      <c r="P1904" s="9"/>
      <c r="Q1904" s="9"/>
      <c r="R1904" s="9"/>
      <c r="S1904" s="10">
        <f t="shared" si="524"/>
        <v>514.28571428571433</v>
      </c>
    </row>
    <row r="1905" spans="2:20" customFormat="1" hidden="1" outlineLevel="1">
      <c r="B1905" s="13" t="s">
        <v>132</v>
      </c>
      <c r="C1905" s="7" t="str">
        <f t="shared" si="523"/>
        <v>ROLO COMPACTADOR KIT NOVO DINAPAC CA-30 CHASSIS PB007883</v>
      </c>
      <c r="D1905" s="8">
        <f>D1840</f>
        <v>46105</v>
      </c>
      <c r="E1905" s="15"/>
      <c r="F1905" s="15"/>
      <c r="G1905" s="15">
        <f t="shared" si="526"/>
        <v>0</v>
      </c>
      <c r="H1905" s="16" t="s">
        <v>7</v>
      </c>
      <c r="I1905" s="10">
        <f t="shared" si="525"/>
        <v>514.28571428571433</v>
      </c>
      <c r="J1905" s="16" t="s">
        <v>16</v>
      </c>
      <c r="K1905" s="15"/>
      <c r="L1905" s="15"/>
      <c r="M1905" s="17"/>
      <c r="N1905" s="9"/>
      <c r="O1905" s="18">
        <f t="shared" si="527"/>
        <v>0</v>
      </c>
      <c r="P1905" s="9"/>
      <c r="Q1905" s="9"/>
      <c r="R1905" s="9"/>
      <c r="S1905" s="10">
        <f t="shared" si="524"/>
        <v>514.28571428571433</v>
      </c>
    </row>
    <row r="1906" spans="2:20" customFormat="1" hidden="1" outlineLevel="1">
      <c r="B1906" s="13" t="s">
        <v>132</v>
      </c>
      <c r="C1906" s="7" t="str">
        <f t="shared" si="523"/>
        <v>ROLO COMPACTADOR KIT NOVO DINAPAC CA-30 CHASSIS PB007883</v>
      </c>
      <c r="D1906" s="8">
        <f>D1841</f>
        <v>46106</v>
      </c>
      <c r="E1906" s="15"/>
      <c r="F1906" s="15"/>
      <c r="G1906" s="15">
        <f t="shared" si="526"/>
        <v>0</v>
      </c>
      <c r="H1906" s="16" t="s">
        <v>7</v>
      </c>
      <c r="I1906" s="10">
        <f t="shared" si="525"/>
        <v>514.28571428571433</v>
      </c>
      <c r="J1906" s="16" t="s">
        <v>16</v>
      </c>
      <c r="K1906" s="15"/>
      <c r="L1906" s="15"/>
      <c r="M1906" s="17"/>
      <c r="N1906" s="9"/>
      <c r="O1906" s="18">
        <f t="shared" si="527"/>
        <v>0</v>
      </c>
      <c r="P1906" s="9"/>
      <c r="Q1906" s="9"/>
      <c r="R1906" s="9"/>
      <c r="S1906" s="10">
        <f t="shared" si="524"/>
        <v>514.28571428571433</v>
      </c>
    </row>
    <row r="1907" spans="2:20" customFormat="1" hidden="1" outlineLevel="1">
      <c r="B1907" s="13" t="s">
        <v>132</v>
      </c>
      <c r="C1907" s="7" t="str">
        <f t="shared" si="523"/>
        <v>ROLO COMPACTADOR KIT NOVO DINAPAC CA-30 CHASSIS PB007883</v>
      </c>
      <c r="D1907" s="8">
        <f>D1842</f>
        <v>46107</v>
      </c>
      <c r="E1907" s="15"/>
      <c r="F1907" s="15"/>
      <c r="G1907" s="15">
        <f t="shared" si="526"/>
        <v>0</v>
      </c>
      <c r="H1907" s="16" t="s">
        <v>7</v>
      </c>
      <c r="I1907" s="10">
        <f t="shared" si="525"/>
        <v>514.28571428571433</v>
      </c>
      <c r="J1907" s="16" t="s">
        <v>16</v>
      </c>
      <c r="K1907" s="15"/>
      <c r="L1907" s="15"/>
      <c r="M1907" s="17"/>
      <c r="N1907" s="9"/>
      <c r="O1907" s="18">
        <f t="shared" si="527"/>
        <v>0</v>
      </c>
      <c r="P1907" s="9"/>
      <c r="Q1907" s="9"/>
      <c r="R1907" s="9"/>
      <c r="S1907" s="10">
        <f t="shared" si="524"/>
        <v>514.28571428571433</v>
      </c>
    </row>
    <row r="1908" spans="2:20" customFormat="1" hidden="1" outlineLevel="1">
      <c r="B1908" s="13" t="s">
        <v>132</v>
      </c>
      <c r="C1908" s="7" t="str">
        <f t="shared" si="523"/>
        <v>ROLO COMPACTADOR KIT NOVO DINAPAC CA-30 CHASSIS PB007883</v>
      </c>
      <c r="D1908" s="8">
        <f>D1843</f>
        <v>46108</v>
      </c>
      <c r="E1908" s="15"/>
      <c r="F1908" s="15"/>
      <c r="G1908" s="15">
        <f t="shared" si="526"/>
        <v>0</v>
      </c>
      <c r="H1908" s="16" t="s">
        <v>7</v>
      </c>
      <c r="I1908" s="10">
        <f t="shared" si="525"/>
        <v>514.28571428571433</v>
      </c>
      <c r="J1908" s="16" t="s">
        <v>16</v>
      </c>
      <c r="K1908" s="15"/>
      <c r="L1908" s="15"/>
      <c r="M1908" s="17"/>
      <c r="N1908" s="9"/>
      <c r="O1908" s="18">
        <f t="shared" si="527"/>
        <v>0</v>
      </c>
      <c r="P1908" s="9"/>
      <c r="Q1908" s="9"/>
      <c r="R1908" s="9"/>
      <c r="S1908" s="10">
        <f t="shared" si="524"/>
        <v>514.28571428571433</v>
      </c>
    </row>
    <row r="1909" spans="2:20" customFormat="1" hidden="1" outlineLevel="1">
      <c r="B1909" s="13" t="s">
        <v>132</v>
      </c>
      <c r="C1909" s="7" t="str">
        <f t="shared" si="523"/>
        <v>ROLO COMPACTADOR KIT NOVO DINAPAC CA-30 CHASSIS PB007883</v>
      </c>
      <c r="D1909" s="8">
        <f>D1847</f>
        <v>46112</v>
      </c>
      <c r="E1909" s="15"/>
      <c r="F1909" s="15"/>
      <c r="G1909" s="15">
        <f t="shared" si="526"/>
        <v>0</v>
      </c>
      <c r="H1909" s="16" t="s">
        <v>7</v>
      </c>
      <c r="I1909" s="10">
        <f t="shared" si="525"/>
        <v>514.28571428571433</v>
      </c>
      <c r="J1909" s="16" t="s">
        <v>16</v>
      </c>
      <c r="K1909" s="15"/>
      <c r="L1909" s="15"/>
      <c r="M1909" s="17"/>
      <c r="N1909" s="9"/>
      <c r="O1909" s="18">
        <f t="shared" si="527"/>
        <v>0</v>
      </c>
      <c r="P1909" s="9"/>
      <c r="Q1909" s="9"/>
      <c r="R1909" s="9"/>
      <c r="S1909" s="10">
        <f t="shared" si="524"/>
        <v>514.28571428571433</v>
      </c>
    </row>
    <row r="1910" spans="2:20" customFormat="1" collapsed="1">
      <c r="B1910" s="13" t="s">
        <v>132</v>
      </c>
      <c r="D1910" s="1"/>
      <c r="E1910" s="2"/>
      <c r="F1910" s="2"/>
      <c r="G1910" s="2"/>
      <c r="K1910" s="2"/>
      <c r="L1910" s="2"/>
      <c r="O1910" s="2"/>
      <c r="P1910" s="2"/>
      <c r="Q1910" s="2"/>
      <c r="R1910" s="2"/>
    </row>
    <row r="1911" spans="2:20" customFormat="1">
      <c r="B1911" s="13" t="s">
        <v>132</v>
      </c>
      <c r="C1911" s="3" t="s">
        <v>135</v>
      </c>
      <c r="D1911" s="3"/>
      <c r="E1911" s="4"/>
      <c r="F1911" s="4"/>
      <c r="G1911" s="4"/>
      <c r="H1911" s="3"/>
      <c r="I1911" s="3"/>
      <c r="J1911" s="3"/>
      <c r="K1911" s="4"/>
      <c r="L1911" s="4"/>
      <c r="M1911" s="135" t="str">
        <f>M$1</f>
        <v>BM JANEIRO 2026</v>
      </c>
      <c r="N1911" s="135"/>
      <c r="O1911" s="135"/>
      <c r="P1911" s="19" t="s">
        <v>10</v>
      </c>
      <c r="Q1911" s="136" t="s">
        <v>237</v>
      </c>
      <c r="R1911" s="136"/>
      <c r="S1911" s="136"/>
      <c r="T1911" s="76"/>
    </row>
    <row r="1912" spans="2:20" customFormat="1">
      <c r="B1912" s="14"/>
      <c r="C1912" s="5" t="s">
        <v>1</v>
      </c>
      <c r="D1912" s="5" t="s">
        <v>11</v>
      </c>
      <c r="E1912" s="6" t="s">
        <v>12</v>
      </c>
      <c r="F1912" s="6" t="s">
        <v>13</v>
      </c>
      <c r="G1912" s="6" t="s">
        <v>14</v>
      </c>
      <c r="H1912" s="5" t="s">
        <v>3</v>
      </c>
      <c r="I1912" s="6" t="s">
        <v>15</v>
      </c>
      <c r="J1912" s="6" t="s">
        <v>16</v>
      </c>
      <c r="K1912" s="6" t="s">
        <v>17</v>
      </c>
      <c r="L1912" s="128" t="s">
        <v>18</v>
      </c>
      <c r="M1912" s="5" t="s">
        <v>11</v>
      </c>
      <c r="N1912" s="5"/>
      <c r="O1912" s="6" t="s">
        <v>2</v>
      </c>
      <c r="P1912" s="6" t="s">
        <v>20</v>
      </c>
      <c r="Q1912" s="6" t="s">
        <v>21</v>
      </c>
      <c r="R1912" s="6" t="s">
        <v>22</v>
      </c>
      <c r="S1912" s="6" t="s">
        <v>23</v>
      </c>
    </row>
    <row r="1913" spans="2:20" customFormat="1" hidden="1" outlineLevel="1">
      <c r="B1913" s="11" t="s">
        <v>134</v>
      </c>
      <c r="C1913" s="7" t="str">
        <f>C$1911</f>
        <v>ROLO COMPACTADORES HAMM 341 CHASSIS H180.4635</v>
      </c>
      <c r="D1913" s="8">
        <f>D1851</f>
        <v>46082</v>
      </c>
      <c r="E1913" s="15"/>
      <c r="F1913" s="15"/>
      <c r="G1913" s="15">
        <f t="shared" ref="G1913:G1916" si="528">F1913-E1913</f>
        <v>0</v>
      </c>
      <c r="H1913" s="16" t="s">
        <v>238</v>
      </c>
      <c r="I1913" s="10">
        <f>P1913</f>
        <v>514.28571428571433</v>
      </c>
      <c r="J1913" s="16" t="s">
        <v>16</v>
      </c>
      <c r="K1913" s="15"/>
      <c r="L1913" s="15"/>
      <c r="M1913" s="17"/>
      <c r="N1913" s="9"/>
      <c r="O1913" s="9">
        <v>14400</v>
      </c>
      <c r="P1913" s="9">
        <f>O1913/28</f>
        <v>514.28571428571433</v>
      </c>
      <c r="Q1913" s="9"/>
      <c r="R1913" s="9"/>
      <c r="S1913" s="10">
        <f>SUM(R1913+Q1913+I1913)</f>
        <v>514.28571428571433</v>
      </c>
    </row>
    <row r="1914" spans="2:20" customFormat="1" hidden="1" outlineLevel="1">
      <c r="B1914" s="12" t="s">
        <v>0</v>
      </c>
      <c r="C1914" s="7" t="str">
        <f t="shared" ref="C1914:C1940" si="529">C$1911</f>
        <v>ROLO COMPACTADORES HAMM 341 CHASSIS H180.4635</v>
      </c>
      <c r="D1914" s="8">
        <f>D1852</f>
        <v>46083</v>
      </c>
      <c r="E1914" s="15">
        <v>1693.2</v>
      </c>
      <c r="F1914" s="15">
        <v>1693.8</v>
      </c>
      <c r="G1914" s="15">
        <f t="shared" si="528"/>
        <v>0.59999999999990905</v>
      </c>
      <c r="H1914" s="16" t="s">
        <v>238</v>
      </c>
      <c r="I1914" s="10">
        <f>I1913</f>
        <v>514.28571428571433</v>
      </c>
      <c r="J1914" s="16"/>
      <c r="K1914" s="15">
        <v>1</v>
      </c>
      <c r="L1914" s="15"/>
      <c r="M1914" s="17"/>
      <c r="N1914" s="9"/>
      <c r="O1914" s="9"/>
      <c r="P1914" s="9"/>
      <c r="Q1914" s="9"/>
      <c r="R1914" s="9"/>
      <c r="S1914" s="10">
        <f t="shared" ref="S1914:S1940" si="530">SUM(R1914+Q1914+I1914)</f>
        <v>514.28571428571433</v>
      </c>
    </row>
    <row r="1915" spans="2:20" customFormat="1" hidden="1" outlineLevel="1">
      <c r="B1915" s="13" t="s">
        <v>134</v>
      </c>
      <c r="C1915" s="7" t="str">
        <f t="shared" si="529"/>
        <v>ROLO COMPACTADORES HAMM 341 CHASSIS H180.4635</v>
      </c>
      <c r="D1915" s="8">
        <f>D1853</f>
        <v>46084</v>
      </c>
      <c r="E1915" s="15">
        <v>1693.8</v>
      </c>
      <c r="F1915" s="15">
        <v>1698.5</v>
      </c>
      <c r="G1915" s="15">
        <f t="shared" si="528"/>
        <v>4.7000000000000455</v>
      </c>
      <c r="H1915" s="16" t="s">
        <v>238</v>
      </c>
      <c r="I1915" s="10">
        <f t="shared" ref="I1915:I1940" si="531">I1914</f>
        <v>514.28571428571433</v>
      </c>
      <c r="J1915" s="16"/>
      <c r="K1915" s="15">
        <v>1</v>
      </c>
      <c r="L1915" s="15"/>
      <c r="M1915" s="17"/>
      <c r="N1915" s="9"/>
      <c r="O1915" s="9"/>
      <c r="P1915" s="9"/>
      <c r="Q1915" s="9"/>
      <c r="R1915" s="9"/>
      <c r="S1915" s="10">
        <f t="shared" si="530"/>
        <v>514.28571428571433</v>
      </c>
    </row>
    <row r="1916" spans="2:20" customFormat="1" hidden="1" outlineLevel="1">
      <c r="B1916" s="13" t="s">
        <v>134</v>
      </c>
      <c r="C1916" s="7" t="str">
        <f t="shared" si="529"/>
        <v>ROLO COMPACTADORES HAMM 341 CHASSIS H180.4635</v>
      </c>
      <c r="D1916" s="8">
        <f>D1854</f>
        <v>46085</v>
      </c>
      <c r="E1916" s="15">
        <v>1698.5</v>
      </c>
      <c r="F1916" s="15">
        <v>1702.7</v>
      </c>
      <c r="G1916" s="15">
        <f t="shared" si="528"/>
        <v>4.2000000000000455</v>
      </c>
      <c r="H1916" s="16" t="s">
        <v>238</v>
      </c>
      <c r="I1916" s="10">
        <f t="shared" si="531"/>
        <v>514.28571428571433</v>
      </c>
      <c r="J1916" s="16"/>
      <c r="K1916" s="15">
        <v>1</v>
      </c>
      <c r="L1916" s="15"/>
      <c r="M1916" s="17"/>
      <c r="N1916" s="9"/>
      <c r="O1916" s="9"/>
      <c r="P1916" s="9"/>
      <c r="Q1916" s="9"/>
      <c r="R1916" s="9"/>
      <c r="S1916" s="10">
        <f t="shared" si="530"/>
        <v>514.28571428571433</v>
      </c>
    </row>
    <row r="1917" spans="2:20" customFormat="1" hidden="1" outlineLevel="1">
      <c r="B1917" s="13" t="s">
        <v>134</v>
      </c>
      <c r="C1917" s="7" t="str">
        <f t="shared" si="529"/>
        <v>ROLO COMPACTADORES HAMM 341 CHASSIS H180.4635</v>
      </c>
      <c r="D1917" s="8">
        <f>D1855</f>
        <v>46086</v>
      </c>
      <c r="E1917" s="15">
        <v>1702.7</v>
      </c>
      <c r="F1917" s="15">
        <v>1705.2</v>
      </c>
      <c r="G1917" s="15">
        <f t="shared" ref="G1917:G1940" si="532">F1917-E1917</f>
        <v>2.5</v>
      </c>
      <c r="H1917" s="16" t="s">
        <v>238</v>
      </c>
      <c r="I1917" s="10">
        <f t="shared" si="531"/>
        <v>514.28571428571433</v>
      </c>
      <c r="J1917" s="16"/>
      <c r="K1917" s="15">
        <v>1</v>
      </c>
      <c r="L1917" s="15"/>
      <c r="M1917" s="17"/>
      <c r="N1917" s="9"/>
      <c r="O1917" s="9"/>
      <c r="P1917" s="9"/>
      <c r="Q1917" s="9"/>
      <c r="R1917" s="9"/>
      <c r="S1917" s="10">
        <f t="shared" si="530"/>
        <v>514.28571428571433</v>
      </c>
    </row>
    <row r="1918" spans="2:20" customFormat="1" hidden="1" outlineLevel="1">
      <c r="B1918" s="13" t="s">
        <v>134</v>
      </c>
      <c r="C1918" s="7" t="str">
        <f t="shared" si="529"/>
        <v>ROLO COMPACTADORES HAMM 341 CHASSIS H180.4635</v>
      </c>
      <c r="D1918" s="114">
        <f>D1856</f>
        <v>46087</v>
      </c>
      <c r="E1918" s="15">
        <v>1705.2</v>
      </c>
      <c r="F1918" s="15">
        <v>1709.9</v>
      </c>
      <c r="G1918" s="15">
        <f t="shared" si="532"/>
        <v>4.7000000000000455</v>
      </c>
      <c r="H1918" s="16" t="s">
        <v>238</v>
      </c>
      <c r="I1918" s="10">
        <f t="shared" si="531"/>
        <v>514.28571428571433</v>
      </c>
      <c r="J1918" s="16"/>
      <c r="K1918" s="15">
        <v>1</v>
      </c>
      <c r="L1918" s="15"/>
      <c r="M1918" s="17"/>
      <c r="N1918" s="9"/>
      <c r="O1918" s="9"/>
      <c r="P1918" s="9"/>
      <c r="Q1918" s="9"/>
      <c r="R1918" s="9"/>
      <c r="S1918" s="10">
        <f t="shared" si="530"/>
        <v>514.28571428571433</v>
      </c>
    </row>
    <row r="1919" spans="2:20" customFormat="1" hidden="1" outlineLevel="1">
      <c r="B1919" s="13" t="s">
        <v>134</v>
      </c>
      <c r="C1919" s="7" t="str">
        <f t="shared" si="529"/>
        <v>ROLO COMPACTADORES HAMM 341 CHASSIS H180.4635</v>
      </c>
      <c r="D1919" s="8">
        <f>D1857</f>
        <v>46088</v>
      </c>
      <c r="E1919" s="15"/>
      <c r="F1919" s="15"/>
      <c r="G1919" s="15">
        <f t="shared" si="532"/>
        <v>0</v>
      </c>
      <c r="H1919" s="16" t="s">
        <v>238</v>
      </c>
      <c r="I1919" s="10">
        <f t="shared" si="531"/>
        <v>514.28571428571433</v>
      </c>
      <c r="J1919" s="16" t="s">
        <v>16</v>
      </c>
      <c r="K1919" s="15"/>
      <c r="L1919" s="15"/>
      <c r="M1919" s="17"/>
      <c r="N1919" s="9"/>
      <c r="O1919" s="9"/>
      <c r="P1919" s="9"/>
      <c r="Q1919" s="9"/>
      <c r="R1919" s="9"/>
      <c r="S1919" s="10">
        <f t="shared" si="530"/>
        <v>514.28571428571433</v>
      </c>
    </row>
    <row r="1920" spans="2:20" customFormat="1" hidden="1" outlineLevel="1">
      <c r="B1920" s="13" t="s">
        <v>134</v>
      </c>
      <c r="C1920" s="7" t="str">
        <f t="shared" si="529"/>
        <v>ROLO COMPACTADORES HAMM 341 CHASSIS H180.4635</v>
      </c>
      <c r="D1920" s="8">
        <f>D1858</f>
        <v>46089</v>
      </c>
      <c r="E1920" s="15"/>
      <c r="F1920" s="15"/>
      <c r="G1920" s="15">
        <f t="shared" si="532"/>
        <v>0</v>
      </c>
      <c r="H1920" s="16" t="s">
        <v>238</v>
      </c>
      <c r="I1920" s="10">
        <f t="shared" si="531"/>
        <v>514.28571428571433</v>
      </c>
      <c r="J1920" s="16" t="s">
        <v>16</v>
      </c>
      <c r="K1920" s="15"/>
      <c r="L1920" s="15"/>
      <c r="M1920" s="17"/>
      <c r="N1920" s="9"/>
      <c r="O1920" s="18"/>
      <c r="P1920" s="9"/>
      <c r="Q1920" s="9"/>
      <c r="R1920" s="9"/>
      <c r="S1920" s="10">
        <f t="shared" si="530"/>
        <v>514.28571428571433</v>
      </c>
    </row>
    <row r="1921" spans="2:19" customFormat="1" hidden="1" outlineLevel="1">
      <c r="B1921" s="13" t="s">
        <v>134</v>
      </c>
      <c r="C1921" s="7" t="str">
        <f t="shared" si="529"/>
        <v>ROLO COMPACTADORES HAMM 341 CHASSIS H180.4635</v>
      </c>
      <c r="D1921" s="8">
        <f>D1859</f>
        <v>46090</v>
      </c>
      <c r="E1921" s="15"/>
      <c r="F1921" s="15"/>
      <c r="G1921" s="15">
        <f t="shared" si="532"/>
        <v>0</v>
      </c>
      <c r="H1921" s="16" t="s">
        <v>238</v>
      </c>
      <c r="I1921" s="10">
        <f t="shared" si="531"/>
        <v>514.28571428571433</v>
      </c>
      <c r="J1921" s="16" t="s">
        <v>16</v>
      </c>
      <c r="K1921" s="15"/>
      <c r="L1921" s="15"/>
      <c r="M1921" s="17"/>
      <c r="N1921" s="9"/>
      <c r="O1921" s="18"/>
      <c r="P1921" s="9"/>
      <c r="Q1921" s="9"/>
      <c r="R1921" s="9"/>
      <c r="S1921" s="10">
        <f t="shared" si="530"/>
        <v>514.28571428571433</v>
      </c>
    </row>
    <row r="1922" spans="2:19" customFormat="1" hidden="1" outlineLevel="1">
      <c r="B1922" s="13" t="s">
        <v>134</v>
      </c>
      <c r="C1922" s="7" t="str">
        <f t="shared" si="529"/>
        <v>ROLO COMPACTADORES HAMM 341 CHASSIS H180.4635</v>
      </c>
      <c r="D1922" s="8">
        <f>D1860</f>
        <v>46091</v>
      </c>
      <c r="E1922" s="15"/>
      <c r="F1922" s="15"/>
      <c r="G1922" s="15">
        <f t="shared" si="532"/>
        <v>0</v>
      </c>
      <c r="H1922" s="16" t="s">
        <v>238</v>
      </c>
      <c r="I1922" s="10">
        <f t="shared" si="531"/>
        <v>514.28571428571433</v>
      </c>
      <c r="J1922" s="16" t="s">
        <v>16</v>
      </c>
      <c r="K1922" s="15"/>
      <c r="L1922" s="15"/>
      <c r="M1922" s="17"/>
      <c r="N1922" s="9"/>
      <c r="O1922" s="18"/>
      <c r="P1922" s="9"/>
      <c r="Q1922" s="9"/>
      <c r="R1922" s="9"/>
      <c r="S1922" s="10">
        <f t="shared" si="530"/>
        <v>514.28571428571433</v>
      </c>
    </row>
    <row r="1923" spans="2:19" customFormat="1" hidden="1" outlineLevel="1">
      <c r="B1923" s="13" t="s">
        <v>134</v>
      </c>
      <c r="C1923" s="7" t="str">
        <f t="shared" si="529"/>
        <v>ROLO COMPACTADORES HAMM 341 CHASSIS H180.4635</v>
      </c>
      <c r="D1923" s="8">
        <f>D1861</f>
        <v>46092</v>
      </c>
      <c r="E1923" s="15">
        <v>1709.9</v>
      </c>
      <c r="F1923" s="15">
        <v>1712.9</v>
      </c>
      <c r="G1923" s="15">
        <f t="shared" si="532"/>
        <v>3</v>
      </c>
      <c r="H1923" s="16" t="s">
        <v>238</v>
      </c>
      <c r="I1923" s="10">
        <f t="shared" si="531"/>
        <v>514.28571428571433</v>
      </c>
      <c r="J1923" s="16"/>
      <c r="K1923" s="15">
        <v>1</v>
      </c>
      <c r="L1923" s="15">
        <v>150</v>
      </c>
      <c r="M1923" s="17"/>
      <c r="N1923" s="9"/>
      <c r="O1923" s="18"/>
      <c r="P1923" s="9"/>
      <c r="Q1923" s="9"/>
      <c r="R1923" s="9"/>
      <c r="S1923" s="10">
        <f t="shared" si="530"/>
        <v>514.28571428571433</v>
      </c>
    </row>
    <row r="1924" spans="2:19" customFormat="1" hidden="1" outlineLevel="1">
      <c r="B1924" s="13" t="s">
        <v>134</v>
      </c>
      <c r="C1924" s="7" t="str">
        <f t="shared" si="529"/>
        <v>ROLO COMPACTADORES HAMM 341 CHASSIS H180.4635</v>
      </c>
      <c r="D1924" s="8">
        <f>D1862</f>
        <v>46093</v>
      </c>
      <c r="E1924" s="15">
        <v>1712.9</v>
      </c>
      <c r="F1924" s="15">
        <v>1716.3</v>
      </c>
      <c r="G1924" s="15">
        <f t="shared" si="532"/>
        <v>3.3999999999998636</v>
      </c>
      <c r="H1924" s="16" t="s">
        <v>238</v>
      </c>
      <c r="I1924" s="10">
        <f t="shared" si="531"/>
        <v>514.28571428571433</v>
      </c>
      <c r="J1924" s="16"/>
      <c r="K1924" s="15">
        <v>1</v>
      </c>
      <c r="L1924" s="15"/>
      <c r="M1924" s="17"/>
      <c r="N1924" s="9"/>
      <c r="O1924" s="18"/>
      <c r="P1924" s="9"/>
      <c r="Q1924" s="9"/>
      <c r="R1924" s="9"/>
      <c r="S1924" s="10">
        <f t="shared" si="530"/>
        <v>514.28571428571433</v>
      </c>
    </row>
    <row r="1925" spans="2:19" customFormat="1" hidden="1" outlineLevel="1">
      <c r="B1925" s="13" t="s">
        <v>134</v>
      </c>
      <c r="C1925" s="7" t="str">
        <f t="shared" si="529"/>
        <v>ROLO COMPACTADORES HAMM 341 CHASSIS H180.4635</v>
      </c>
      <c r="D1925" s="8">
        <f>D1863</f>
        <v>46094</v>
      </c>
      <c r="E1925" s="15">
        <v>1716.3</v>
      </c>
      <c r="F1925" s="15">
        <v>1719</v>
      </c>
      <c r="G1925" s="15">
        <f t="shared" si="532"/>
        <v>2.7000000000000455</v>
      </c>
      <c r="H1925" s="16" t="s">
        <v>238</v>
      </c>
      <c r="I1925" s="10">
        <f t="shared" si="531"/>
        <v>514.28571428571433</v>
      </c>
      <c r="J1925" s="16"/>
      <c r="K1925" s="15">
        <v>1</v>
      </c>
      <c r="L1925" s="15"/>
      <c r="M1925" s="17"/>
      <c r="N1925" s="9"/>
      <c r="O1925" s="18"/>
      <c r="P1925" s="9"/>
      <c r="Q1925" s="9"/>
      <c r="R1925" s="9"/>
      <c r="S1925" s="10">
        <f t="shared" si="530"/>
        <v>514.28571428571433</v>
      </c>
    </row>
    <row r="1926" spans="2:19" customFormat="1" hidden="1" outlineLevel="1">
      <c r="B1926" s="13" t="s">
        <v>134</v>
      </c>
      <c r="C1926" s="7" t="str">
        <f t="shared" si="529"/>
        <v>ROLO COMPACTADORES HAMM 341 CHASSIS H180.4635</v>
      </c>
      <c r="D1926" s="8">
        <f>D1864</f>
        <v>46095</v>
      </c>
      <c r="E1926" s="15"/>
      <c r="F1926" s="15"/>
      <c r="G1926" s="15">
        <f t="shared" si="532"/>
        <v>0</v>
      </c>
      <c r="H1926" s="16" t="s">
        <v>238</v>
      </c>
      <c r="I1926" s="10">
        <f t="shared" si="531"/>
        <v>514.28571428571433</v>
      </c>
      <c r="J1926" s="16" t="s">
        <v>16</v>
      </c>
      <c r="K1926" s="15"/>
      <c r="L1926" s="15"/>
      <c r="M1926" s="17"/>
      <c r="N1926" s="9"/>
      <c r="O1926" s="18">
        <f t="shared" ref="O1926:O1940" si="533">O1925</f>
        <v>0</v>
      </c>
      <c r="P1926" s="9"/>
      <c r="Q1926" s="9"/>
      <c r="R1926" s="9"/>
      <c r="S1926" s="10">
        <f t="shared" si="530"/>
        <v>514.28571428571433</v>
      </c>
    </row>
    <row r="1927" spans="2:19" customFormat="1" hidden="1" outlineLevel="1">
      <c r="B1927" s="13" t="s">
        <v>134</v>
      </c>
      <c r="C1927" s="7" t="str">
        <f t="shared" si="529"/>
        <v>ROLO COMPACTADORES HAMM 341 CHASSIS H180.4635</v>
      </c>
      <c r="D1927" s="8">
        <f>D1865</f>
        <v>46096</v>
      </c>
      <c r="E1927" s="15"/>
      <c r="F1927" s="15"/>
      <c r="G1927" s="15">
        <f t="shared" si="532"/>
        <v>0</v>
      </c>
      <c r="H1927" s="16" t="s">
        <v>238</v>
      </c>
      <c r="I1927" s="10">
        <f t="shared" si="531"/>
        <v>514.28571428571433</v>
      </c>
      <c r="J1927" s="16" t="s">
        <v>16</v>
      </c>
      <c r="K1927" s="15"/>
      <c r="L1927" s="15"/>
      <c r="M1927" s="17"/>
      <c r="N1927" s="9"/>
      <c r="O1927" s="18">
        <f t="shared" si="533"/>
        <v>0</v>
      </c>
      <c r="P1927" s="9"/>
      <c r="Q1927" s="9"/>
      <c r="R1927" s="9"/>
      <c r="S1927" s="10">
        <f t="shared" si="530"/>
        <v>514.28571428571433</v>
      </c>
    </row>
    <row r="1928" spans="2:19" customFormat="1" hidden="1" outlineLevel="1">
      <c r="B1928" s="13" t="s">
        <v>134</v>
      </c>
      <c r="C1928" s="7" t="str">
        <f t="shared" si="529"/>
        <v>ROLO COMPACTADORES HAMM 341 CHASSIS H180.4635</v>
      </c>
      <c r="D1928" s="8">
        <f>D1866</f>
        <v>46097</v>
      </c>
      <c r="E1928" s="15"/>
      <c r="F1928" s="15"/>
      <c r="G1928" s="15">
        <f t="shared" si="532"/>
        <v>0</v>
      </c>
      <c r="H1928" s="16" t="s">
        <v>238</v>
      </c>
      <c r="I1928" s="10">
        <f t="shared" si="531"/>
        <v>514.28571428571433</v>
      </c>
      <c r="J1928" s="16" t="s">
        <v>16</v>
      </c>
      <c r="K1928" s="15"/>
      <c r="L1928" s="15"/>
      <c r="M1928" s="17"/>
      <c r="N1928" s="9"/>
      <c r="O1928" s="18">
        <f t="shared" si="533"/>
        <v>0</v>
      </c>
      <c r="P1928" s="9"/>
      <c r="Q1928" s="9"/>
      <c r="R1928" s="9"/>
      <c r="S1928" s="10">
        <f t="shared" si="530"/>
        <v>514.28571428571433</v>
      </c>
    </row>
    <row r="1929" spans="2:19" customFormat="1" hidden="1" outlineLevel="1">
      <c r="B1929" s="13" t="s">
        <v>134</v>
      </c>
      <c r="C1929" s="7" t="str">
        <f t="shared" si="529"/>
        <v>ROLO COMPACTADORES HAMM 341 CHASSIS H180.4635</v>
      </c>
      <c r="D1929" s="8">
        <f>D1867</f>
        <v>46098</v>
      </c>
      <c r="E1929" s="15"/>
      <c r="F1929" s="15"/>
      <c r="G1929" s="15">
        <f t="shared" si="532"/>
        <v>0</v>
      </c>
      <c r="H1929" s="16" t="s">
        <v>238</v>
      </c>
      <c r="I1929" s="10">
        <f t="shared" si="531"/>
        <v>514.28571428571433</v>
      </c>
      <c r="J1929" s="16" t="s">
        <v>16</v>
      </c>
      <c r="K1929" s="15"/>
      <c r="L1929" s="15"/>
      <c r="M1929" s="17"/>
      <c r="N1929" s="9"/>
      <c r="O1929" s="18">
        <f t="shared" si="533"/>
        <v>0</v>
      </c>
      <c r="P1929" s="9"/>
      <c r="Q1929" s="9"/>
      <c r="R1929" s="9"/>
      <c r="S1929" s="10">
        <f t="shared" si="530"/>
        <v>514.28571428571433</v>
      </c>
    </row>
    <row r="1930" spans="2:19" customFormat="1" hidden="1" outlineLevel="1">
      <c r="B1930" s="13" t="s">
        <v>134</v>
      </c>
      <c r="C1930" s="7" t="str">
        <f t="shared" si="529"/>
        <v>ROLO COMPACTADORES HAMM 341 CHASSIS H180.4635</v>
      </c>
      <c r="D1930" s="8">
        <f>D1868</f>
        <v>46099</v>
      </c>
      <c r="E1930" s="15"/>
      <c r="F1930" s="15"/>
      <c r="G1930" s="15">
        <f t="shared" si="532"/>
        <v>0</v>
      </c>
      <c r="H1930" s="16" t="s">
        <v>238</v>
      </c>
      <c r="I1930" s="10">
        <f t="shared" si="531"/>
        <v>514.28571428571433</v>
      </c>
      <c r="J1930" s="16" t="s">
        <v>16</v>
      </c>
      <c r="K1930" s="15"/>
      <c r="L1930" s="15"/>
      <c r="M1930" s="17"/>
      <c r="N1930" s="9"/>
      <c r="O1930" s="18">
        <f t="shared" si="533"/>
        <v>0</v>
      </c>
      <c r="P1930" s="9"/>
      <c r="Q1930" s="9"/>
      <c r="R1930" s="9"/>
      <c r="S1930" s="10">
        <f t="shared" si="530"/>
        <v>514.28571428571433</v>
      </c>
    </row>
    <row r="1931" spans="2:19" customFormat="1" hidden="1" outlineLevel="1">
      <c r="B1931" s="13" t="s">
        <v>134</v>
      </c>
      <c r="C1931" s="7" t="str">
        <f t="shared" si="529"/>
        <v>ROLO COMPACTADORES HAMM 341 CHASSIS H180.4635</v>
      </c>
      <c r="D1931" s="8">
        <f>D1869</f>
        <v>46100</v>
      </c>
      <c r="E1931" s="15"/>
      <c r="F1931" s="15"/>
      <c r="G1931" s="15">
        <f t="shared" si="532"/>
        <v>0</v>
      </c>
      <c r="H1931" s="16" t="s">
        <v>238</v>
      </c>
      <c r="I1931" s="10">
        <f t="shared" si="531"/>
        <v>514.28571428571433</v>
      </c>
      <c r="J1931" s="16" t="s">
        <v>16</v>
      </c>
      <c r="K1931" s="15"/>
      <c r="L1931" s="15"/>
      <c r="M1931" s="17"/>
      <c r="N1931" s="9"/>
      <c r="O1931" s="18">
        <f t="shared" si="533"/>
        <v>0</v>
      </c>
      <c r="P1931" s="9"/>
      <c r="Q1931" s="9"/>
      <c r="R1931" s="9"/>
      <c r="S1931" s="10">
        <f t="shared" si="530"/>
        <v>514.28571428571433</v>
      </c>
    </row>
    <row r="1932" spans="2:19" customFormat="1" hidden="1" outlineLevel="1">
      <c r="B1932" s="13" t="s">
        <v>134</v>
      </c>
      <c r="C1932" s="7" t="str">
        <f t="shared" si="529"/>
        <v>ROLO COMPACTADORES HAMM 341 CHASSIS H180.4635</v>
      </c>
      <c r="D1932" s="8">
        <f>D1870</f>
        <v>46101</v>
      </c>
      <c r="E1932" s="15"/>
      <c r="F1932" s="15"/>
      <c r="G1932" s="15">
        <f t="shared" si="532"/>
        <v>0</v>
      </c>
      <c r="H1932" s="16" t="s">
        <v>238</v>
      </c>
      <c r="I1932" s="10">
        <f t="shared" si="531"/>
        <v>514.28571428571433</v>
      </c>
      <c r="J1932" s="16" t="s">
        <v>16</v>
      </c>
      <c r="K1932" s="15"/>
      <c r="L1932" s="15"/>
      <c r="M1932" s="17"/>
      <c r="N1932" s="9"/>
      <c r="O1932" s="18">
        <f t="shared" si="533"/>
        <v>0</v>
      </c>
      <c r="P1932" s="9"/>
      <c r="Q1932" s="9"/>
      <c r="R1932" s="9"/>
      <c r="S1932" s="10">
        <f t="shared" si="530"/>
        <v>514.28571428571433</v>
      </c>
    </row>
    <row r="1933" spans="2:19" customFormat="1" hidden="1" outlineLevel="1">
      <c r="B1933" s="13" t="s">
        <v>134</v>
      </c>
      <c r="C1933" s="7" t="str">
        <f t="shared" si="529"/>
        <v>ROLO COMPACTADORES HAMM 341 CHASSIS H180.4635</v>
      </c>
      <c r="D1933" s="8">
        <f>D1871</f>
        <v>46102</v>
      </c>
      <c r="E1933" s="15"/>
      <c r="F1933" s="15"/>
      <c r="G1933" s="15">
        <f t="shared" si="532"/>
        <v>0</v>
      </c>
      <c r="H1933" s="16" t="s">
        <v>238</v>
      </c>
      <c r="I1933" s="10">
        <f t="shared" si="531"/>
        <v>514.28571428571433</v>
      </c>
      <c r="J1933" s="16" t="s">
        <v>16</v>
      </c>
      <c r="K1933" s="15"/>
      <c r="L1933" s="15"/>
      <c r="M1933" s="17"/>
      <c r="N1933" s="9"/>
      <c r="O1933" s="18">
        <f t="shared" si="533"/>
        <v>0</v>
      </c>
      <c r="P1933" s="9"/>
      <c r="Q1933" s="9"/>
      <c r="R1933" s="9"/>
      <c r="S1933" s="10">
        <f t="shared" si="530"/>
        <v>514.28571428571433</v>
      </c>
    </row>
    <row r="1934" spans="2:19" customFormat="1" hidden="1" outlineLevel="1">
      <c r="B1934" s="13" t="s">
        <v>134</v>
      </c>
      <c r="C1934" s="7" t="str">
        <f t="shared" si="529"/>
        <v>ROLO COMPACTADORES HAMM 341 CHASSIS H180.4635</v>
      </c>
      <c r="D1934" s="8">
        <f>D1872</f>
        <v>46103</v>
      </c>
      <c r="E1934" s="15"/>
      <c r="F1934" s="15"/>
      <c r="G1934" s="15">
        <f t="shared" si="532"/>
        <v>0</v>
      </c>
      <c r="H1934" s="16" t="s">
        <v>238</v>
      </c>
      <c r="I1934" s="10">
        <f t="shared" si="531"/>
        <v>514.28571428571433</v>
      </c>
      <c r="J1934" s="16" t="s">
        <v>16</v>
      </c>
      <c r="K1934" s="15"/>
      <c r="L1934" s="15"/>
      <c r="M1934" s="17"/>
      <c r="N1934" s="9"/>
      <c r="O1934" s="18">
        <f t="shared" si="533"/>
        <v>0</v>
      </c>
      <c r="P1934" s="9"/>
      <c r="Q1934" s="9"/>
      <c r="R1934" s="9"/>
      <c r="S1934" s="10">
        <f t="shared" si="530"/>
        <v>514.28571428571433</v>
      </c>
    </row>
    <row r="1935" spans="2:19" customFormat="1" hidden="1" outlineLevel="1">
      <c r="B1935" s="13" t="s">
        <v>134</v>
      </c>
      <c r="C1935" s="7" t="str">
        <f t="shared" si="529"/>
        <v>ROLO COMPACTADORES HAMM 341 CHASSIS H180.4635</v>
      </c>
      <c r="D1935" s="8">
        <f>D1873</f>
        <v>46104</v>
      </c>
      <c r="E1935" s="15"/>
      <c r="F1935" s="15"/>
      <c r="G1935" s="15">
        <f t="shared" si="532"/>
        <v>0</v>
      </c>
      <c r="H1935" s="16" t="s">
        <v>238</v>
      </c>
      <c r="I1935" s="10">
        <f t="shared" si="531"/>
        <v>514.28571428571433</v>
      </c>
      <c r="J1935" s="16" t="s">
        <v>16</v>
      </c>
      <c r="K1935" s="15"/>
      <c r="L1935" s="15"/>
      <c r="M1935" s="17"/>
      <c r="N1935" s="9"/>
      <c r="O1935" s="18">
        <f t="shared" si="533"/>
        <v>0</v>
      </c>
      <c r="P1935" s="9"/>
      <c r="Q1935" s="9"/>
      <c r="R1935" s="9"/>
      <c r="S1935" s="10">
        <f t="shared" si="530"/>
        <v>514.28571428571433</v>
      </c>
    </row>
    <row r="1936" spans="2:19" customFormat="1" hidden="1" outlineLevel="1">
      <c r="B1936" s="13" t="s">
        <v>134</v>
      </c>
      <c r="C1936" s="7" t="str">
        <f t="shared" si="529"/>
        <v>ROLO COMPACTADORES HAMM 341 CHASSIS H180.4635</v>
      </c>
      <c r="D1936" s="8">
        <f>D1874</f>
        <v>46105</v>
      </c>
      <c r="E1936" s="15">
        <v>1719</v>
      </c>
      <c r="F1936" s="15">
        <v>1722.4</v>
      </c>
      <c r="G1936" s="15">
        <f t="shared" si="532"/>
        <v>3.4000000000000909</v>
      </c>
      <c r="H1936" s="16" t="s">
        <v>238</v>
      </c>
      <c r="I1936" s="10">
        <f t="shared" si="531"/>
        <v>514.28571428571433</v>
      </c>
      <c r="J1936" s="16"/>
      <c r="K1936" s="15">
        <v>1</v>
      </c>
      <c r="L1936" s="15"/>
      <c r="M1936" s="17"/>
      <c r="N1936" s="9"/>
      <c r="O1936" s="18">
        <f t="shared" si="533"/>
        <v>0</v>
      </c>
      <c r="P1936" s="9"/>
      <c r="Q1936" s="9"/>
      <c r="R1936" s="9"/>
      <c r="S1936" s="10">
        <f t="shared" si="530"/>
        <v>514.28571428571433</v>
      </c>
    </row>
    <row r="1937" spans="2:19" customFormat="1" hidden="1" outlineLevel="1">
      <c r="B1937" s="13" t="s">
        <v>134</v>
      </c>
      <c r="C1937" s="7" t="str">
        <f t="shared" si="529"/>
        <v>ROLO COMPACTADORES HAMM 341 CHASSIS H180.4635</v>
      </c>
      <c r="D1937" s="8">
        <f>D1875</f>
        <v>46106</v>
      </c>
      <c r="E1937" s="15"/>
      <c r="F1937" s="15"/>
      <c r="G1937" s="15">
        <f t="shared" si="532"/>
        <v>0</v>
      </c>
      <c r="H1937" s="16" t="s">
        <v>238</v>
      </c>
      <c r="I1937" s="10">
        <f t="shared" si="531"/>
        <v>514.28571428571433</v>
      </c>
      <c r="J1937" s="16" t="s">
        <v>16</v>
      </c>
      <c r="K1937" s="15"/>
      <c r="L1937" s="15"/>
      <c r="M1937" s="17"/>
      <c r="N1937" s="9"/>
      <c r="O1937" s="18">
        <f t="shared" si="533"/>
        <v>0</v>
      </c>
      <c r="P1937" s="9"/>
      <c r="Q1937" s="9"/>
      <c r="R1937" s="9"/>
      <c r="S1937" s="10">
        <f t="shared" si="530"/>
        <v>514.28571428571433</v>
      </c>
    </row>
    <row r="1938" spans="2:19" customFormat="1" hidden="1" outlineLevel="1">
      <c r="B1938" s="13" t="s">
        <v>134</v>
      </c>
      <c r="C1938" s="7" t="str">
        <f t="shared" si="529"/>
        <v>ROLO COMPACTADORES HAMM 341 CHASSIS H180.4635</v>
      </c>
      <c r="D1938" s="8">
        <f>D1876</f>
        <v>46107</v>
      </c>
      <c r="E1938" s="15"/>
      <c r="F1938" s="15"/>
      <c r="G1938" s="15">
        <f t="shared" si="532"/>
        <v>0</v>
      </c>
      <c r="H1938" s="16" t="s">
        <v>238</v>
      </c>
      <c r="I1938" s="10">
        <f t="shared" si="531"/>
        <v>514.28571428571433</v>
      </c>
      <c r="J1938" s="16" t="s">
        <v>16</v>
      </c>
      <c r="K1938" s="15"/>
      <c r="L1938" s="15"/>
      <c r="M1938" s="17"/>
      <c r="N1938" s="9"/>
      <c r="O1938" s="18">
        <f t="shared" si="533"/>
        <v>0</v>
      </c>
      <c r="P1938" s="9"/>
      <c r="Q1938" s="9"/>
      <c r="R1938" s="9"/>
      <c r="S1938" s="10">
        <f t="shared" si="530"/>
        <v>514.28571428571433</v>
      </c>
    </row>
    <row r="1939" spans="2:19" customFormat="1" hidden="1" outlineLevel="1">
      <c r="B1939" s="13" t="s">
        <v>134</v>
      </c>
      <c r="C1939" s="7" t="str">
        <f t="shared" si="529"/>
        <v>ROLO COMPACTADORES HAMM 341 CHASSIS H180.4635</v>
      </c>
      <c r="D1939" s="8">
        <f>D1877</f>
        <v>46108</v>
      </c>
      <c r="E1939" s="15"/>
      <c r="F1939" s="15"/>
      <c r="G1939" s="15">
        <f t="shared" si="532"/>
        <v>0</v>
      </c>
      <c r="H1939" s="16" t="s">
        <v>238</v>
      </c>
      <c r="I1939" s="10">
        <f t="shared" si="531"/>
        <v>514.28571428571433</v>
      </c>
      <c r="J1939" s="16" t="s">
        <v>16</v>
      </c>
      <c r="K1939" s="15"/>
      <c r="L1939" s="15"/>
      <c r="M1939" s="17"/>
      <c r="N1939" s="9"/>
      <c r="O1939" s="18">
        <f t="shared" si="533"/>
        <v>0</v>
      </c>
      <c r="P1939" s="9"/>
      <c r="Q1939" s="9"/>
      <c r="R1939" s="9"/>
      <c r="S1939" s="10">
        <f t="shared" si="530"/>
        <v>514.28571428571433</v>
      </c>
    </row>
    <row r="1940" spans="2:19" customFormat="1" hidden="1" outlineLevel="1">
      <c r="B1940" s="13" t="s">
        <v>134</v>
      </c>
      <c r="C1940" s="7" t="str">
        <f t="shared" si="529"/>
        <v>ROLO COMPACTADORES HAMM 341 CHASSIS H180.4635</v>
      </c>
      <c r="D1940" s="8">
        <f t="shared" ref="D1940" si="534">D1878</f>
        <v>46112</v>
      </c>
      <c r="E1940" s="15"/>
      <c r="F1940" s="15"/>
      <c r="G1940" s="15">
        <f t="shared" si="532"/>
        <v>0</v>
      </c>
      <c r="H1940" s="16" t="s">
        <v>238</v>
      </c>
      <c r="I1940" s="10">
        <f t="shared" si="531"/>
        <v>514.28571428571433</v>
      </c>
      <c r="J1940" s="16" t="s">
        <v>16</v>
      </c>
      <c r="K1940" s="15"/>
      <c r="L1940" s="15"/>
      <c r="M1940" s="17"/>
      <c r="N1940" s="9"/>
      <c r="O1940" s="18">
        <f t="shared" si="533"/>
        <v>0</v>
      </c>
      <c r="P1940" s="9"/>
      <c r="Q1940" s="9"/>
      <c r="R1940" s="9"/>
      <c r="S1940" s="10">
        <f t="shared" si="530"/>
        <v>514.28571428571433</v>
      </c>
    </row>
    <row r="1941" spans="2:19" customFormat="1" collapsed="1">
      <c r="B1941" s="13" t="s">
        <v>134</v>
      </c>
      <c r="D1941" s="1"/>
      <c r="E1941" s="2"/>
      <c r="F1941" s="2"/>
      <c r="G1941" s="2"/>
      <c r="K1941" s="2"/>
      <c r="L1941" s="2"/>
      <c r="O1941" s="2"/>
      <c r="P1941" s="2"/>
      <c r="Q1941" s="2"/>
      <c r="R1941" s="2"/>
    </row>
    <row r="1942" spans="2:19" customFormat="1">
      <c r="B1942" s="13" t="s">
        <v>134</v>
      </c>
      <c r="C1942" s="3" t="s">
        <v>137</v>
      </c>
      <c r="D1942" s="3"/>
      <c r="E1942" s="4"/>
      <c r="F1942" s="4"/>
      <c r="G1942" s="4"/>
      <c r="H1942" s="3"/>
      <c r="I1942" s="3"/>
      <c r="J1942" s="3"/>
      <c r="K1942" s="4"/>
      <c r="L1942" s="4"/>
      <c r="M1942" s="135" t="str">
        <f>M$1</f>
        <v>BM JANEIRO 2026</v>
      </c>
      <c r="N1942" s="135"/>
      <c r="O1942" s="135"/>
      <c r="P1942" s="19" t="s">
        <v>10</v>
      </c>
      <c r="Q1942" s="136" t="s">
        <v>213</v>
      </c>
      <c r="R1942" s="136"/>
      <c r="S1942" s="136"/>
    </row>
    <row r="1943" spans="2:19" customFormat="1">
      <c r="B1943" s="14"/>
      <c r="C1943" s="5" t="s">
        <v>1</v>
      </c>
      <c r="D1943" s="5" t="s">
        <v>11</v>
      </c>
      <c r="E1943" s="6" t="s">
        <v>12</v>
      </c>
      <c r="F1943" s="6" t="s">
        <v>13</v>
      </c>
      <c r="G1943" s="6" t="s">
        <v>14</v>
      </c>
      <c r="H1943" s="5" t="s">
        <v>3</v>
      </c>
      <c r="I1943" s="6" t="s">
        <v>15</v>
      </c>
      <c r="J1943" s="6" t="s">
        <v>16</v>
      </c>
      <c r="K1943" s="6" t="s">
        <v>17</v>
      </c>
      <c r="L1943" s="6" t="s">
        <v>18</v>
      </c>
      <c r="M1943" s="5" t="s">
        <v>11</v>
      </c>
      <c r="N1943" s="5" t="s">
        <v>19</v>
      </c>
      <c r="O1943" s="6" t="s">
        <v>2</v>
      </c>
      <c r="P1943" s="6" t="s">
        <v>20</v>
      </c>
      <c r="Q1943" s="6" t="s">
        <v>21</v>
      </c>
      <c r="R1943" s="6" t="s">
        <v>22</v>
      </c>
      <c r="S1943" s="6" t="s">
        <v>23</v>
      </c>
    </row>
    <row r="1944" spans="2:19" customFormat="1" hidden="1" outlineLevel="1">
      <c r="B1944" s="68" t="s">
        <v>136</v>
      </c>
      <c r="C1944" s="7" t="str">
        <f t="shared" ref="C1944:C1971" si="535">C$1942</f>
        <v>VAM JUMPES CITROEM PLACA KXJ 6C87</v>
      </c>
      <c r="D1944" s="8">
        <f t="shared" ref="D1944:D1971" si="536">D1882</f>
        <v>46082</v>
      </c>
      <c r="E1944" s="15"/>
      <c r="F1944" s="15"/>
      <c r="G1944" s="15">
        <f>F1944-E1944</f>
        <v>0</v>
      </c>
      <c r="H1944" s="16" t="s">
        <v>6</v>
      </c>
      <c r="I1944" s="10">
        <f>P1944</f>
        <v>200</v>
      </c>
      <c r="J1944" s="16" t="s">
        <v>201</v>
      </c>
      <c r="K1944" s="15"/>
      <c r="L1944" s="15"/>
      <c r="M1944" s="17"/>
      <c r="N1944" s="8"/>
      <c r="O1944" s="9">
        <v>6000</v>
      </c>
      <c r="P1944" s="9">
        <f>O1944/30</f>
        <v>200</v>
      </c>
      <c r="Q1944" s="9"/>
      <c r="R1944" s="9"/>
      <c r="S1944" s="10">
        <f>SUM(R1944+Q1944+I1944)</f>
        <v>200</v>
      </c>
    </row>
    <row r="1945" spans="2:19" customFormat="1" hidden="1" outlineLevel="1">
      <c r="B1945" s="12" t="s">
        <v>0</v>
      </c>
      <c r="C1945" s="7" t="str">
        <f t="shared" si="535"/>
        <v>VAM JUMPES CITROEM PLACA KXJ 6C87</v>
      </c>
      <c r="D1945" s="8">
        <f t="shared" si="536"/>
        <v>46083</v>
      </c>
      <c r="E1945" s="15"/>
      <c r="F1945" s="15"/>
      <c r="G1945" s="15">
        <f t="shared" ref="G1945:G1971" si="537">F1945-E1945</f>
        <v>0</v>
      </c>
      <c r="H1945" s="16" t="s">
        <v>6</v>
      </c>
      <c r="I1945" s="10">
        <f>I1944</f>
        <v>200</v>
      </c>
      <c r="J1945" s="16" t="s">
        <v>201</v>
      </c>
      <c r="K1945" s="15"/>
      <c r="L1945" s="15"/>
      <c r="M1945" s="17"/>
      <c r="N1945" s="8"/>
      <c r="O1945" s="9"/>
      <c r="P1945" s="9"/>
      <c r="Q1945" s="9"/>
      <c r="R1945" s="9"/>
      <c r="S1945" s="10">
        <f t="shared" ref="S1945:S1971" si="538">SUM(R1945+Q1945+I1945)</f>
        <v>200</v>
      </c>
    </row>
    <row r="1946" spans="2:19" customFormat="1" hidden="1" outlineLevel="1">
      <c r="B1946" s="13" t="s">
        <v>136</v>
      </c>
      <c r="C1946" s="7" t="str">
        <f t="shared" si="535"/>
        <v>VAM JUMPES CITROEM PLACA KXJ 6C87</v>
      </c>
      <c r="D1946" s="8">
        <f t="shared" si="536"/>
        <v>46084</v>
      </c>
      <c r="E1946" s="15"/>
      <c r="F1946" s="15"/>
      <c r="G1946" s="15">
        <f t="shared" si="537"/>
        <v>0</v>
      </c>
      <c r="H1946" s="16" t="s">
        <v>6</v>
      </c>
      <c r="I1946" s="10">
        <f t="shared" ref="I1946:I1971" si="539">I1945</f>
        <v>200</v>
      </c>
      <c r="J1946" s="16" t="s">
        <v>201</v>
      </c>
      <c r="K1946" s="15"/>
      <c r="L1946" s="15"/>
      <c r="M1946" s="17"/>
      <c r="N1946" s="8"/>
      <c r="O1946" s="9"/>
      <c r="P1946" s="9"/>
      <c r="Q1946" s="9"/>
      <c r="R1946" s="9"/>
      <c r="S1946" s="10">
        <f t="shared" si="538"/>
        <v>200</v>
      </c>
    </row>
    <row r="1947" spans="2:19" customFormat="1" hidden="1" outlineLevel="1">
      <c r="B1947" s="13" t="s">
        <v>136</v>
      </c>
      <c r="C1947" s="7" t="str">
        <f t="shared" si="535"/>
        <v>VAM JUMPES CITROEM PLACA KXJ 6C87</v>
      </c>
      <c r="D1947" s="8">
        <f t="shared" si="536"/>
        <v>46085</v>
      </c>
      <c r="E1947" s="15"/>
      <c r="F1947" s="15"/>
      <c r="G1947" s="15">
        <f t="shared" si="537"/>
        <v>0</v>
      </c>
      <c r="H1947" s="16" t="s">
        <v>6</v>
      </c>
      <c r="I1947" s="10">
        <f t="shared" si="539"/>
        <v>200</v>
      </c>
      <c r="J1947" s="16" t="s">
        <v>201</v>
      </c>
      <c r="K1947" s="15"/>
      <c r="L1947" s="15"/>
      <c r="M1947" s="17"/>
      <c r="N1947" s="8"/>
      <c r="O1947" s="9"/>
      <c r="P1947" s="9"/>
      <c r="Q1947" s="9"/>
      <c r="R1947" s="9"/>
      <c r="S1947" s="10">
        <f t="shared" si="538"/>
        <v>200</v>
      </c>
    </row>
    <row r="1948" spans="2:19" customFormat="1" hidden="1" outlineLevel="1">
      <c r="B1948" s="13" t="s">
        <v>136</v>
      </c>
      <c r="C1948" s="7" t="str">
        <f t="shared" si="535"/>
        <v>VAM JUMPES CITROEM PLACA KXJ 6C87</v>
      </c>
      <c r="D1948" s="8">
        <f t="shared" si="536"/>
        <v>46086</v>
      </c>
      <c r="E1948" s="15"/>
      <c r="F1948" s="15"/>
      <c r="G1948" s="15">
        <f t="shared" si="537"/>
        <v>0</v>
      </c>
      <c r="H1948" s="16" t="s">
        <v>6</v>
      </c>
      <c r="I1948" s="10">
        <f t="shared" si="539"/>
        <v>200</v>
      </c>
      <c r="J1948" s="16" t="s">
        <v>201</v>
      </c>
      <c r="K1948" s="15"/>
      <c r="L1948" s="15"/>
      <c r="M1948" s="17"/>
      <c r="N1948" s="8"/>
      <c r="O1948" s="18"/>
      <c r="P1948" s="9"/>
      <c r="Q1948" s="9"/>
      <c r="R1948" s="9"/>
      <c r="S1948" s="10">
        <f t="shared" si="538"/>
        <v>200</v>
      </c>
    </row>
    <row r="1949" spans="2:19" customFormat="1" hidden="1" outlineLevel="1">
      <c r="B1949" s="13" t="s">
        <v>136</v>
      </c>
      <c r="C1949" s="7" t="str">
        <f t="shared" si="535"/>
        <v>VAM JUMPES CITROEM PLACA KXJ 6C87</v>
      </c>
      <c r="D1949" s="8">
        <f t="shared" si="536"/>
        <v>46087</v>
      </c>
      <c r="E1949" s="15"/>
      <c r="F1949" s="15"/>
      <c r="G1949" s="15">
        <f t="shared" si="537"/>
        <v>0</v>
      </c>
      <c r="H1949" s="16" t="s">
        <v>6</v>
      </c>
      <c r="I1949" s="10">
        <f t="shared" si="539"/>
        <v>200</v>
      </c>
      <c r="J1949" s="16" t="s">
        <v>201</v>
      </c>
      <c r="K1949" s="15"/>
      <c r="L1949" s="15"/>
      <c r="M1949" s="17"/>
      <c r="N1949" s="8"/>
      <c r="O1949" s="18">
        <f t="shared" ref="O1949:O1971" si="540">O1948</f>
        <v>0</v>
      </c>
      <c r="P1949" s="9"/>
      <c r="Q1949" s="9"/>
      <c r="R1949" s="9"/>
      <c r="S1949" s="10">
        <f t="shared" si="538"/>
        <v>200</v>
      </c>
    </row>
    <row r="1950" spans="2:19" customFormat="1" hidden="1" outlineLevel="1">
      <c r="B1950" s="13" t="s">
        <v>136</v>
      </c>
      <c r="C1950" s="7" t="str">
        <f t="shared" si="535"/>
        <v>VAM JUMPES CITROEM PLACA KXJ 6C87</v>
      </c>
      <c r="D1950" s="8">
        <f t="shared" si="536"/>
        <v>46088</v>
      </c>
      <c r="E1950" s="15"/>
      <c r="F1950" s="15"/>
      <c r="G1950" s="15">
        <f t="shared" si="537"/>
        <v>0</v>
      </c>
      <c r="H1950" s="16" t="s">
        <v>6</v>
      </c>
      <c r="I1950" s="10">
        <f t="shared" si="539"/>
        <v>200</v>
      </c>
      <c r="J1950" s="16" t="s">
        <v>201</v>
      </c>
      <c r="K1950" s="15"/>
      <c r="L1950" s="15"/>
      <c r="M1950" s="17"/>
      <c r="N1950" s="8"/>
      <c r="O1950" s="18">
        <f t="shared" si="540"/>
        <v>0</v>
      </c>
      <c r="P1950" s="9"/>
      <c r="Q1950" s="9"/>
      <c r="R1950" s="9"/>
      <c r="S1950" s="10">
        <f t="shared" si="538"/>
        <v>200</v>
      </c>
    </row>
    <row r="1951" spans="2:19" customFormat="1" hidden="1" outlineLevel="1">
      <c r="B1951" s="13" t="s">
        <v>136</v>
      </c>
      <c r="C1951" s="7" t="str">
        <f t="shared" si="535"/>
        <v>VAM JUMPES CITROEM PLACA KXJ 6C87</v>
      </c>
      <c r="D1951" s="8">
        <f t="shared" si="536"/>
        <v>46089</v>
      </c>
      <c r="E1951" s="15"/>
      <c r="F1951" s="15"/>
      <c r="G1951" s="15">
        <f t="shared" si="537"/>
        <v>0</v>
      </c>
      <c r="H1951" s="16" t="s">
        <v>6</v>
      </c>
      <c r="I1951" s="10">
        <f t="shared" si="539"/>
        <v>200</v>
      </c>
      <c r="J1951" s="16" t="s">
        <v>201</v>
      </c>
      <c r="K1951" s="15"/>
      <c r="L1951" s="15"/>
      <c r="M1951" s="17"/>
      <c r="N1951" s="8"/>
      <c r="O1951" s="18">
        <f t="shared" si="540"/>
        <v>0</v>
      </c>
      <c r="P1951" s="9"/>
      <c r="Q1951" s="9"/>
      <c r="R1951" s="9"/>
      <c r="S1951" s="10">
        <f t="shared" si="538"/>
        <v>200</v>
      </c>
    </row>
    <row r="1952" spans="2:19" customFormat="1" hidden="1" outlineLevel="1">
      <c r="B1952" s="13" t="s">
        <v>136</v>
      </c>
      <c r="C1952" s="7" t="str">
        <f t="shared" si="535"/>
        <v>VAM JUMPES CITROEM PLACA KXJ 6C87</v>
      </c>
      <c r="D1952" s="8">
        <f t="shared" si="536"/>
        <v>46090</v>
      </c>
      <c r="E1952" s="15"/>
      <c r="F1952" s="15"/>
      <c r="G1952" s="15">
        <f t="shared" si="537"/>
        <v>0</v>
      </c>
      <c r="H1952" s="16" t="s">
        <v>6</v>
      </c>
      <c r="I1952" s="10">
        <f t="shared" si="539"/>
        <v>200</v>
      </c>
      <c r="J1952" s="16" t="s">
        <v>201</v>
      </c>
      <c r="K1952" s="15"/>
      <c r="L1952" s="15"/>
      <c r="M1952" s="17"/>
      <c r="N1952" s="8"/>
      <c r="O1952" s="18">
        <f t="shared" si="540"/>
        <v>0</v>
      </c>
      <c r="P1952" s="9"/>
      <c r="Q1952" s="9"/>
      <c r="R1952" s="9"/>
      <c r="S1952" s="10">
        <f t="shared" si="538"/>
        <v>200</v>
      </c>
    </row>
    <row r="1953" spans="2:19" customFormat="1" hidden="1" outlineLevel="1">
      <c r="B1953" s="13" t="s">
        <v>136</v>
      </c>
      <c r="C1953" s="7" t="str">
        <f t="shared" si="535"/>
        <v>VAM JUMPES CITROEM PLACA KXJ 6C87</v>
      </c>
      <c r="D1953" s="8">
        <f t="shared" si="536"/>
        <v>46091</v>
      </c>
      <c r="E1953" s="15"/>
      <c r="F1953" s="15"/>
      <c r="G1953" s="15">
        <f t="shared" si="537"/>
        <v>0</v>
      </c>
      <c r="H1953" s="16" t="s">
        <v>6</v>
      </c>
      <c r="I1953" s="10">
        <f t="shared" si="539"/>
        <v>200</v>
      </c>
      <c r="J1953" s="16" t="s">
        <v>201</v>
      </c>
      <c r="K1953" s="15"/>
      <c r="L1953" s="15"/>
      <c r="M1953" s="17"/>
      <c r="N1953" s="8"/>
      <c r="O1953" s="18">
        <f t="shared" si="540"/>
        <v>0</v>
      </c>
      <c r="P1953" s="9"/>
      <c r="Q1953" s="9"/>
      <c r="R1953" s="9"/>
      <c r="S1953" s="10">
        <f t="shared" si="538"/>
        <v>200</v>
      </c>
    </row>
    <row r="1954" spans="2:19" customFormat="1" hidden="1" outlineLevel="1">
      <c r="B1954" s="13" t="s">
        <v>136</v>
      </c>
      <c r="C1954" s="7" t="str">
        <f t="shared" si="535"/>
        <v>VAM JUMPES CITROEM PLACA KXJ 6C87</v>
      </c>
      <c r="D1954" s="8">
        <f t="shared" si="536"/>
        <v>46092</v>
      </c>
      <c r="E1954" s="15"/>
      <c r="F1954" s="15"/>
      <c r="G1954" s="15">
        <f t="shared" si="537"/>
        <v>0</v>
      </c>
      <c r="H1954" s="16" t="s">
        <v>6</v>
      </c>
      <c r="I1954" s="10">
        <f t="shared" si="539"/>
        <v>200</v>
      </c>
      <c r="J1954" s="16" t="s">
        <v>201</v>
      </c>
      <c r="K1954" s="15"/>
      <c r="L1954" s="15"/>
      <c r="M1954" s="17"/>
      <c r="N1954" s="8"/>
      <c r="O1954" s="18">
        <f t="shared" si="540"/>
        <v>0</v>
      </c>
      <c r="P1954" s="9"/>
      <c r="Q1954" s="9"/>
      <c r="R1954" s="9"/>
      <c r="S1954" s="10">
        <f t="shared" si="538"/>
        <v>200</v>
      </c>
    </row>
    <row r="1955" spans="2:19" customFormat="1" hidden="1" outlineLevel="1">
      <c r="B1955" s="13" t="s">
        <v>136</v>
      </c>
      <c r="C1955" s="7" t="str">
        <f t="shared" si="535"/>
        <v>VAM JUMPES CITROEM PLACA KXJ 6C87</v>
      </c>
      <c r="D1955" s="8">
        <f t="shared" si="536"/>
        <v>46093</v>
      </c>
      <c r="E1955" s="15"/>
      <c r="F1955" s="15"/>
      <c r="G1955" s="15">
        <f t="shared" si="537"/>
        <v>0</v>
      </c>
      <c r="H1955" s="16" t="s">
        <v>6</v>
      </c>
      <c r="I1955" s="10">
        <f t="shared" si="539"/>
        <v>200</v>
      </c>
      <c r="J1955" s="16" t="s">
        <v>201</v>
      </c>
      <c r="K1955" s="15"/>
      <c r="L1955" s="15"/>
      <c r="M1955" s="17"/>
      <c r="N1955" s="8"/>
      <c r="O1955" s="18">
        <f t="shared" si="540"/>
        <v>0</v>
      </c>
      <c r="P1955" s="9"/>
      <c r="Q1955" s="9"/>
      <c r="R1955" s="9"/>
      <c r="S1955" s="10">
        <f t="shared" si="538"/>
        <v>200</v>
      </c>
    </row>
    <row r="1956" spans="2:19" customFormat="1" hidden="1" outlineLevel="1">
      <c r="B1956" s="13" t="s">
        <v>136</v>
      </c>
      <c r="C1956" s="7" t="str">
        <f t="shared" si="535"/>
        <v>VAM JUMPES CITROEM PLACA KXJ 6C87</v>
      </c>
      <c r="D1956" s="8">
        <f t="shared" si="536"/>
        <v>46094</v>
      </c>
      <c r="E1956" s="15"/>
      <c r="F1956" s="15"/>
      <c r="G1956" s="15">
        <f t="shared" si="537"/>
        <v>0</v>
      </c>
      <c r="H1956" s="16" t="s">
        <v>6</v>
      </c>
      <c r="I1956" s="10">
        <f t="shared" si="539"/>
        <v>200</v>
      </c>
      <c r="J1956" s="16" t="s">
        <v>201</v>
      </c>
      <c r="K1956" s="15"/>
      <c r="L1956" s="15"/>
      <c r="M1956" s="17"/>
      <c r="N1956" s="8"/>
      <c r="O1956" s="18">
        <f t="shared" si="540"/>
        <v>0</v>
      </c>
      <c r="P1956" s="9"/>
      <c r="Q1956" s="9"/>
      <c r="R1956" s="9"/>
      <c r="S1956" s="10">
        <f t="shared" si="538"/>
        <v>200</v>
      </c>
    </row>
    <row r="1957" spans="2:19" customFormat="1" hidden="1" outlineLevel="1">
      <c r="B1957" s="13" t="s">
        <v>136</v>
      </c>
      <c r="C1957" s="7" t="str">
        <f t="shared" si="535"/>
        <v>VAM JUMPES CITROEM PLACA KXJ 6C87</v>
      </c>
      <c r="D1957" s="8">
        <f t="shared" si="536"/>
        <v>46095</v>
      </c>
      <c r="E1957" s="15"/>
      <c r="F1957" s="15"/>
      <c r="G1957" s="15">
        <f t="shared" si="537"/>
        <v>0</v>
      </c>
      <c r="H1957" s="16" t="s">
        <v>6</v>
      </c>
      <c r="I1957" s="10">
        <f t="shared" si="539"/>
        <v>200</v>
      </c>
      <c r="J1957" s="16" t="s">
        <v>201</v>
      </c>
      <c r="K1957" s="15"/>
      <c r="L1957" s="15"/>
      <c r="M1957" s="17"/>
      <c r="N1957" s="8"/>
      <c r="O1957" s="18">
        <f t="shared" si="540"/>
        <v>0</v>
      </c>
      <c r="P1957" s="9"/>
      <c r="Q1957" s="9"/>
      <c r="R1957" s="9"/>
      <c r="S1957" s="10">
        <f t="shared" si="538"/>
        <v>200</v>
      </c>
    </row>
    <row r="1958" spans="2:19" customFormat="1" hidden="1" outlineLevel="1">
      <c r="B1958" s="13" t="s">
        <v>136</v>
      </c>
      <c r="C1958" s="7" t="str">
        <f t="shared" si="535"/>
        <v>VAM JUMPES CITROEM PLACA KXJ 6C87</v>
      </c>
      <c r="D1958" s="8">
        <f t="shared" si="536"/>
        <v>46096</v>
      </c>
      <c r="E1958" s="15"/>
      <c r="F1958" s="15"/>
      <c r="G1958" s="15">
        <f t="shared" si="537"/>
        <v>0</v>
      </c>
      <c r="H1958" s="16" t="s">
        <v>6</v>
      </c>
      <c r="I1958" s="10">
        <f t="shared" si="539"/>
        <v>200</v>
      </c>
      <c r="J1958" s="16" t="s">
        <v>201</v>
      </c>
      <c r="K1958" s="15"/>
      <c r="L1958" s="15"/>
      <c r="M1958" s="17"/>
      <c r="N1958" s="8"/>
      <c r="O1958" s="18">
        <f t="shared" si="540"/>
        <v>0</v>
      </c>
      <c r="P1958" s="9"/>
      <c r="Q1958" s="9"/>
      <c r="R1958" s="9"/>
      <c r="S1958" s="10">
        <f t="shared" si="538"/>
        <v>200</v>
      </c>
    </row>
    <row r="1959" spans="2:19" customFormat="1" hidden="1" outlineLevel="1">
      <c r="B1959" s="13" t="s">
        <v>136</v>
      </c>
      <c r="C1959" s="7" t="str">
        <f t="shared" si="535"/>
        <v>VAM JUMPES CITROEM PLACA KXJ 6C87</v>
      </c>
      <c r="D1959" s="8">
        <f t="shared" si="536"/>
        <v>46097</v>
      </c>
      <c r="E1959" s="15"/>
      <c r="F1959" s="15"/>
      <c r="G1959" s="15">
        <f t="shared" si="537"/>
        <v>0</v>
      </c>
      <c r="H1959" s="16" t="s">
        <v>6</v>
      </c>
      <c r="I1959" s="10">
        <f t="shared" si="539"/>
        <v>200</v>
      </c>
      <c r="J1959" s="16" t="s">
        <v>201</v>
      </c>
      <c r="K1959" s="15"/>
      <c r="L1959" s="15"/>
      <c r="M1959" s="17"/>
      <c r="N1959" s="8"/>
      <c r="O1959" s="18">
        <f t="shared" si="540"/>
        <v>0</v>
      </c>
      <c r="P1959" s="9"/>
      <c r="Q1959" s="9"/>
      <c r="R1959" s="9"/>
      <c r="S1959" s="10">
        <f t="shared" si="538"/>
        <v>200</v>
      </c>
    </row>
    <row r="1960" spans="2:19" customFormat="1" hidden="1" outlineLevel="1">
      <c r="B1960" s="13" t="s">
        <v>136</v>
      </c>
      <c r="C1960" s="7" t="str">
        <f t="shared" si="535"/>
        <v>VAM JUMPES CITROEM PLACA KXJ 6C87</v>
      </c>
      <c r="D1960" s="8">
        <f t="shared" si="536"/>
        <v>46098</v>
      </c>
      <c r="E1960" s="15"/>
      <c r="F1960" s="15"/>
      <c r="G1960" s="15">
        <f t="shared" si="537"/>
        <v>0</v>
      </c>
      <c r="H1960" s="16" t="s">
        <v>6</v>
      </c>
      <c r="I1960" s="10">
        <f t="shared" si="539"/>
        <v>200</v>
      </c>
      <c r="J1960" s="16" t="s">
        <v>201</v>
      </c>
      <c r="K1960" s="15"/>
      <c r="L1960" s="15"/>
      <c r="M1960" s="17"/>
      <c r="N1960" s="8"/>
      <c r="O1960" s="18">
        <f t="shared" si="540"/>
        <v>0</v>
      </c>
      <c r="P1960" s="9"/>
      <c r="Q1960" s="9"/>
      <c r="R1960" s="9"/>
      <c r="S1960" s="10">
        <f t="shared" si="538"/>
        <v>200</v>
      </c>
    </row>
    <row r="1961" spans="2:19" customFormat="1" hidden="1" outlineLevel="1">
      <c r="B1961" s="13" t="s">
        <v>136</v>
      </c>
      <c r="C1961" s="7" t="str">
        <f t="shared" si="535"/>
        <v>VAM JUMPES CITROEM PLACA KXJ 6C87</v>
      </c>
      <c r="D1961" s="8">
        <f t="shared" si="536"/>
        <v>46099</v>
      </c>
      <c r="E1961" s="15"/>
      <c r="F1961" s="15"/>
      <c r="G1961" s="15">
        <f t="shared" si="537"/>
        <v>0</v>
      </c>
      <c r="H1961" s="16" t="s">
        <v>6</v>
      </c>
      <c r="I1961" s="10">
        <f t="shared" si="539"/>
        <v>200</v>
      </c>
      <c r="J1961" s="16" t="s">
        <v>201</v>
      </c>
      <c r="K1961" s="15"/>
      <c r="L1961" s="15"/>
      <c r="M1961" s="17"/>
      <c r="N1961" s="8"/>
      <c r="O1961" s="18">
        <f t="shared" si="540"/>
        <v>0</v>
      </c>
      <c r="P1961" s="9"/>
      <c r="Q1961" s="9"/>
      <c r="R1961" s="9"/>
      <c r="S1961" s="10">
        <f t="shared" si="538"/>
        <v>200</v>
      </c>
    </row>
    <row r="1962" spans="2:19" customFormat="1" hidden="1" outlineLevel="1">
      <c r="B1962" s="13" t="s">
        <v>136</v>
      </c>
      <c r="C1962" s="7" t="str">
        <f t="shared" si="535"/>
        <v>VAM JUMPES CITROEM PLACA KXJ 6C87</v>
      </c>
      <c r="D1962" s="8">
        <f t="shared" si="536"/>
        <v>46100</v>
      </c>
      <c r="E1962" s="15"/>
      <c r="F1962" s="15"/>
      <c r="G1962" s="15">
        <f t="shared" si="537"/>
        <v>0</v>
      </c>
      <c r="H1962" s="16" t="s">
        <v>6</v>
      </c>
      <c r="I1962" s="10">
        <f t="shared" si="539"/>
        <v>200</v>
      </c>
      <c r="J1962" s="16" t="s">
        <v>201</v>
      </c>
      <c r="K1962" s="15"/>
      <c r="L1962" s="15"/>
      <c r="M1962" s="17"/>
      <c r="N1962" s="8"/>
      <c r="O1962" s="18">
        <f t="shared" si="540"/>
        <v>0</v>
      </c>
      <c r="P1962" s="9"/>
      <c r="Q1962" s="9"/>
      <c r="R1962" s="9"/>
      <c r="S1962" s="10">
        <f t="shared" si="538"/>
        <v>200</v>
      </c>
    </row>
    <row r="1963" spans="2:19" customFormat="1" hidden="1" outlineLevel="1">
      <c r="B1963" s="13" t="s">
        <v>136</v>
      </c>
      <c r="C1963" s="7" t="str">
        <f t="shared" si="535"/>
        <v>VAM JUMPES CITROEM PLACA KXJ 6C87</v>
      </c>
      <c r="D1963" s="8">
        <f t="shared" si="536"/>
        <v>46101</v>
      </c>
      <c r="E1963" s="15"/>
      <c r="F1963" s="15"/>
      <c r="G1963" s="15">
        <f t="shared" si="537"/>
        <v>0</v>
      </c>
      <c r="H1963" s="16" t="s">
        <v>6</v>
      </c>
      <c r="I1963" s="10">
        <f t="shared" si="539"/>
        <v>200</v>
      </c>
      <c r="J1963" s="16" t="s">
        <v>201</v>
      </c>
      <c r="K1963" s="15"/>
      <c r="L1963" s="15"/>
      <c r="M1963" s="17"/>
      <c r="N1963" s="8"/>
      <c r="O1963" s="18">
        <f t="shared" si="540"/>
        <v>0</v>
      </c>
      <c r="P1963" s="9"/>
      <c r="Q1963" s="9"/>
      <c r="R1963" s="9"/>
      <c r="S1963" s="10">
        <f t="shared" si="538"/>
        <v>200</v>
      </c>
    </row>
    <row r="1964" spans="2:19" customFormat="1" hidden="1" outlineLevel="1">
      <c r="B1964" s="13" t="s">
        <v>136</v>
      </c>
      <c r="C1964" s="7" t="str">
        <f t="shared" si="535"/>
        <v>VAM JUMPES CITROEM PLACA KXJ 6C87</v>
      </c>
      <c r="D1964" s="8">
        <f t="shared" si="536"/>
        <v>46102</v>
      </c>
      <c r="E1964" s="15"/>
      <c r="F1964" s="15"/>
      <c r="G1964" s="15">
        <f t="shared" si="537"/>
        <v>0</v>
      </c>
      <c r="H1964" s="16" t="s">
        <v>6</v>
      </c>
      <c r="I1964" s="10">
        <f t="shared" si="539"/>
        <v>200</v>
      </c>
      <c r="J1964" s="16" t="s">
        <v>201</v>
      </c>
      <c r="K1964" s="15"/>
      <c r="L1964" s="15"/>
      <c r="M1964" s="17"/>
      <c r="N1964" s="8"/>
      <c r="O1964" s="18">
        <f t="shared" si="540"/>
        <v>0</v>
      </c>
      <c r="P1964" s="9"/>
      <c r="Q1964" s="9"/>
      <c r="R1964" s="9"/>
      <c r="S1964" s="10">
        <f t="shared" si="538"/>
        <v>200</v>
      </c>
    </row>
    <row r="1965" spans="2:19" customFormat="1" hidden="1" outlineLevel="1">
      <c r="B1965" s="13" t="s">
        <v>136</v>
      </c>
      <c r="C1965" s="7" t="str">
        <f t="shared" si="535"/>
        <v>VAM JUMPES CITROEM PLACA KXJ 6C87</v>
      </c>
      <c r="D1965" s="8">
        <f t="shared" si="536"/>
        <v>46103</v>
      </c>
      <c r="E1965" s="15"/>
      <c r="F1965" s="15"/>
      <c r="G1965" s="15">
        <f t="shared" si="537"/>
        <v>0</v>
      </c>
      <c r="H1965" s="16" t="s">
        <v>6</v>
      </c>
      <c r="I1965" s="10">
        <f t="shared" si="539"/>
        <v>200</v>
      </c>
      <c r="J1965" s="16" t="s">
        <v>201</v>
      </c>
      <c r="K1965" s="15"/>
      <c r="L1965" s="15"/>
      <c r="M1965" s="17"/>
      <c r="N1965" s="8"/>
      <c r="O1965" s="18">
        <f t="shared" si="540"/>
        <v>0</v>
      </c>
      <c r="P1965" s="9"/>
      <c r="Q1965" s="9"/>
      <c r="R1965" s="9"/>
      <c r="S1965" s="10">
        <f t="shared" si="538"/>
        <v>200</v>
      </c>
    </row>
    <row r="1966" spans="2:19" customFormat="1" hidden="1" outlineLevel="1">
      <c r="B1966" s="13" t="s">
        <v>136</v>
      </c>
      <c r="C1966" s="7" t="str">
        <f t="shared" si="535"/>
        <v>VAM JUMPES CITROEM PLACA KXJ 6C87</v>
      </c>
      <c r="D1966" s="8">
        <f t="shared" si="536"/>
        <v>46104</v>
      </c>
      <c r="E1966" s="15"/>
      <c r="F1966" s="15"/>
      <c r="G1966" s="15">
        <f t="shared" si="537"/>
        <v>0</v>
      </c>
      <c r="H1966" s="16" t="s">
        <v>6</v>
      </c>
      <c r="I1966" s="10">
        <f t="shared" si="539"/>
        <v>200</v>
      </c>
      <c r="J1966" s="16" t="s">
        <v>201</v>
      </c>
      <c r="K1966" s="15"/>
      <c r="L1966" s="15"/>
      <c r="M1966" s="17"/>
      <c r="N1966" s="8"/>
      <c r="O1966" s="18">
        <f t="shared" si="540"/>
        <v>0</v>
      </c>
      <c r="P1966" s="9"/>
      <c r="Q1966" s="9"/>
      <c r="R1966" s="9"/>
      <c r="S1966" s="10">
        <f t="shared" si="538"/>
        <v>200</v>
      </c>
    </row>
    <row r="1967" spans="2:19" customFormat="1" hidden="1" outlineLevel="1">
      <c r="B1967" s="13" t="s">
        <v>136</v>
      </c>
      <c r="C1967" s="7" t="str">
        <f t="shared" si="535"/>
        <v>VAM JUMPES CITROEM PLACA KXJ 6C87</v>
      </c>
      <c r="D1967" s="8">
        <f t="shared" si="536"/>
        <v>46105</v>
      </c>
      <c r="E1967" s="15"/>
      <c r="F1967" s="15"/>
      <c r="G1967" s="15">
        <f t="shared" si="537"/>
        <v>0</v>
      </c>
      <c r="H1967" s="16" t="s">
        <v>6</v>
      </c>
      <c r="I1967" s="10">
        <f t="shared" si="539"/>
        <v>200</v>
      </c>
      <c r="J1967" s="16" t="s">
        <v>201</v>
      </c>
      <c r="K1967" s="15"/>
      <c r="L1967" s="15"/>
      <c r="M1967" s="17"/>
      <c r="N1967" s="8"/>
      <c r="O1967" s="18">
        <f t="shared" si="540"/>
        <v>0</v>
      </c>
      <c r="P1967" s="9"/>
      <c r="Q1967" s="9"/>
      <c r="R1967" s="9"/>
      <c r="S1967" s="10">
        <f t="shared" si="538"/>
        <v>200</v>
      </c>
    </row>
    <row r="1968" spans="2:19" customFormat="1" hidden="1" outlineLevel="1">
      <c r="B1968" s="13" t="s">
        <v>136</v>
      </c>
      <c r="C1968" s="7" t="str">
        <f t="shared" si="535"/>
        <v>VAM JUMPES CITROEM PLACA KXJ 6C87</v>
      </c>
      <c r="D1968" s="8">
        <f t="shared" si="536"/>
        <v>46106</v>
      </c>
      <c r="E1968" s="15"/>
      <c r="F1968" s="15"/>
      <c r="G1968" s="15">
        <f t="shared" si="537"/>
        <v>0</v>
      </c>
      <c r="H1968" s="16" t="s">
        <v>6</v>
      </c>
      <c r="I1968" s="10">
        <f t="shared" si="539"/>
        <v>200</v>
      </c>
      <c r="J1968" s="16" t="s">
        <v>201</v>
      </c>
      <c r="K1968" s="15"/>
      <c r="L1968" s="15"/>
      <c r="M1968" s="17"/>
      <c r="N1968" s="8"/>
      <c r="O1968" s="18">
        <f t="shared" si="540"/>
        <v>0</v>
      </c>
      <c r="P1968" s="9"/>
      <c r="Q1968" s="9"/>
      <c r="R1968" s="9"/>
      <c r="S1968" s="10">
        <f t="shared" si="538"/>
        <v>200</v>
      </c>
    </row>
    <row r="1969" spans="2:19" customFormat="1" hidden="1" outlineLevel="1">
      <c r="B1969" s="13" t="s">
        <v>136</v>
      </c>
      <c r="C1969" s="7" t="str">
        <f t="shared" si="535"/>
        <v>VAM JUMPES CITROEM PLACA KXJ 6C87</v>
      </c>
      <c r="D1969" s="8">
        <f t="shared" si="536"/>
        <v>46107</v>
      </c>
      <c r="E1969" s="15"/>
      <c r="F1969" s="15"/>
      <c r="G1969" s="15">
        <f t="shared" si="537"/>
        <v>0</v>
      </c>
      <c r="H1969" s="16" t="s">
        <v>6</v>
      </c>
      <c r="I1969" s="10">
        <f t="shared" si="539"/>
        <v>200</v>
      </c>
      <c r="J1969" s="16" t="s">
        <v>201</v>
      </c>
      <c r="K1969" s="15"/>
      <c r="L1969" s="15"/>
      <c r="M1969" s="17"/>
      <c r="N1969" s="8"/>
      <c r="O1969" s="18">
        <f t="shared" si="540"/>
        <v>0</v>
      </c>
      <c r="P1969" s="9"/>
      <c r="Q1969" s="9"/>
      <c r="R1969" s="9"/>
      <c r="S1969" s="10">
        <f t="shared" si="538"/>
        <v>200</v>
      </c>
    </row>
    <row r="1970" spans="2:19" customFormat="1" hidden="1" outlineLevel="1">
      <c r="B1970" s="13" t="s">
        <v>136</v>
      </c>
      <c r="C1970" s="7" t="str">
        <f t="shared" si="535"/>
        <v>VAM JUMPES CITROEM PLACA KXJ 6C87</v>
      </c>
      <c r="D1970" s="8">
        <f t="shared" si="536"/>
        <v>46108</v>
      </c>
      <c r="E1970" s="15"/>
      <c r="F1970" s="15"/>
      <c r="G1970" s="15">
        <f t="shared" si="537"/>
        <v>0</v>
      </c>
      <c r="H1970" s="16" t="s">
        <v>6</v>
      </c>
      <c r="I1970" s="10">
        <f t="shared" si="539"/>
        <v>200</v>
      </c>
      <c r="J1970" s="16" t="s">
        <v>201</v>
      </c>
      <c r="K1970" s="15"/>
      <c r="L1970" s="15"/>
      <c r="M1970" s="17"/>
      <c r="N1970" s="8"/>
      <c r="O1970" s="18">
        <f t="shared" si="540"/>
        <v>0</v>
      </c>
      <c r="P1970" s="9"/>
      <c r="Q1970" s="9"/>
      <c r="R1970" s="9"/>
      <c r="S1970" s="10">
        <f t="shared" si="538"/>
        <v>200</v>
      </c>
    </row>
    <row r="1971" spans="2:19" customFormat="1" hidden="1" outlineLevel="1">
      <c r="B1971" s="13" t="s">
        <v>136</v>
      </c>
      <c r="C1971" s="7" t="str">
        <f t="shared" si="535"/>
        <v>VAM JUMPES CITROEM PLACA KXJ 6C87</v>
      </c>
      <c r="D1971" s="8">
        <f t="shared" si="536"/>
        <v>46112</v>
      </c>
      <c r="E1971" s="15"/>
      <c r="F1971" s="15"/>
      <c r="G1971" s="15">
        <f t="shared" si="537"/>
        <v>0</v>
      </c>
      <c r="H1971" s="16" t="s">
        <v>6</v>
      </c>
      <c r="I1971" s="10">
        <f t="shared" si="539"/>
        <v>200</v>
      </c>
      <c r="J1971" s="16" t="s">
        <v>201</v>
      </c>
      <c r="K1971" s="15"/>
      <c r="L1971" s="15"/>
      <c r="M1971" s="17"/>
      <c r="N1971" s="8"/>
      <c r="O1971" s="18">
        <f t="shared" si="540"/>
        <v>0</v>
      </c>
      <c r="P1971" s="9"/>
      <c r="Q1971" s="9"/>
      <c r="R1971" s="9"/>
      <c r="S1971" s="10">
        <f t="shared" si="538"/>
        <v>200</v>
      </c>
    </row>
    <row r="1972" spans="2:19" customFormat="1" collapsed="1">
      <c r="B1972" s="13" t="s">
        <v>136</v>
      </c>
      <c r="D1972" s="1"/>
      <c r="E1972" s="2"/>
      <c r="F1972" s="2"/>
      <c r="G1972" s="2"/>
      <c r="K1972" s="2"/>
      <c r="L1972" s="2"/>
      <c r="O1972" s="2"/>
      <c r="P1972" s="2"/>
      <c r="Q1972" s="2"/>
      <c r="R1972" s="2"/>
    </row>
    <row r="1973" spans="2:19" customFormat="1">
      <c r="B1973" s="13" t="s">
        <v>136</v>
      </c>
      <c r="C1973" s="3" t="s">
        <v>139</v>
      </c>
      <c r="D1973" s="3"/>
      <c r="E1973" s="4"/>
      <c r="F1973" s="4"/>
      <c r="G1973" s="4"/>
      <c r="H1973" s="3"/>
      <c r="I1973" s="3"/>
      <c r="J1973" s="3"/>
      <c r="K1973" s="4"/>
      <c r="L1973" s="4"/>
      <c r="M1973" s="135" t="str">
        <f>M$1</f>
        <v>BM JANEIRO 2026</v>
      </c>
      <c r="N1973" s="135"/>
      <c r="O1973" s="135"/>
      <c r="P1973" s="19" t="s">
        <v>10</v>
      </c>
      <c r="Q1973" s="136" t="s">
        <v>214</v>
      </c>
      <c r="R1973" s="136"/>
      <c r="S1973" s="136"/>
    </row>
    <row r="1974" spans="2:19" customFormat="1">
      <c r="B1974" s="14"/>
      <c r="C1974" s="5" t="s">
        <v>1</v>
      </c>
      <c r="D1974" s="5" t="s">
        <v>11</v>
      </c>
      <c r="E1974" s="6" t="s">
        <v>12</v>
      </c>
      <c r="F1974" s="6" t="s">
        <v>13</v>
      </c>
      <c r="G1974" s="6" t="s">
        <v>14</v>
      </c>
      <c r="H1974" s="5" t="s">
        <v>3</v>
      </c>
      <c r="I1974" s="6" t="s">
        <v>15</v>
      </c>
      <c r="J1974" s="6" t="s">
        <v>16</v>
      </c>
      <c r="K1974" s="6" t="s">
        <v>17</v>
      </c>
      <c r="L1974" s="6" t="s">
        <v>18</v>
      </c>
      <c r="M1974" s="5" t="s">
        <v>11</v>
      </c>
      <c r="N1974" s="5" t="s">
        <v>19</v>
      </c>
      <c r="O1974" s="6" t="s">
        <v>2</v>
      </c>
      <c r="P1974" s="6" t="s">
        <v>20</v>
      </c>
      <c r="Q1974" s="6" t="s">
        <v>21</v>
      </c>
      <c r="R1974" s="6" t="s">
        <v>22</v>
      </c>
      <c r="S1974" s="6" t="s">
        <v>23</v>
      </c>
    </row>
    <row r="1975" spans="2:19" customFormat="1" hidden="1" outlineLevel="1">
      <c r="B1975" s="68" t="s">
        <v>138</v>
      </c>
      <c r="C1975" s="7" t="str">
        <f>C$1973</f>
        <v>ESPARGIDOR VW 13190 ANO 2014 PLACA OYR-9B52</v>
      </c>
      <c r="D1975" s="8">
        <f t="shared" ref="D1975:D2002" si="541">D1913</f>
        <v>46082</v>
      </c>
      <c r="E1975" s="15"/>
      <c r="F1975" s="15"/>
      <c r="G1975" s="15">
        <f>F1975-E1975</f>
        <v>0</v>
      </c>
      <c r="H1975" s="16" t="s">
        <v>6</v>
      </c>
      <c r="I1975" s="10">
        <f>P1975</f>
        <v>0</v>
      </c>
      <c r="J1975" s="16" t="s">
        <v>201</v>
      </c>
      <c r="K1975" s="15"/>
      <c r="L1975" s="15"/>
      <c r="M1975" s="17"/>
      <c r="N1975" s="8"/>
      <c r="O1975" s="9">
        <v>20000</v>
      </c>
      <c r="P1975" s="9"/>
      <c r="Q1975" s="9"/>
      <c r="R1975" s="9"/>
      <c r="S1975" s="10">
        <f>SUM(R1975+Q1975+I1975)</f>
        <v>0</v>
      </c>
    </row>
    <row r="1976" spans="2:19" customFormat="1" hidden="1" outlineLevel="1">
      <c r="B1976" s="12" t="s">
        <v>0</v>
      </c>
      <c r="C1976" s="7" t="str">
        <f t="shared" ref="C1976:C2002" si="542">C$1973</f>
        <v>ESPARGIDOR VW 13190 ANO 2014 PLACA OYR-9B52</v>
      </c>
      <c r="D1976" s="8">
        <f t="shared" si="541"/>
        <v>46083</v>
      </c>
      <c r="E1976" s="15"/>
      <c r="F1976" s="15"/>
      <c r="G1976" s="15">
        <f t="shared" ref="G1976:G2002" si="543">F1976-E1976</f>
        <v>0</v>
      </c>
      <c r="H1976" s="16" t="s">
        <v>6</v>
      </c>
      <c r="I1976" s="10">
        <f>I1975</f>
        <v>0</v>
      </c>
      <c r="J1976" s="16" t="s">
        <v>201</v>
      </c>
      <c r="K1976" s="15"/>
      <c r="L1976" s="15"/>
      <c r="M1976" s="17"/>
      <c r="N1976" s="8"/>
      <c r="O1976" s="9"/>
      <c r="P1976" s="9"/>
      <c r="Q1976" s="9"/>
      <c r="R1976" s="9"/>
      <c r="S1976" s="10">
        <f t="shared" ref="S1976:S2002" si="544">SUM(R1976+Q1976+I1976)</f>
        <v>0</v>
      </c>
    </row>
    <row r="1977" spans="2:19" customFormat="1" hidden="1" outlineLevel="1">
      <c r="B1977" s="13" t="s">
        <v>138</v>
      </c>
      <c r="C1977" s="7" t="str">
        <f t="shared" si="542"/>
        <v>ESPARGIDOR VW 13190 ANO 2014 PLACA OYR-9B52</v>
      </c>
      <c r="D1977" s="8">
        <f t="shared" si="541"/>
        <v>46084</v>
      </c>
      <c r="E1977" s="15"/>
      <c r="F1977" s="15"/>
      <c r="G1977" s="15">
        <f t="shared" si="543"/>
        <v>0</v>
      </c>
      <c r="H1977" s="16" t="s">
        <v>6</v>
      </c>
      <c r="I1977" s="10">
        <f t="shared" ref="I1977:I2002" si="545">I1976</f>
        <v>0</v>
      </c>
      <c r="J1977" s="16" t="s">
        <v>201</v>
      </c>
      <c r="K1977" s="15"/>
      <c r="L1977" s="15"/>
      <c r="M1977" s="17"/>
      <c r="N1977" s="8"/>
      <c r="O1977" s="9"/>
      <c r="P1977" s="9"/>
      <c r="Q1977" s="9"/>
      <c r="R1977" s="9"/>
      <c r="S1977" s="10">
        <f t="shared" si="544"/>
        <v>0</v>
      </c>
    </row>
    <row r="1978" spans="2:19" customFormat="1" hidden="1" outlineLevel="1">
      <c r="B1978" s="13" t="s">
        <v>138</v>
      </c>
      <c r="C1978" s="7" t="str">
        <f t="shared" si="542"/>
        <v>ESPARGIDOR VW 13190 ANO 2014 PLACA OYR-9B52</v>
      </c>
      <c r="D1978" s="8">
        <f t="shared" si="541"/>
        <v>46085</v>
      </c>
      <c r="E1978" s="15"/>
      <c r="F1978" s="15"/>
      <c r="G1978" s="15">
        <f t="shared" si="543"/>
        <v>0</v>
      </c>
      <c r="H1978" s="16" t="s">
        <v>6</v>
      </c>
      <c r="I1978" s="10">
        <f t="shared" si="545"/>
        <v>0</v>
      </c>
      <c r="J1978" s="16" t="s">
        <v>201</v>
      </c>
      <c r="K1978" s="15"/>
      <c r="L1978" s="15"/>
      <c r="M1978" s="17"/>
      <c r="N1978" s="8"/>
      <c r="O1978" s="9"/>
      <c r="P1978" s="9"/>
      <c r="Q1978" s="9"/>
      <c r="R1978" s="9"/>
      <c r="S1978" s="10">
        <f t="shared" si="544"/>
        <v>0</v>
      </c>
    </row>
    <row r="1979" spans="2:19" customFormat="1" hidden="1" outlineLevel="1">
      <c r="B1979" s="13" t="s">
        <v>138</v>
      </c>
      <c r="C1979" s="7" t="str">
        <f t="shared" si="542"/>
        <v>ESPARGIDOR VW 13190 ANO 2014 PLACA OYR-9B52</v>
      </c>
      <c r="D1979" s="8">
        <f t="shared" si="541"/>
        <v>46086</v>
      </c>
      <c r="E1979" s="15"/>
      <c r="F1979" s="15"/>
      <c r="G1979" s="15">
        <f t="shared" si="543"/>
        <v>0</v>
      </c>
      <c r="H1979" s="16" t="s">
        <v>6</v>
      </c>
      <c r="I1979" s="10">
        <f t="shared" si="545"/>
        <v>0</v>
      </c>
      <c r="J1979" s="16" t="s">
        <v>201</v>
      </c>
      <c r="K1979" s="15"/>
      <c r="L1979" s="15"/>
      <c r="M1979" s="17"/>
      <c r="N1979" s="8"/>
      <c r="O1979" s="9"/>
      <c r="P1979" s="9"/>
      <c r="Q1979" s="9"/>
      <c r="R1979" s="9"/>
      <c r="S1979" s="10">
        <f t="shared" si="544"/>
        <v>0</v>
      </c>
    </row>
    <row r="1980" spans="2:19" customFormat="1" hidden="1" outlineLevel="1">
      <c r="B1980" s="13" t="s">
        <v>138</v>
      </c>
      <c r="C1980" s="7" t="str">
        <f t="shared" si="542"/>
        <v>ESPARGIDOR VW 13190 ANO 2014 PLACA OYR-9B52</v>
      </c>
      <c r="D1980" s="8">
        <f t="shared" si="541"/>
        <v>46087</v>
      </c>
      <c r="E1980" s="15"/>
      <c r="F1980" s="15"/>
      <c r="G1980" s="15">
        <f t="shared" si="543"/>
        <v>0</v>
      </c>
      <c r="H1980" s="16" t="s">
        <v>6</v>
      </c>
      <c r="I1980" s="10">
        <f t="shared" si="545"/>
        <v>0</v>
      </c>
      <c r="J1980" s="16" t="s">
        <v>201</v>
      </c>
      <c r="K1980" s="15"/>
      <c r="L1980" s="15"/>
      <c r="M1980" s="17"/>
      <c r="N1980" s="8"/>
      <c r="O1980" s="9"/>
      <c r="P1980" s="9"/>
      <c r="Q1980" s="9"/>
      <c r="R1980" s="9"/>
      <c r="S1980" s="10">
        <f t="shared" si="544"/>
        <v>0</v>
      </c>
    </row>
    <row r="1981" spans="2:19" customFormat="1" hidden="1" outlineLevel="1">
      <c r="B1981" s="13" t="s">
        <v>138</v>
      </c>
      <c r="C1981" s="7" t="str">
        <f t="shared" si="542"/>
        <v>ESPARGIDOR VW 13190 ANO 2014 PLACA OYR-9B52</v>
      </c>
      <c r="D1981" s="8">
        <f t="shared" si="541"/>
        <v>46088</v>
      </c>
      <c r="E1981" s="15"/>
      <c r="F1981" s="15"/>
      <c r="G1981" s="15">
        <f t="shared" si="543"/>
        <v>0</v>
      </c>
      <c r="H1981" s="16" t="s">
        <v>6</v>
      </c>
      <c r="I1981" s="10">
        <f t="shared" si="545"/>
        <v>0</v>
      </c>
      <c r="J1981" s="16" t="s">
        <v>201</v>
      </c>
      <c r="K1981" s="15"/>
      <c r="L1981" s="15"/>
      <c r="M1981" s="17"/>
      <c r="N1981" s="8"/>
      <c r="O1981" s="18"/>
      <c r="P1981" s="9"/>
      <c r="Q1981" s="9"/>
      <c r="R1981" s="9"/>
      <c r="S1981" s="10">
        <f t="shared" si="544"/>
        <v>0</v>
      </c>
    </row>
    <row r="1982" spans="2:19" customFormat="1" hidden="1" outlineLevel="1">
      <c r="B1982" s="13" t="s">
        <v>138</v>
      </c>
      <c r="C1982" s="7" t="str">
        <f t="shared" si="542"/>
        <v>ESPARGIDOR VW 13190 ANO 2014 PLACA OYR-9B52</v>
      </c>
      <c r="D1982" s="8">
        <f t="shared" si="541"/>
        <v>46089</v>
      </c>
      <c r="E1982" s="15"/>
      <c r="F1982" s="15"/>
      <c r="G1982" s="15">
        <f t="shared" si="543"/>
        <v>0</v>
      </c>
      <c r="H1982" s="16" t="s">
        <v>6</v>
      </c>
      <c r="I1982" s="10">
        <f t="shared" si="545"/>
        <v>0</v>
      </c>
      <c r="J1982" s="16" t="s">
        <v>201</v>
      </c>
      <c r="K1982" s="15"/>
      <c r="L1982" s="15"/>
      <c r="M1982" s="17"/>
      <c r="N1982" s="8"/>
      <c r="O1982" s="18"/>
      <c r="P1982" s="9"/>
      <c r="Q1982" s="9"/>
      <c r="R1982" s="9"/>
      <c r="S1982" s="10">
        <f t="shared" si="544"/>
        <v>0</v>
      </c>
    </row>
    <row r="1983" spans="2:19" customFormat="1" hidden="1" outlineLevel="1">
      <c r="B1983" s="13" t="s">
        <v>138</v>
      </c>
      <c r="C1983" s="7" t="str">
        <f t="shared" si="542"/>
        <v>ESPARGIDOR VW 13190 ANO 2014 PLACA OYR-9B52</v>
      </c>
      <c r="D1983" s="8">
        <f t="shared" si="541"/>
        <v>46090</v>
      </c>
      <c r="E1983" s="15"/>
      <c r="F1983" s="15"/>
      <c r="G1983" s="15">
        <f t="shared" si="543"/>
        <v>0</v>
      </c>
      <c r="H1983" s="16" t="s">
        <v>6</v>
      </c>
      <c r="I1983" s="10">
        <f t="shared" si="545"/>
        <v>0</v>
      </c>
      <c r="J1983" s="16" t="s">
        <v>201</v>
      </c>
      <c r="K1983" s="15"/>
      <c r="L1983" s="15"/>
      <c r="M1983" s="17"/>
      <c r="N1983" s="8"/>
      <c r="O1983" s="18"/>
      <c r="P1983" s="9"/>
      <c r="Q1983" s="9"/>
      <c r="R1983" s="9"/>
      <c r="S1983" s="10">
        <f t="shared" si="544"/>
        <v>0</v>
      </c>
    </row>
    <row r="1984" spans="2:19" customFormat="1" hidden="1" outlineLevel="1">
      <c r="B1984" s="13" t="s">
        <v>138</v>
      </c>
      <c r="C1984" s="7" t="str">
        <f t="shared" si="542"/>
        <v>ESPARGIDOR VW 13190 ANO 2014 PLACA OYR-9B52</v>
      </c>
      <c r="D1984" s="8">
        <f t="shared" si="541"/>
        <v>46091</v>
      </c>
      <c r="E1984" s="15"/>
      <c r="F1984" s="15"/>
      <c r="G1984" s="15">
        <f t="shared" si="543"/>
        <v>0</v>
      </c>
      <c r="H1984" s="16" t="s">
        <v>6</v>
      </c>
      <c r="I1984" s="10">
        <f t="shared" si="545"/>
        <v>0</v>
      </c>
      <c r="J1984" s="16" t="s">
        <v>201</v>
      </c>
      <c r="K1984" s="15"/>
      <c r="L1984" s="15"/>
      <c r="M1984" s="17"/>
      <c r="N1984" s="8"/>
      <c r="O1984" s="18"/>
      <c r="P1984" s="9"/>
      <c r="Q1984" s="9"/>
      <c r="R1984" s="9"/>
      <c r="S1984" s="10">
        <f t="shared" si="544"/>
        <v>0</v>
      </c>
    </row>
    <row r="1985" spans="2:19" customFormat="1" hidden="1" outlineLevel="1">
      <c r="B1985" s="13" t="s">
        <v>138</v>
      </c>
      <c r="C1985" s="7" t="str">
        <f t="shared" si="542"/>
        <v>ESPARGIDOR VW 13190 ANO 2014 PLACA OYR-9B52</v>
      </c>
      <c r="D1985" s="8">
        <f t="shared" si="541"/>
        <v>46092</v>
      </c>
      <c r="E1985" s="15"/>
      <c r="F1985" s="15"/>
      <c r="G1985" s="15">
        <f t="shared" si="543"/>
        <v>0</v>
      </c>
      <c r="H1985" s="16" t="s">
        <v>6</v>
      </c>
      <c r="I1985" s="10">
        <f t="shared" si="545"/>
        <v>0</v>
      </c>
      <c r="J1985" s="16" t="s">
        <v>201</v>
      </c>
      <c r="K1985" s="15"/>
      <c r="L1985" s="15"/>
      <c r="M1985" s="17"/>
      <c r="N1985" s="8"/>
      <c r="O1985" s="18"/>
      <c r="P1985" s="9"/>
      <c r="Q1985" s="9"/>
      <c r="R1985" s="9"/>
      <c r="S1985" s="10">
        <f t="shared" si="544"/>
        <v>0</v>
      </c>
    </row>
    <row r="1986" spans="2:19" customFormat="1" hidden="1" outlineLevel="1">
      <c r="B1986" s="13" t="s">
        <v>138</v>
      </c>
      <c r="C1986" s="7" t="str">
        <f t="shared" si="542"/>
        <v>ESPARGIDOR VW 13190 ANO 2014 PLACA OYR-9B52</v>
      </c>
      <c r="D1986" s="8">
        <f t="shared" si="541"/>
        <v>46093</v>
      </c>
      <c r="E1986" s="15"/>
      <c r="F1986" s="15"/>
      <c r="G1986" s="15">
        <f t="shared" si="543"/>
        <v>0</v>
      </c>
      <c r="H1986" s="16" t="s">
        <v>6</v>
      </c>
      <c r="I1986" s="10">
        <f t="shared" si="545"/>
        <v>0</v>
      </c>
      <c r="J1986" s="16" t="s">
        <v>201</v>
      </c>
      <c r="K1986" s="15"/>
      <c r="L1986" s="15"/>
      <c r="M1986" s="17"/>
      <c r="N1986" s="8"/>
      <c r="O1986" s="18"/>
      <c r="P1986" s="9"/>
      <c r="Q1986" s="9"/>
      <c r="R1986" s="9"/>
      <c r="S1986" s="10">
        <f t="shared" si="544"/>
        <v>0</v>
      </c>
    </row>
    <row r="1987" spans="2:19" customFormat="1" hidden="1" outlineLevel="1">
      <c r="B1987" s="13" t="s">
        <v>138</v>
      </c>
      <c r="C1987" s="7" t="str">
        <f t="shared" si="542"/>
        <v>ESPARGIDOR VW 13190 ANO 2014 PLACA OYR-9B52</v>
      </c>
      <c r="D1987" s="8">
        <f t="shared" si="541"/>
        <v>46094</v>
      </c>
      <c r="E1987" s="15"/>
      <c r="F1987" s="15"/>
      <c r="G1987" s="15">
        <f t="shared" si="543"/>
        <v>0</v>
      </c>
      <c r="H1987" s="16" t="s">
        <v>6</v>
      </c>
      <c r="I1987" s="10">
        <f t="shared" si="545"/>
        <v>0</v>
      </c>
      <c r="J1987" s="16" t="s">
        <v>201</v>
      </c>
      <c r="K1987" s="15"/>
      <c r="L1987" s="15"/>
      <c r="M1987" s="17"/>
      <c r="N1987" s="8"/>
      <c r="O1987" s="18"/>
      <c r="P1987" s="9"/>
      <c r="Q1987" s="9"/>
      <c r="R1987" s="9"/>
      <c r="S1987" s="10">
        <f t="shared" si="544"/>
        <v>0</v>
      </c>
    </row>
    <row r="1988" spans="2:19" customFormat="1" hidden="1" outlineLevel="1">
      <c r="B1988" s="13" t="s">
        <v>138</v>
      </c>
      <c r="C1988" s="7" t="str">
        <f t="shared" si="542"/>
        <v>ESPARGIDOR VW 13190 ANO 2014 PLACA OYR-9B52</v>
      </c>
      <c r="D1988" s="8">
        <f t="shared" si="541"/>
        <v>46095</v>
      </c>
      <c r="E1988" s="15"/>
      <c r="F1988" s="15"/>
      <c r="G1988" s="15">
        <f t="shared" si="543"/>
        <v>0</v>
      </c>
      <c r="H1988" s="16" t="s">
        <v>6</v>
      </c>
      <c r="I1988" s="10">
        <f t="shared" si="545"/>
        <v>0</v>
      </c>
      <c r="J1988" s="16" t="s">
        <v>201</v>
      </c>
      <c r="K1988" s="15"/>
      <c r="L1988" s="15"/>
      <c r="M1988" s="17"/>
      <c r="N1988" s="8"/>
      <c r="O1988" s="18"/>
      <c r="P1988" s="9"/>
      <c r="Q1988" s="9"/>
      <c r="R1988" s="9"/>
      <c r="S1988" s="10">
        <f t="shared" si="544"/>
        <v>0</v>
      </c>
    </row>
    <row r="1989" spans="2:19" customFormat="1" hidden="1" outlineLevel="1">
      <c r="B1989" s="13" t="s">
        <v>138</v>
      </c>
      <c r="C1989" s="7" t="str">
        <f t="shared" si="542"/>
        <v>ESPARGIDOR VW 13190 ANO 2014 PLACA OYR-9B52</v>
      </c>
      <c r="D1989" s="8">
        <f t="shared" si="541"/>
        <v>46096</v>
      </c>
      <c r="E1989" s="15"/>
      <c r="F1989" s="15"/>
      <c r="G1989" s="15">
        <f t="shared" si="543"/>
        <v>0</v>
      </c>
      <c r="H1989" s="16" t="s">
        <v>6</v>
      </c>
      <c r="I1989" s="10">
        <f t="shared" si="545"/>
        <v>0</v>
      </c>
      <c r="J1989" s="16" t="s">
        <v>201</v>
      </c>
      <c r="K1989" s="15"/>
      <c r="L1989" s="15"/>
      <c r="M1989" s="17"/>
      <c r="N1989" s="8"/>
      <c r="O1989" s="18">
        <f t="shared" ref="O1989:O2002" si="546">O1988</f>
        <v>0</v>
      </c>
      <c r="P1989" s="9"/>
      <c r="Q1989" s="9"/>
      <c r="R1989" s="9"/>
      <c r="S1989" s="10">
        <f t="shared" si="544"/>
        <v>0</v>
      </c>
    </row>
    <row r="1990" spans="2:19" customFormat="1" hidden="1" outlineLevel="1">
      <c r="B1990" s="13" t="s">
        <v>138</v>
      </c>
      <c r="C1990" s="7" t="str">
        <f t="shared" si="542"/>
        <v>ESPARGIDOR VW 13190 ANO 2014 PLACA OYR-9B52</v>
      </c>
      <c r="D1990" s="8">
        <f t="shared" si="541"/>
        <v>46097</v>
      </c>
      <c r="E1990" s="15"/>
      <c r="F1990" s="15"/>
      <c r="G1990" s="15">
        <f t="shared" si="543"/>
        <v>0</v>
      </c>
      <c r="H1990" s="16" t="s">
        <v>6</v>
      </c>
      <c r="I1990" s="10">
        <f t="shared" si="545"/>
        <v>0</v>
      </c>
      <c r="J1990" s="16" t="s">
        <v>201</v>
      </c>
      <c r="K1990" s="15"/>
      <c r="L1990" s="15"/>
      <c r="M1990" s="17"/>
      <c r="N1990" s="8"/>
      <c r="O1990" s="18">
        <f t="shared" si="546"/>
        <v>0</v>
      </c>
      <c r="P1990" s="9"/>
      <c r="Q1990" s="9"/>
      <c r="R1990" s="9"/>
      <c r="S1990" s="10">
        <f t="shared" si="544"/>
        <v>0</v>
      </c>
    </row>
    <row r="1991" spans="2:19" customFormat="1" hidden="1" outlineLevel="1">
      <c r="B1991" s="13" t="s">
        <v>138</v>
      </c>
      <c r="C1991" s="7" t="str">
        <f t="shared" si="542"/>
        <v>ESPARGIDOR VW 13190 ANO 2014 PLACA OYR-9B52</v>
      </c>
      <c r="D1991" s="8">
        <f t="shared" si="541"/>
        <v>46098</v>
      </c>
      <c r="E1991" s="15"/>
      <c r="F1991" s="15"/>
      <c r="G1991" s="15">
        <f t="shared" si="543"/>
        <v>0</v>
      </c>
      <c r="H1991" s="16" t="s">
        <v>6</v>
      </c>
      <c r="I1991" s="10">
        <f t="shared" si="545"/>
        <v>0</v>
      </c>
      <c r="J1991" s="16" t="s">
        <v>201</v>
      </c>
      <c r="K1991" s="15"/>
      <c r="L1991" s="15"/>
      <c r="M1991" s="17"/>
      <c r="N1991" s="8"/>
      <c r="O1991" s="18">
        <f t="shared" si="546"/>
        <v>0</v>
      </c>
      <c r="P1991" s="9"/>
      <c r="Q1991" s="9"/>
      <c r="R1991" s="9"/>
      <c r="S1991" s="10">
        <f t="shared" si="544"/>
        <v>0</v>
      </c>
    </row>
    <row r="1992" spans="2:19" customFormat="1" hidden="1" outlineLevel="1">
      <c r="B1992" s="13" t="s">
        <v>138</v>
      </c>
      <c r="C1992" s="7" t="str">
        <f t="shared" si="542"/>
        <v>ESPARGIDOR VW 13190 ANO 2014 PLACA OYR-9B52</v>
      </c>
      <c r="D1992" s="8">
        <f t="shared" si="541"/>
        <v>46099</v>
      </c>
      <c r="E1992" s="15"/>
      <c r="F1992" s="15"/>
      <c r="G1992" s="15">
        <f t="shared" si="543"/>
        <v>0</v>
      </c>
      <c r="H1992" s="16" t="s">
        <v>6</v>
      </c>
      <c r="I1992" s="10">
        <f t="shared" si="545"/>
        <v>0</v>
      </c>
      <c r="J1992" s="16" t="s">
        <v>201</v>
      </c>
      <c r="K1992" s="15"/>
      <c r="L1992" s="15"/>
      <c r="M1992" s="17"/>
      <c r="N1992" s="8"/>
      <c r="O1992" s="18">
        <f t="shared" si="546"/>
        <v>0</v>
      </c>
      <c r="P1992" s="9"/>
      <c r="Q1992" s="9"/>
      <c r="R1992" s="9"/>
      <c r="S1992" s="10">
        <f t="shared" si="544"/>
        <v>0</v>
      </c>
    </row>
    <row r="1993" spans="2:19" customFormat="1" hidden="1" outlineLevel="1">
      <c r="B1993" s="13" t="s">
        <v>138</v>
      </c>
      <c r="C1993" s="7" t="str">
        <f t="shared" si="542"/>
        <v>ESPARGIDOR VW 13190 ANO 2014 PLACA OYR-9B52</v>
      </c>
      <c r="D1993" s="8">
        <f t="shared" si="541"/>
        <v>46100</v>
      </c>
      <c r="E1993" s="15"/>
      <c r="F1993" s="15"/>
      <c r="G1993" s="15">
        <f t="shared" si="543"/>
        <v>0</v>
      </c>
      <c r="H1993" s="16" t="s">
        <v>6</v>
      </c>
      <c r="I1993" s="10">
        <f t="shared" si="545"/>
        <v>0</v>
      </c>
      <c r="J1993" s="16" t="s">
        <v>201</v>
      </c>
      <c r="K1993" s="15"/>
      <c r="L1993" s="15"/>
      <c r="M1993" s="17"/>
      <c r="N1993" s="8"/>
      <c r="O1993" s="18">
        <f t="shared" si="546"/>
        <v>0</v>
      </c>
      <c r="P1993" s="9"/>
      <c r="Q1993" s="9"/>
      <c r="R1993" s="9"/>
      <c r="S1993" s="10">
        <f t="shared" si="544"/>
        <v>0</v>
      </c>
    </row>
    <row r="1994" spans="2:19" customFormat="1" hidden="1" outlineLevel="1">
      <c r="B1994" s="13" t="s">
        <v>138</v>
      </c>
      <c r="C1994" s="7" t="str">
        <f t="shared" si="542"/>
        <v>ESPARGIDOR VW 13190 ANO 2014 PLACA OYR-9B52</v>
      </c>
      <c r="D1994" s="8">
        <f t="shared" si="541"/>
        <v>46101</v>
      </c>
      <c r="E1994" s="15"/>
      <c r="F1994" s="15"/>
      <c r="G1994" s="15">
        <f t="shared" si="543"/>
        <v>0</v>
      </c>
      <c r="H1994" s="16" t="s">
        <v>6</v>
      </c>
      <c r="I1994" s="10">
        <f t="shared" si="545"/>
        <v>0</v>
      </c>
      <c r="J1994" s="16" t="s">
        <v>201</v>
      </c>
      <c r="K1994" s="15"/>
      <c r="L1994" s="15"/>
      <c r="M1994" s="17"/>
      <c r="N1994" s="8"/>
      <c r="O1994" s="18">
        <f t="shared" si="546"/>
        <v>0</v>
      </c>
      <c r="P1994" s="9"/>
      <c r="Q1994" s="9"/>
      <c r="R1994" s="9"/>
      <c r="S1994" s="10">
        <f t="shared" si="544"/>
        <v>0</v>
      </c>
    </row>
    <row r="1995" spans="2:19" customFormat="1" hidden="1" outlineLevel="1">
      <c r="B1995" s="13" t="s">
        <v>138</v>
      </c>
      <c r="C1995" s="7" t="str">
        <f t="shared" si="542"/>
        <v>ESPARGIDOR VW 13190 ANO 2014 PLACA OYR-9B52</v>
      </c>
      <c r="D1995" s="8">
        <f t="shared" si="541"/>
        <v>46102</v>
      </c>
      <c r="E1995" s="15"/>
      <c r="F1995" s="15"/>
      <c r="G1995" s="15">
        <f t="shared" si="543"/>
        <v>0</v>
      </c>
      <c r="H1995" s="16" t="s">
        <v>6</v>
      </c>
      <c r="I1995" s="10">
        <f t="shared" si="545"/>
        <v>0</v>
      </c>
      <c r="J1995" s="16" t="s">
        <v>201</v>
      </c>
      <c r="K1995" s="15"/>
      <c r="L1995" s="15"/>
      <c r="M1995" s="17"/>
      <c r="N1995" s="8"/>
      <c r="O1995" s="18">
        <f t="shared" si="546"/>
        <v>0</v>
      </c>
      <c r="P1995" s="9"/>
      <c r="Q1995" s="9"/>
      <c r="R1995" s="9"/>
      <c r="S1995" s="10">
        <f t="shared" si="544"/>
        <v>0</v>
      </c>
    </row>
    <row r="1996" spans="2:19" customFormat="1" hidden="1" outlineLevel="1">
      <c r="B1996" s="13" t="s">
        <v>138</v>
      </c>
      <c r="C1996" s="7" t="str">
        <f t="shared" si="542"/>
        <v>ESPARGIDOR VW 13190 ANO 2014 PLACA OYR-9B52</v>
      </c>
      <c r="D1996" s="8">
        <f t="shared" si="541"/>
        <v>46103</v>
      </c>
      <c r="E1996" s="15"/>
      <c r="F1996" s="15"/>
      <c r="G1996" s="15">
        <f t="shared" si="543"/>
        <v>0</v>
      </c>
      <c r="H1996" s="16" t="s">
        <v>6</v>
      </c>
      <c r="I1996" s="10">
        <f t="shared" si="545"/>
        <v>0</v>
      </c>
      <c r="J1996" s="16" t="s">
        <v>201</v>
      </c>
      <c r="K1996" s="15"/>
      <c r="L1996" s="15"/>
      <c r="M1996" s="17"/>
      <c r="N1996" s="8"/>
      <c r="O1996" s="18">
        <f t="shared" si="546"/>
        <v>0</v>
      </c>
      <c r="P1996" s="9"/>
      <c r="Q1996" s="9"/>
      <c r="R1996" s="9"/>
      <c r="S1996" s="10">
        <f t="shared" si="544"/>
        <v>0</v>
      </c>
    </row>
    <row r="1997" spans="2:19" customFormat="1" hidden="1" outlineLevel="1">
      <c r="B1997" s="13" t="s">
        <v>138</v>
      </c>
      <c r="C1997" s="7" t="str">
        <f t="shared" si="542"/>
        <v>ESPARGIDOR VW 13190 ANO 2014 PLACA OYR-9B52</v>
      </c>
      <c r="D1997" s="8">
        <f t="shared" si="541"/>
        <v>46104</v>
      </c>
      <c r="E1997" s="15"/>
      <c r="F1997" s="15"/>
      <c r="G1997" s="15">
        <f t="shared" si="543"/>
        <v>0</v>
      </c>
      <c r="H1997" s="16" t="s">
        <v>6</v>
      </c>
      <c r="I1997" s="10">
        <f t="shared" si="545"/>
        <v>0</v>
      </c>
      <c r="J1997" s="16" t="s">
        <v>201</v>
      </c>
      <c r="K1997" s="15"/>
      <c r="L1997" s="15"/>
      <c r="M1997" s="17"/>
      <c r="N1997" s="8"/>
      <c r="O1997" s="18">
        <f t="shared" si="546"/>
        <v>0</v>
      </c>
      <c r="P1997" s="9"/>
      <c r="Q1997" s="9"/>
      <c r="R1997" s="9"/>
      <c r="S1997" s="10">
        <f t="shared" si="544"/>
        <v>0</v>
      </c>
    </row>
    <row r="1998" spans="2:19" customFormat="1" hidden="1" outlineLevel="1">
      <c r="B1998" s="13" t="s">
        <v>138</v>
      </c>
      <c r="C1998" s="7" t="str">
        <f t="shared" si="542"/>
        <v>ESPARGIDOR VW 13190 ANO 2014 PLACA OYR-9B52</v>
      </c>
      <c r="D1998" s="8">
        <f t="shared" si="541"/>
        <v>46105</v>
      </c>
      <c r="E1998" s="15"/>
      <c r="F1998" s="15"/>
      <c r="G1998" s="15">
        <f t="shared" si="543"/>
        <v>0</v>
      </c>
      <c r="H1998" s="16" t="s">
        <v>6</v>
      </c>
      <c r="I1998" s="10">
        <f t="shared" si="545"/>
        <v>0</v>
      </c>
      <c r="J1998" s="16" t="s">
        <v>201</v>
      </c>
      <c r="K1998" s="15"/>
      <c r="L1998" s="15"/>
      <c r="M1998" s="17"/>
      <c r="N1998" s="8"/>
      <c r="O1998" s="18">
        <f t="shared" si="546"/>
        <v>0</v>
      </c>
      <c r="P1998" s="9"/>
      <c r="Q1998" s="9"/>
      <c r="R1998" s="9"/>
      <c r="S1998" s="10">
        <f t="shared" si="544"/>
        <v>0</v>
      </c>
    </row>
    <row r="1999" spans="2:19" customFormat="1" hidden="1" outlineLevel="1">
      <c r="B1999" s="13" t="s">
        <v>138</v>
      </c>
      <c r="C1999" s="7" t="str">
        <f t="shared" si="542"/>
        <v>ESPARGIDOR VW 13190 ANO 2014 PLACA OYR-9B52</v>
      </c>
      <c r="D1999" s="8">
        <f t="shared" si="541"/>
        <v>46106</v>
      </c>
      <c r="E1999" s="15"/>
      <c r="F1999" s="15"/>
      <c r="G1999" s="15">
        <f t="shared" si="543"/>
        <v>0</v>
      </c>
      <c r="H1999" s="16" t="s">
        <v>6</v>
      </c>
      <c r="I1999" s="10">
        <f t="shared" si="545"/>
        <v>0</v>
      </c>
      <c r="J1999" s="16" t="s">
        <v>201</v>
      </c>
      <c r="K1999" s="15"/>
      <c r="L1999" s="15"/>
      <c r="M1999" s="17"/>
      <c r="N1999" s="8"/>
      <c r="O1999" s="18">
        <f t="shared" si="546"/>
        <v>0</v>
      </c>
      <c r="P1999" s="9"/>
      <c r="Q1999" s="9"/>
      <c r="R1999" s="9"/>
      <c r="S1999" s="10">
        <f t="shared" si="544"/>
        <v>0</v>
      </c>
    </row>
    <row r="2000" spans="2:19" customFormat="1" hidden="1" outlineLevel="1">
      <c r="B2000" s="13" t="s">
        <v>138</v>
      </c>
      <c r="C2000" s="7" t="str">
        <f t="shared" si="542"/>
        <v>ESPARGIDOR VW 13190 ANO 2014 PLACA OYR-9B52</v>
      </c>
      <c r="D2000" s="8">
        <f t="shared" si="541"/>
        <v>46107</v>
      </c>
      <c r="E2000" s="15"/>
      <c r="F2000" s="15"/>
      <c r="G2000" s="15">
        <f t="shared" si="543"/>
        <v>0</v>
      </c>
      <c r="H2000" s="16" t="s">
        <v>6</v>
      </c>
      <c r="I2000" s="10">
        <f t="shared" si="545"/>
        <v>0</v>
      </c>
      <c r="J2000" s="16" t="s">
        <v>201</v>
      </c>
      <c r="K2000" s="15"/>
      <c r="L2000" s="15"/>
      <c r="M2000" s="17"/>
      <c r="N2000" s="8"/>
      <c r="O2000" s="18">
        <f t="shared" si="546"/>
        <v>0</v>
      </c>
      <c r="P2000" s="9"/>
      <c r="Q2000" s="9"/>
      <c r="R2000" s="9"/>
      <c r="S2000" s="10">
        <f t="shared" si="544"/>
        <v>0</v>
      </c>
    </row>
    <row r="2001" spans="2:19" customFormat="1" hidden="1" outlineLevel="1">
      <c r="B2001" s="13" t="s">
        <v>138</v>
      </c>
      <c r="C2001" s="7" t="str">
        <f t="shared" si="542"/>
        <v>ESPARGIDOR VW 13190 ANO 2014 PLACA OYR-9B52</v>
      </c>
      <c r="D2001" s="8">
        <f t="shared" si="541"/>
        <v>46108</v>
      </c>
      <c r="E2001" s="15"/>
      <c r="F2001" s="15"/>
      <c r="G2001" s="15">
        <f t="shared" si="543"/>
        <v>0</v>
      </c>
      <c r="H2001" s="16" t="s">
        <v>6</v>
      </c>
      <c r="I2001" s="10">
        <f t="shared" si="545"/>
        <v>0</v>
      </c>
      <c r="J2001" s="16" t="s">
        <v>201</v>
      </c>
      <c r="K2001" s="15"/>
      <c r="L2001" s="15"/>
      <c r="M2001" s="17"/>
      <c r="N2001" s="8"/>
      <c r="O2001" s="18">
        <f t="shared" si="546"/>
        <v>0</v>
      </c>
      <c r="P2001" s="9"/>
      <c r="Q2001" s="9"/>
      <c r="R2001" s="9"/>
      <c r="S2001" s="10">
        <f t="shared" si="544"/>
        <v>0</v>
      </c>
    </row>
    <row r="2002" spans="2:19" customFormat="1" hidden="1" outlineLevel="1">
      <c r="B2002" s="13" t="s">
        <v>138</v>
      </c>
      <c r="C2002" s="7" t="str">
        <f t="shared" si="542"/>
        <v>ESPARGIDOR VW 13190 ANO 2014 PLACA OYR-9B52</v>
      </c>
      <c r="D2002" s="8">
        <f t="shared" si="541"/>
        <v>46112</v>
      </c>
      <c r="E2002" s="15"/>
      <c r="F2002" s="15"/>
      <c r="G2002" s="15">
        <f t="shared" si="543"/>
        <v>0</v>
      </c>
      <c r="H2002" s="16" t="s">
        <v>6</v>
      </c>
      <c r="I2002" s="10">
        <f t="shared" si="545"/>
        <v>0</v>
      </c>
      <c r="J2002" s="16" t="s">
        <v>201</v>
      </c>
      <c r="K2002" s="15"/>
      <c r="L2002" s="15"/>
      <c r="M2002" s="17"/>
      <c r="N2002" s="8"/>
      <c r="O2002" s="18">
        <f t="shared" si="546"/>
        <v>0</v>
      </c>
      <c r="P2002" s="9"/>
      <c r="Q2002" s="9"/>
      <c r="R2002" s="9"/>
      <c r="S2002" s="10">
        <f t="shared" si="544"/>
        <v>0</v>
      </c>
    </row>
    <row r="2003" spans="2:19" customFormat="1" collapsed="1">
      <c r="B2003" s="13" t="s">
        <v>138</v>
      </c>
      <c r="D2003" s="1"/>
      <c r="E2003" s="2"/>
      <c r="F2003" s="2"/>
      <c r="G2003" s="2"/>
      <c r="K2003" s="2"/>
      <c r="L2003" s="2"/>
      <c r="O2003" s="2"/>
      <c r="P2003" s="2"/>
      <c r="Q2003" s="2"/>
      <c r="R2003" s="2"/>
    </row>
    <row r="2004" spans="2:19" customFormat="1">
      <c r="B2004" s="13" t="s">
        <v>138</v>
      </c>
      <c r="C2004" s="3" t="s">
        <v>141</v>
      </c>
      <c r="D2004" s="3"/>
      <c r="E2004" s="4"/>
      <c r="F2004" s="4"/>
      <c r="G2004" s="4"/>
      <c r="H2004" s="3"/>
      <c r="I2004" s="3"/>
      <c r="J2004" s="3"/>
      <c r="K2004" s="4"/>
      <c r="L2004" s="4"/>
      <c r="M2004" s="135" t="str">
        <f>M$1</f>
        <v>BM JANEIRO 2026</v>
      </c>
      <c r="N2004" s="135"/>
      <c r="O2004" s="135"/>
      <c r="P2004" s="19" t="s">
        <v>10</v>
      </c>
      <c r="Q2004" s="136" t="s">
        <v>260</v>
      </c>
      <c r="R2004" s="136"/>
      <c r="S2004" s="136"/>
    </row>
    <row r="2005" spans="2:19" customFormat="1">
      <c r="B2005" s="14"/>
      <c r="C2005" s="5" t="s">
        <v>1</v>
      </c>
      <c r="D2005" s="5" t="s">
        <v>11</v>
      </c>
      <c r="E2005" s="6" t="s">
        <v>12</v>
      </c>
      <c r="F2005" s="6" t="s">
        <v>13</v>
      </c>
      <c r="G2005" s="6" t="s">
        <v>14</v>
      </c>
      <c r="H2005" s="5" t="s">
        <v>3</v>
      </c>
      <c r="I2005" s="6" t="s">
        <v>15</v>
      </c>
      <c r="J2005" s="6" t="s">
        <v>16</v>
      </c>
      <c r="K2005" s="6" t="s">
        <v>17</v>
      </c>
      <c r="L2005" s="6" t="s">
        <v>18</v>
      </c>
      <c r="M2005" s="5" t="s">
        <v>11</v>
      </c>
      <c r="N2005" s="5" t="s">
        <v>19</v>
      </c>
      <c r="O2005" s="6" t="s">
        <v>2</v>
      </c>
      <c r="P2005" s="6" t="s">
        <v>20</v>
      </c>
      <c r="Q2005" s="6" t="s">
        <v>21</v>
      </c>
      <c r="R2005" s="6" t="s">
        <v>22</v>
      </c>
      <c r="S2005" s="6" t="s">
        <v>23</v>
      </c>
    </row>
    <row r="2006" spans="2:19" customFormat="1" hidden="1" outlineLevel="1">
      <c r="B2006" s="11" t="s">
        <v>140</v>
      </c>
      <c r="C2006" s="7" t="str">
        <f>C$2004</f>
        <v>RETRO ESCAVADEIRA NOVA JOHN DEERE CHASSIS BZ310PAPPDX00311</v>
      </c>
      <c r="D2006" s="8">
        <f t="shared" ref="D2006:D2033" si="547">D1944</f>
        <v>46082</v>
      </c>
      <c r="E2006" s="15"/>
      <c r="F2006" s="15"/>
      <c r="G2006" s="15">
        <f t="shared" ref="G2006:G2009" si="548">F2006-E2006</f>
        <v>0</v>
      </c>
      <c r="H2006" s="16" t="s">
        <v>203</v>
      </c>
      <c r="I2006" s="10">
        <f>P2006</f>
        <v>514.28571428571433</v>
      </c>
      <c r="J2006" s="16" t="s">
        <v>16</v>
      </c>
      <c r="K2006" s="15"/>
      <c r="L2006" s="15"/>
      <c r="M2006" s="17"/>
      <c r="N2006" s="9"/>
      <c r="O2006" s="9">
        <v>14400</v>
      </c>
      <c r="P2006" s="9">
        <f>O2006/28</f>
        <v>514.28571428571433</v>
      </c>
      <c r="Q2006" s="9"/>
      <c r="R2006" s="72"/>
      <c r="S2006" s="10">
        <f>SUM(R2006+Q2006+I2006)</f>
        <v>514.28571428571433</v>
      </c>
    </row>
    <row r="2007" spans="2:19" customFormat="1" hidden="1" outlineLevel="1">
      <c r="B2007" s="12" t="s">
        <v>0</v>
      </c>
      <c r="C2007" s="7" t="str">
        <f t="shared" ref="C2007:C2033" si="549">C$2004</f>
        <v>RETRO ESCAVADEIRA NOVA JOHN DEERE CHASSIS BZ310PAPPDX00311</v>
      </c>
      <c r="D2007" s="8">
        <f t="shared" si="547"/>
        <v>46083</v>
      </c>
      <c r="E2007" s="15">
        <v>2947.1</v>
      </c>
      <c r="F2007" s="15">
        <v>2950</v>
      </c>
      <c r="G2007" s="15">
        <f t="shared" si="548"/>
        <v>2.9000000000000909</v>
      </c>
      <c r="H2007" s="16" t="s">
        <v>203</v>
      </c>
      <c r="I2007" s="10">
        <f>I2006</f>
        <v>514.28571428571433</v>
      </c>
      <c r="J2007" s="16"/>
      <c r="K2007" s="15">
        <v>1</v>
      </c>
      <c r="L2007" s="15"/>
      <c r="M2007" s="17"/>
      <c r="N2007" s="9"/>
      <c r="O2007" s="9"/>
      <c r="P2007" s="9"/>
      <c r="Q2007" s="9"/>
      <c r="R2007" s="72"/>
      <c r="S2007" s="10">
        <f t="shared" ref="S2007:S2033" si="550">SUM(R2007+Q2007+I2007)</f>
        <v>514.28571428571433</v>
      </c>
    </row>
    <row r="2008" spans="2:19" customFormat="1" hidden="1" outlineLevel="1">
      <c r="B2008" s="13" t="s">
        <v>140</v>
      </c>
      <c r="C2008" s="7" t="str">
        <f t="shared" si="549"/>
        <v>RETRO ESCAVADEIRA NOVA JOHN DEERE CHASSIS BZ310PAPPDX00311</v>
      </c>
      <c r="D2008" s="8">
        <f t="shared" si="547"/>
        <v>46084</v>
      </c>
      <c r="E2008" s="15">
        <v>2950</v>
      </c>
      <c r="F2008" s="15">
        <v>2952.4</v>
      </c>
      <c r="G2008" s="15">
        <f t="shared" si="548"/>
        <v>2.4000000000000909</v>
      </c>
      <c r="H2008" s="16" t="s">
        <v>203</v>
      </c>
      <c r="I2008" s="10">
        <f t="shared" ref="I2008:I2033" si="551">I2007</f>
        <v>514.28571428571433</v>
      </c>
      <c r="J2008" s="16"/>
      <c r="K2008" s="15">
        <v>1</v>
      </c>
      <c r="L2008" s="15"/>
      <c r="M2008" s="17"/>
      <c r="N2008" s="9"/>
      <c r="O2008" s="9"/>
      <c r="P2008" s="9"/>
      <c r="Q2008" s="9"/>
      <c r="R2008" s="72"/>
      <c r="S2008" s="10">
        <f t="shared" si="550"/>
        <v>514.28571428571433</v>
      </c>
    </row>
    <row r="2009" spans="2:19" customFormat="1" hidden="1" outlineLevel="1">
      <c r="B2009" s="13" t="s">
        <v>140</v>
      </c>
      <c r="C2009" s="7" t="str">
        <f t="shared" si="549"/>
        <v>RETRO ESCAVADEIRA NOVA JOHN DEERE CHASSIS BZ310PAPPDX00311</v>
      </c>
      <c r="D2009" s="8">
        <f t="shared" si="547"/>
        <v>46085</v>
      </c>
      <c r="E2009" s="15">
        <v>2952.4</v>
      </c>
      <c r="F2009" s="15">
        <v>2953.9</v>
      </c>
      <c r="G2009" s="15">
        <f t="shared" si="548"/>
        <v>1.5</v>
      </c>
      <c r="H2009" s="16" t="s">
        <v>203</v>
      </c>
      <c r="I2009" s="10">
        <f t="shared" si="551"/>
        <v>514.28571428571433</v>
      </c>
      <c r="J2009" s="16"/>
      <c r="K2009" s="15">
        <v>1</v>
      </c>
      <c r="L2009" s="15"/>
      <c r="M2009" s="17"/>
      <c r="N2009" s="9"/>
      <c r="O2009" s="9"/>
      <c r="P2009" s="9"/>
      <c r="Q2009" s="9"/>
      <c r="R2009" s="72"/>
      <c r="S2009" s="10">
        <f t="shared" si="550"/>
        <v>514.28571428571433</v>
      </c>
    </row>
    <row r="2010" spans="2:19" customFormat="1" hidden="1" outlineLevel="1">
      <c r="B2010" s="13" t="s">
        <v>140</v>
      </c>
      <c r="C2010" s="7" t="str">
        <f t="shared" si="549"/>
        <v>RETRO ESCAVADEIRA NOVA JOHN DEERE CHASSIS BZ310PAPPDX00311</v>
      </c>
      <c r="D2010" s="8">
        <f t="shared" si="547"/>
        <v>46086</v>
      </c>
      <c r="E2010" s="15">
        <v>2953.9</v>
      </c>
      <c r="F2010" s="15">
        <v>2954</v>
      </c>
      <c r="G2010" s="15">
        <f t="shared" ref="G2010:G2033" si="552">F2010-E2010</f>
        <v>9.9999999999909051E-2</v>
      </c>
      <c r="H2010" s="16" t="s">
        <v>203</v>
      </c>
      <c r="I2010" s="10">
        <f t="shared" si="551"/>
        <v>514.28571428571433</v>
      </c>
      <c r="J2010" s="16"/>
      <c r="K2010" s="15">
        <v>1</v>
      </c>
      <c r="L2010" s="15"/>
      <c r="M2010" s="17"/>
      <c r="N2010" s="9"/>
      <c r="O2010" s="9"/>
      <c r="P2010" s="9"/>
      <c r="Q2010" s="9"/>
      <c r="R2010" s="72"/>
      <c r="S2010" s="10">
        <f t="shared" si="550"/>
        <v>514.28571428571433</v>
      </c>
    </row>
    <row r="2011" spans="2:19" customFormat="1" hidden="1" outlineLevel="1">
      <c r="B2011" s="13" t="s">
        <v>140</v>
      </c>
      <c r="C2011" s="7" t="str">
        <f t="shared" si="549"/>
        <v>RETRO ESCAVADEIRA NOVA JOHN DEERE CHASSIS BZ310PAPPDX00311</v>
      </c>
      <c r="D2011" s="114">
        <f t="shared" si="547"/>
        <v>46087</v>
      </c>
      <c r="E2011" s="15">
        <v>2954</v>
      </c>
      <c r="F2011" s="15">
        <v>2954</v>
      </c>
      <c r="G2011" s="15">
        <f t="shared" si="552"/>
        <v>0</v>
      </c>
      <c r="H2011" s="16" t="s">
        <v>203</v>
      </c>
      <c r="I2011" s="10">
        <f t="shared" si="551"/>
        <v>514.28571428571433</v>
      </c>
      <c r="J2011" s="16" t="s">
        <v>16</v>
      </c>
      <c r="K2011" s="15"/>
      <c r="L2011" s="15"/>
      <c r="M2011" s="17"/>
      <c r="N2011" s="9"/>
      <c r="O2011" s="18"/>
      <c r="P2011" s="9"/>
      <c r="Q2011" s="9"/>
      <c r="R2011" s="72"/>
      <c r="S2011" s="10">
        <f t="shared" si="550"/>
        <v>514.28571428571433</v>
      </c>
    </row>
    <row r="2012" spans="2:19" customFormat="1" hidden="1" outlineLevel="1">
      <c r="B2012" s="13" t="s">
        <v>140</v>
      </c>
      <c r="C2012" s="7" t="str">
        <f t="shared" si="549"/>
        <v>RETRO ESCAVADEIRA NOVA JOHN DEERE CHASSIS BZ310PAPPDX00311</v>
      </c>
      <c r="D2012" s="8">
        <f t="shared" si="547"/>
        <v>46088</v>
      </c>
      <c r="E2012" s="15"/>
      <c r="F2012" s="15"/>
      <c r="G2012" s="15">
        <f t="shared" si="552"/>
        <v>0</v>
      </c>
      <c r="H2012" s="16" t="s">
        <v>203</v>
      </c>
      <c r="I2012" s="10">
        <f t="shared" si="551"/>
        <v>514.28571428571433</v>
      </c>
      <c r="J2012" s="16" t="s">
        <v>16</v>
      </c>
      <c r="K2012" s="15"/>
      <c r="L2012" s="15"/>
      <c r="M2012" s="17"/>
      <c r="N2012" s="9"/>
      <c r="O2012" s="18"/>
      <c r="P2012" s="9"/>
      <c r="Q2012" s="9"/>
      <c r="R2012" s="72"/>
      <c r="S2012" s="10">
        <f t="shared" si="550"/>
        <v>514.28571428571433</v>
      </c>
    </row>
    <row r="2013" spans="2:19" customFormat="1" hidden="1" outlineLevel="1">
      <c r="B2013" s="13" t="s">
        <v>140</v>
      </c>
      <c r="C2013" s="7" t="str">
        <f t="shared" si="549"/>
        <v>RETRO ESCAVADEIRA NOVA JOHN DEERE CHASSIS BZ310PAPPDX00311</v>
      </c>
      <c r="D2013" s="8">
        <f t="shared" si="547"/>
        <v>46089</v>
      </c>
      <c r="E2013" s="15"/>
      <c r="F2013" s="15"/>
      <c r="G2013" s="15">
        <f t="shared" si="552"/>
        <v>0</v>
      </c>
      <c r="H2013" s="16" t="s">
        <v>203</v>
      </c>
      <c r="I2013" s="10">
        <f t="shared" si="551"/>
        <v>514.28571428571433</v>
      </c>
      <c r="J2013" s="16" t="s">
        <v>16</v>
      </c>
      <c r="K2013" s="15"/>
      <c r="L2013" s="15"/>
      <c r="M2013" s="17"/>
      <c r="N2013" s="9"/>
      <c r="O2013" s="18"/>
      <c r="P2013" s="9"/>
      <c r="Q2013" s="9"/>
      <c r="R2013" s="72"/>
      <c r="S2013" s="10">
        <f t="shared" si="550"/>
        <v>514.28571428571433</v>
      </c>
    </row>
    <row r="2014" spans="2:19" customFormat="1" hidden="1" outlineLevel="1">
      <c r="B2014" s="13" t="s">
        <v>140</v>
      </c>
      <c r="C2014" s="7" t="str">
        <f t="shared" si="549"/>
        <v>RETRO ESCAVADEIRA NOVA JOHN DEERE CHASSIS BZ310PAPPDX00311</v>
      </c>
      <c r="D2014" s="8">
        <f t="shared" si="547"/>
        <v>46090</v>
      </c>
      <c r="E2014" s="15">
        <v>2954</v>
      </c>
      <c r="F2014" s="15">
        <v>2957.6</v>
      </c>
      <c r="G2014" s="15">
        <f t="shared" si="552"/>
        <v>3.5999999999999091</v>
      </c>
      <c r="H2014" s="16" t="s">
        <v>203</v>
      </c>
      <c r="I2014" s="10">
        <f t="shared" si="551"/>
        <v>514.28571428571433</v>
      </c>
      <c r="J2014" s="16"/>
      <c r="K2014" s="15">
        <v>1</v>
      </c>
      <c r="L2014" s="15"/>
      <c r="M2014" s="17"/>
      <c r="N2014" s="9"/>
      <c r="O2014" s="18"/>
      <c r="P2014" s="9"/>
      <c r="Q2014" s="9"/>
      <c r="R2014" s="72"/>
      <c r="S2014" s="10">
        <f t="shared" si="550"/>
        <v>514.28571428571433</v>
      </c>
    </row>
    <row r="2015" spans="2:19" customFormat="1" hidden="1" outlineLevel="1">
      <c r="B2015" s="13" t="s">
        <v>140</v>
      </c>
      <c r="C2015" s="7" t="str">
        <f t="shared" si="549"/>
        <v>RETRO ESCAVADEIRA NOVA JOHN DEERE CHASSIS BZ310PAPPDX00311</v>
      </c>
      <c r="D2015" s="8">
        <f t="shared" si="547"/>
        <v>46091</v>
      </c>
      <c r="E2015" s="15">
        <v>2957.6</v>
      </c>
      <c r="F2015" s="15">
        <v>2960.9</v>
      </c>
      <c r="G2015" s="15">
        <f t="shared" si="552"/>
        <v>3.3000000000001819</v>
      </c>
      <c r="H2015" s="16" t="s">
        <v>203</v>
      </c>
      <c r="I2015" s="10">
        <f t="shared" si="551"/>
        <v>514.28571428571433</v>
      </c>
      <c r="J2015" s="16"/>
      <c r="K2015" s="15">
        <v>1</v>
      </c>
      <c r="L2015" s="15"/>
      <c r="M2015" s="17"/>
      <c r="N2015" s="9"/>
      <c r="O2015" s="18">
        <f t="shared" ref="O2015:O2033" si="553">O2014</f>
        <v>0</v>
      </c>
      <c r="P2015" s="9"/>
      <c r="Q2015" s="9"/>
      <c r="R2015" s="72"/>
      <c r="S2015" s="10">
        <f t="shared" si="550"/>
        <v>514.28571428571433</v>
      </c>
    </row>
    <row r="2016" spans="2:19" customFormat="1" hidden="1" outlineLevel="1">
      <c r="B2016" s="13" t="s">
        <v>140</v>
      </c>
      <c r="C2016" s="7" t="str">
        <f t="shared" si="549"/>
        <v>RETRO ESCAVADEIRA NOVA JOHN DEERE CHASSIS BZ310PAPPDX00311</v>
      </c>
      <c r="D2016" s="8">
        <f t="shared" si="547"/>
        <v>46092</v>
      </c>
      <c r="E2016" s="15"/>
      <c r="F2016" s="15"/>
      <c r="G2016" s="15">
        <f t="shared" si="552"/>
        <v>0</v>
      </c>
      <c r="H2016" s="16" t="s">
        <v>203</v>
      </c>
      <c r="I2016" s="10">
        <f t="shared" si="551"/>
        <v>514.28571428571433</v>
      </c>
      <c r="J2016" s="16" t="s">
        <v>16</v>
      </c>
      <c r="K2016" s="15"/>
      <c r="L2016" s="15"/>
      <c r="M2016" s="17"/>
      <c r="N2016" s="9"/>
      <c r="O2016" s="18">
        <f t="shared" si="553"/>
        <v>0</v>
      </c>
      <c r="P2016" s="9"/>
      <c r="Q2016" s="9"/>
      <c r="R2016" s="72"/>
      <c r="S2016" s="10">
        <f t="shared" si="550"/>
        <v>514.28571428571433</v>
      </c>
    </row>
    <row r="2017" spans="2:19" customFormat="1" hidden="1" outlineLevel="1">
      <c r="B2017" s="13" t="s">
        <v>140</v>
      </c>
      <c r="C2017" s="7" t="str">
        <f t="shared" si="549"/>
        <v>RETRO ESCAVADEIRA NOVA JOHN DEERE CHASSIS BZ310PAPPDX00311</v>
      </c>
      <c r="D2017" s="8">
        <f t="shared" si="547"/>
        <v>46093</v>
      </c>
      <c r="E2017" s="15">
        <v>2960.9</v>
      </c>
      <c r="F2017" s="15">
        <v>2963.2</v>
      </c>
      <c r="G2017" s="15">
        <f t="shared" si="552"/>
        <v>2.2999999999997272</v>
      </c>
      <c r="H2017" s="16" t="s">
        <v>203</v>
      </c>
      <c r="I2017" s="10">
        <f t="shared" si="551"/>
        <v>514.28571428571433</v>
      </c>
      <c r="J2017" s="16"/>
      <c r="K2017" s="15">
        <v>1</v>
      </c>
      <c r="L2017" s="15"/>
      <c r="M2017" s="17"/>
      <c r="N2017" s="9"/>
      <c r="O2017" s="18">
        <f t="shared" si="553"/>
        <v>0</v>
      </c>
      <c r="P2017" s="9"/>
      <c r="Q2017" s="9"/>
      <c r="R2017" s="72"/>
      <c r="S2017" s="10">
        <f t="shared" si="550"/>
        <v>514.28571428571433</v>
      </c>
    </row>
    <row r="2018" spans="2:19" customFormat="1" hidden="1" outlineLevel="1">
      <c r="B2018" s="13" t="s">
        <v>140</v>
      </c>
      <c r="C2018" s="7" t="str">
        <f t="shared" si="549"/>
        <v>RETRO ESCAVADEIRA NOVA JOHN DEERE CHASSIS BZ310PAPPDX00311</v>
      </c>
      <c r="D2018" s="8">
        <f t="shared" si="547"/>
        <v>46094</v>
      </c>
      <c r="E2018" s="15">
        <v>2963.2</v>
      </c>
      <c r="F2018" s="15">
        <v>2966.9</v>
      </c>
      <c r="G2018" s="15">
        <f t="shared" si="552"/>
        <v>3.7000000000002728</v>
      </c>
      <c r="H2018" s="16" t="s">
        <v>203</v>
      </c>
      <c r="I2018" s="10">
        <f t="shared" si="551"/>
        <v>514.28571428571433</v>
      </c>
      <c r="J2018" s="16"/>
      <c r="K2018" s="15">
        <v>1</v>
      </c>
      <c r="L2018" s="15"/>
      <c r="M2018" s="17"/>
      <c r="N2018" s="9"/>
      <c r="O2018" s="18">
        <f t="shared" si="553"/>
        <v>0</v>
      </c>
      <c r="P2018" s="9"/>
      <c r="Q2018" s="9"/>
      <c r="R2018" s="72"/>
      <c r="S2018" s="10">
        <f t="shared" si="550"/>
        <v>514.28571428571433</v>
      </c>
    </row>
    <row r="2019" spans="2:19" customFormat="1" hidden="1" outlineLevel="1">
      <c r="B2019" s="13" t="s">
        <v>140</v>
      </c>
      <c r="C2019" s="7" t="str">
        <f t="shared" si="549"/>
        <v>RETRO ESCAVADEIRA NOVA JOHN DEERE CHASSIS BZ310PAPPDX00311</v>
      </c>
      <c r="D2019" s="8">
        <f t="shared" si="547"/>
        <v>46095</v>
      </c>
      <c r="E2019" s="15"/>
      <c r="F2019" s="15"/>
      <c r="G2019" s="15">
        <f t="shared" si="552"/>
        <v>0</v>
      </c>
      <c r="H2019" s="16" t="s">
        <v>203</v>
      </c>
      <c r="I2019" s="10">
        <f t="shared" si="551"/>
        <v>514.28571428571433</v>
      </c>
      <c r="J2019" s="16" t="s">
        <v>16</v>
      </c>
      <c r="K2019" s="15"/>
      <c r="L2019" s="15"/>
      <c r="M2019" s="17"/>
      <c r="N2019" s="9"/>
      <c r="O2019" s="18">
        <f t="shared" si="553"/>
        <v>0</v>
      </c>
      <c r="P2019" s="9"/>
      <c r="Q2019" s="9"/>
      <c r="R2019" s="72"/>
      <c r="S2019" s="10">
        <f t="shared" si="550"/>
        <v>514.28571428571433</v>
      </c>
    </row>
    <row r="2020" spans="2:19" customFormat="1" hidden="1" outlineLevel="1">
      <c r="B2020" s="13" t="s">
        <v>140</v>
      </c>
      <c r="C2020" s="7" t="str">
        <f t="shared" si="549"/>
        <v>RETRO ESCAVADEIRA NOVA JOHN DEERE CHASSIS BZ310PAPPDX00311</v>
      </c>
      <c r="D2020" s="8">
        <f t="shared" si="547"/>
        <v>46096</v>
      </c>
      <c r="E2020" s="15"/>
      <c r="F2020" s="15"/>
      <c r="G2020" s="15">
        <f t="shared" si="552"/>
        <v>0</v>
      </c>
      <c r="H2020" s="16" t="s">
        <v>203</v>
      </c>
      <c r="I2020" s="10">
        <f t="shared" si="551"/>
        <v>514.28571428571433</v>
      </c>
      <c r="J2020" s="16" t="s">
        <v>16</v>
      </c>
      <c r="K2020" s="15"/>
      <c r="L2020" s="15"/>
      <c r="M2020" s="17"/>
      <c r="N2020" s="9"/>
      <c r="O2020" s="18">
        <f t="shared" si="553"/>
        <v>0</v>
      </c>
      <c r="P2020" s="9"/>
      <c r="Q2020" s="9"/>
      <c r="R2020" s="72"/>
      <c r="S2020" s="10">
        <f t="shared" si="550"/>
        <v>514.28571428571433</v>
      </c>
    </row>
    <row r="2021" spans="2:19" customFormat="1" hidden="1" outlineLevel="1">
      <c r="B2021" s="13" t="s">
        <v>140</v>
      </c>
      <c r="C2021" s="7" t="str">
        <f t="shared" si="549"/>
        <v>RETRO ESCAVADEIRA NOVA JOHN DEERE CHASSIS BZ310PAPPDX00311</v>
      </c>
      <c r="D2021" s="8">
        <f t="shared" si="547"/>
        <v>46097</v>
      </c>
      <c r="E2021" s="15"/>
      <c r="F2021" s="15"/>
      <c r="G2021" s="15">
        <f t="shared" si="552"/>
        <v>0</v>
      </c>
      <c r="H2021" s="16" t="s">
        <v>203</v>
      </c>
      <c r="I2021" s="10">
        <f t="shared" si="551"/>
        <v>514.28571428571433</v>
      </c>
      <c r="J2021" s="16" t="s">
        <v>16</v>
      </c>
      <c r="K2021" s="15"/>
      <c r="L2021" s="15"/>
      <c r="M2021" s="17"/>
      <c r="N2021" s="9"/>
      <c r="O2021" s="18">
        <f t="shared" si="553"/>
        <v>0</v>
      </c>
      <c r="P2021" s="9"/>
      <c r="Q2021" s="9"/>
      <c r="R2021" s="72"/>
      <c r="S2021" s="10">
        <f t="shared" si="550"/>
        <v>514.28571428571433</v>
      </c>
    </row>
    <row r="2022" spans="2:19" customFormat="1" hidden="1" outlineLevel="1">
      <c r="B2022" s="13" t="s">
        <v>140</v>
      </c>
      <c r="C2022" s="7" t="str">
        <f t="shared" si="549"/>
        <v>RETRO ESCAVADEIRA NOVA JOHN DEERE CHASSIS BZ310PAPPDX00311</v>
      </c>
      <c r="D2022" s="8">
        <f t="shared" si="547"/>
        <v>46098</v>
      </c>
      <c r="E2022" s="15"/>
      <c r="F2022" s="15"/>
      <c r="G2022" s="15">
        <f t="shared" si="552"/>
        <v>0</v>
      </c>
      <c r="H2022" s="16" t="s">
        <v>203</v>
      </c>
      <c r="I2022" s="10">
        <f t="shared" si="551"/>
        <v>514.28571428571433</v>
      </c>
      <c r="J2022" s="16" t="s">
        <v>16</v>
      </c>
      <c r="K2022" s="15"/>
      <c r="L2022" s="15"/>
      <c r="M2022" s="17"/>
      <c r="N2022" s="9"/>
      <c r="O2022" s="18">
        <f t="shared" si="553"/>
        <v>0</v>
      </c>
      <c r="P2022" s="9"/>
      <c r="Q2022" s="9"/>
      <c r="R2022" s="72"/>
      <c r="S2022" s="10">
        <f t="shared" si="550"/>
        <v>514.28571428571433</v>
      </c>
    </row>
    <row r="2023" spans="2:19" customFormat="1" hidden="1" outlineLevel="1">
      <c r="B2023" s="13" t="s">
        <v>140</v>
      </c>
      <c r="C2023" s="7" t="str">
        <f t="shared" si="549"/>
        <v>RETRO ESCAVADEIRA NOVA JOHN DEERE CHASSIS BZ310PAPPDX00311</v>
      </c>
      <c r="D2023" s="8">
        <f t="shared" si="547"/>
        <v>46099</v>
      </c>
      <c r="E2023" s="15"/>
      <c r="F2023" s="15"/>
      <c r="G2023" s="15">
        <f t="shared" si="552"/>
        <v>0</v>
      </c>
      <c r="H2023" s="16" t="s">
        <v>203</v>
      </c>
      <c r="I2023" s="10">
        <f t="shared" si="551"/>
        <v>514.28571428571433</v>
      </c>
      <c r="J2023" s="16" t="s">
        <v>16</v>
      </c>
      <c r="K2023" s="15"/>
      <c r="L2023" s="15"/>
      <c r="M2023" s="17"/>
      <c r="N2023" s="9"/>
      <c r="O2023" s="18">
        <f t="shared" si="553"/>
        <v>0</v>
      </c>
      <c r="P2023" s="9"/>
      <c r="Q2023" s="9"/>
      <c r="R2023" s="72"/>
      <c r="S2023" s="10">
        <f t="shared" si="550"/>
        <v>514.28571428571433</v>
      </c>
    </row>
    <row r="2024" spans="2:19" customFormat="1" hidden="1" outlineLevel="1">
      <c r="B2024" s="13" t="s">
        <v>140</v>
      </c>
      <c r="C2024" s="7" t="str">
        <f t="shared" si="549"/>
        <v>RETRO ESCAVADEIRA NOVA JOHN DEERE CHASSIS BZ310PAPPDX00311</v>
      </c>
      <c r="D2024" s="8">
        <f t="shared" si="547"/>
        <v>46100</v>
      </c>
      <c r="E2024" s="15"/>
      <c r="F2024" s="15"/>
      <c r="G2024" s="15">
        <f t="shared" si="552"/>
        <v>0</v>
      </c>
      <c r="H2024" s="16" t="s">
        <v>203</v>
      </c>
      <c r="I2024" s="10">
        <f t="shared" si="551"/>
        <v>514.28571428571433</v>
      </c>
      <c r="J2024" s="16" t="s">
        <v>16</v>
      </c>
      <c r="K2024" s="15"/>
      <c r="L2024" s="15"/>
      <c r="M2024" s="17"/>
      <c r="N2024" s="9"/>
      <c r="O2024" s="18">
        <f t="shared" si="553"/>
        <v>0</v>
      </c>
      <c r="P2024" s="9"/>
      <c r="Q2024" s="9"/>
      <c r="R2024" s="72"/>
      <c r="S2024" s="10">
        <f t="shared" si="550"/>
        <v>514.28571428571433</v>
      </c>
    </row>
    <row r="2025" spans="2:19" customFormat="1" hidden="1" outlineLevel="1">
      <c r="B2025" s="13" t="s">
        <v>140</v>
      </c>
      <c r="C2025" s="7" t="str">
        <f t="shared" si="549"/>
        <v>RETRO ESCAVADEIRA NOVA JOHN DEERE CHASSIS BZ310PAPPDX00311</v>
      </c>
      <c r="D2025" s="8">
        <f t="shared" si="547"/>
        <v>46101</v>
      </c>
      <c r="E2025" s="15">
        <v>2966.9</v>
      </c>
      <c r="F2025" s="15">
        <v>2973.7</v>
      </c>
      <c r="G2025" s="15">
        <f t="shared" si="552"/>
        <v>6.7999999999997272</v>
      </c>
      <c r="H2025" s="16" t="s">
        <v>203</v>
      </c>
      <c r="I2025" s="10">
        <f t="shared" si="551"/>
        <v>514.28571428571433</v>
      </c>
      <c r="J2025" s="16"/>
      <c r="K2025" s="15">
        <v>1</v>
      </c>
      <c r="L2025" s="15"/>
      <c r="M2025" s="17"/>
      <c r="N2025" s="9"/>
      <c r="O2025" s="18">
        <f t="shared" si="553"/>
        <v>0</v>
      </c>
      <c r="P2025" s="9"/>
      <c r="Q2025" s="9"/>
      <c r="R2025" s="72"/>
      <c r="S2025" s="10">
        <f t="shared" si="550"/>
        <v>514.28571428571433</v>
      </c>
    </row>
    <row r="2026" spans="2:19" customFormat="1" hidden="1" outlineLevel="1">
      <c r="B2026" s="13" t="s">
        <v>140</v>
      </c>
      <c r="C2026" s="7" t="str">
        <f t="shared" si="549"/>
        <v>RETRO ESCAVADEIRA NOVA JOHN DEERE CHASSIS BZ310PAPPDX00311</v>
      </c>
      <c r="D2026" s="8">
        <f t="shared" si="547"/>
        <v>46102</v>
      </c>
      <c r="E2026" s="15"/>
      <c r="F2026" s="15"/>
      <c r="G2026" s="15">
        <f t="shared" si="552"/>
        <v>0</v>
      </c>
      <c r="H2026" s="16" t="s">
        <v>203</v>
      </c>
      <c r="I2026" s="10">
        <f t="shared" si="551"/>
        <v>514.28571428571433</v>
      </c>
      <c r="J2026" s="16" t="s">
        <v>16</v>
      </c>
      <c r="K2026" s="15"/>
      <c r="L2026" s="15"/>
      <c r="M2026" s="17"/>
      <c r="N2026" s="9"/>
      <c r="O2026" s="18">
        <f t="shared" si="553"/>
        <v>0</v>
      </c>
      <c r="P2026" s="9"/>
      <c r="Q2026" s="9"/>
      <c r="R2026" s="72"/>
      <c r="S2026" s="10">
        <f t="shared" si="550"/>
        <v>514.28571428571433</v>
      </c>
    </row>
    <row r="2027" spans="2:19" customFormat="1" hidden="1" outlineLevel="1">
      <c r="B2027" s="13" t="s">
        <v>140</v>
      </c>
      <c r="C2027" s="7" t="str">
        <f t="shared" si="549"/>
        <v>RETRO ESCAVADEIRA NOVA JOHN DEERE CHASSIS BZ310PAPPDX00311</v>
      </c>
      <c r="D2027" s="8">
        <f t="shared" si="547"/>
        <v>46103</v>
      </c>
      <c r="E2027" s="15"/>
      <c r="F2027" s="15"/>
      <c r="G2027" s="15">
        <f t="shared" si="552"/>
        <v>0</v>
      </c>
      <c r="H2027" s="16" t="s">
        <v>203</v>
      </c>
      <c r="I2027" s="10">
        <f t="shared" si="551"/>
        <v>514.28571428571433</v>
      </c>
      <c r="J2027" s="16" t="s">
        <v>16</v>
      </c>
      <c r="K2027" s="15"/>
      <c r="L2027" s="15"/>
      <c r="M2027" s="17"/>
      <c r="N2027" s="9"/>
      <c r="O2027" s="18">
        <f t="shared" si="553"/>
        <v>0</v>
      </c>
      <c r="P2027" s="9"/>
      <c r="Q2027" s="9"/>
      <c r="R2027" s="72"/>
      <c r="S2027" s="10">
        <f t="shared" si="550"/>
        <v>514.28571428571433</v>
      </c>
    </row>
    <row r="2028" spans="2:19" customFormat="1" hidden="1" outlineLevel="1">
      <c r="B2028" s="13" t="s">
        <v>140</v>
      </c>
      <c r="C2028" s="7" t="str">
        <f t="shared" si="549"/>
        <v>RETRO ESCAVADEIRA NOVA JOHN DEERE CHASSIS BZ310PAPPDX00311</v>
      </c>
      <c r="D2028" s="8">
        <f t="shared" si="547"/>
        <v>46104</v>
      </c>
      <c r="E2028" s="15">
        <v>2973.7</v>
      </c>
      <c r="F2028" s="15">
        <v>2981.5</v>
      </c>
      <c r="G2028" s="15">
        <f t="shared" si="552"/>
        <v>7.8000000000001819</v>
      </c>
      <c r="H2028" s="16" t="s">
        <v>203</v>
      </c>
      <c r="I2028" s="10">
        <f t="shared" si="551"/>
        <v>514.28571428571433</v>
      </c>
      <c r="J2028" s="16"/>
      <c r="K2028" s="15">
        <v>1</v>
      </c>
      <c r="L2028" s="15"/>
      <c r="M2028" s="17"/>
      <c r="N2028" s="9"/>
      <c r="O2028" s="18">
        <f t="shared" si="553"/>
        <v>0</v>
      </c>
      <c r="P2028" s="9"/>
      <c r="Q2028" s="9"/>
      <c r="R2028" s="72"/>
      <c r="S2028" s="10">
        <f t="shared" si="550"/>
        <v>514.28571428571433</v>
      </c>
    </row>
    <row r="2029" spans="2:19" customFormat="1" hidden="1" outlineLevel="1">
      <c r="B2029" s="13" t="s">
        <v>140</v>
      </c>
      <c r="C2029" s="7" t="str">
        <f t="shared" si="549"/>
        <v>RETRO ESCAVADEIRA NOVA JOHN DEERE CHASSIS BZ310PAPPDX00311</v>
      </c>
      <c r="D2029" s="8">
        <f t="shared" si="547"/>
        <v>46105</v>
      </c>
      <c r="E2029" s="15"/>
      <c r="F2029" s="15"/>
      <c r="G2029" s="15">
        <f t="shared" si="552"/>
        <v>0</v>
      </c>
      <c r="H2029" s="16" t="s">
        <v>203</v>
      </c>
      <c r="I2029" s="10">
        <f t="shared" si="551"/>
        <v>514.28571428571433</v>
      </c>
      <c r="J2029" s="16" t="s">
        <v>16</v>
      </c>
      <c r="K2029" s="15"/>
      <c r="L2029" s="15"/>
      <c r="M2029" s="17"/>
      <c r="N2029" s="9"/>
      <c r="O2029" s="18">
        <f t="shared" si="553"/>
        <v>0</v>
      </c>
      <c r="P2029" s="9"/>
      <c r="Q2029" s="9"/>
      <c r="R2029" s="72"/>
      <c r="S2029" s="10">
        <f t="shared" si="550"/>
        <v>514.28571428571433</v>
      </c>
    </row>
    <row r="2030" spans="2:19" customFormat="1" hidden="1" outlineLevel="1">
      <c r="B2030" s="13" t="s">
        <v>140</v>
      </c>
      <c r="C2030" s="7" t="str">
        <f t="shared" si="549"/>
        <v>RETRO ESCAVADEIRA NOVA JOHN DEERE CHASSIS BZ310PAPPDX00311</v>
      </c>
      <c r="D2030" s="8">
        <f t="shared" si="547"/>
        <v>46106</v>
      </c>
      <c r="E2030" s="15"/>
      <c r="F2030" s="15"/>
      <c r="G2030" s="15">
        <f t="shared" si="552"/>
        <v>0</v>
      </c>
      <c r="H2030" s="16" t="s">
        <v>203</v>
      </c>
      <c r="I2030" s="10">
        <f t="shared" si="551"/>
        <v>514.28571428571433</v>
      </c>
      <c r="J2030" s="16" t="s">
        <v>16</v>
      </c>
      <c r="K2030" s="15"/>
      <c r="L2030" s="15"/>
      <c r="M2030" s="17"/>
      <c r="N2030" s="9"/>
      <c r="O2030" s="18">
        <f t="shared" si="553"/>
        <v>0</v>
      </c>
      <c r="P2030" s="9"/>
      <c r="Q2030" s="9"/>
      <c r="R2030" s="72"/>
      <c r="S2030" s="10">
        <f t="shared" si="550"/>
        <v>514.28571428571433</v>
      </c>
    </row>
    <row r="2031" spans="2:19" customFormat="1" hidden="1" outlineLevel="1">
      <c r="B2031" s="13" t="s">
        <v>140</v>
      </c>
      <c r="C2031" s="7" t="str">
        <f t="shared" si="549"/>
        <v>RETRO ESCAVADEIRA NOVA JOHN DEERE CHASSIS BZ310PAPPDX00311</v>
      </c>
      <c r="D2031" s="8">
        <f t="shared" si="547"/>
        <v>46107</v>
      </c>
      <c r="E2031" s="15"/>
      <c r="F2031" s="15"/>
      <c r="G2031" s="15">
        <f t="shared" si="552"/>
        <v>0</v>
      </c>
      <c r="H2031" s="16" t="s">
        <v>203</v>
      </c>
      <c r="I2031" s="10">
        <f t="shared" si="551"/>
        <v>514.28571428571433</v>
      </c>
      <c r="J2031" s="16" t="s">
        <v>16</v>
      </c>
      <c r="K2031" s="15"/>
      <c r="L2031" s="15"/>
      <c r="M2031" s="17"/>
      <c r="N2031" s="9"/>
      <c r="O2031" s="18">
        <f t="shared" si="553"/>
        <v>0</v>
      </c>
      <c r="P2031" s="9"/>
      <c r="Q2031" s="9"/>
      <c r="R2031" s="72"/>
      <c r="S2031" s="10">
        <f t="shared" si="550"/>
        <v>514.28571428571433</v>
      </c>
    </row>
    <row r="2032" spans="2:19" customFormat="1" hidden="1" outlineLevel="1">
      <c r="B2032" s="13" t="s">
        <v>140</v>
      </c>
      <c r="C2032" s="7" t="str">
        <f t="shared" si="549"/>
        <v>RETRO ESCAVADEIRA NOVA JOHN DEERE CHASSIS BZ310PAPPDX00311</v>
      </c>
      <c r="D2032" s="8">
        <f t="shared" si="547"/>
        <v>46108</v>
      </c>
      <c r="E2032" s="15"/>
      <c r="F2032" s="15"/>
      <c r="G2032" s="15">
        <f t="shared" si="552"/>
        <v>0</v>
      </c>
      <c r="H2032" s="16" t="s">
        <v>203</v>
      </c>
      <c r="I2032" s="10">
        <f t="shared" si="551"/>
        <v>514.28571428571433</v>
      </c>
      <c r="J2032" s="16" t="s">
        <v>16</v>
      </c>
      <c r="K2032" s="15"/>
      <c r="L2032" s="15"/>
      <c r="M2032" s="17"/>
      <c r="N2032" s="9"/>
      <c r="O2032" s="18">
        <f t="shared" si="553"/>
        <v>0</v>
      </c>
      <c r="P2032" s="9"/>
      <c r="Q2032" s="9"/>
      <c r="R2032" s="72"/>
      <c r="S2032" s="10">
        <f t="shared" si="550"/>
        <v>514.28571428571433</v>
      </c>
    </row>
    <row r="2033" spans="2:20" customFormat="1" hidden="1" outlineLevel="1">
      <c r="B2033" s="13" t="s">
        <v>140</v>
      </c>
      <c r="C2033" s="7" t="str">
        <f t="shared" si="549"/>
        <v>RETRO ESCAVADEIRA NOVA JOHN DEERE CHASSIS BZ310PAPPDX00311</v>
      </c>
      <c r="D2033" s="8">
        <f t="shared" si="547"/>
        <v>46112</v>
      </c>
      <c r="E2033" s="15"/>
      <c r="F2033" s="15"/>
      <c r="G2033" s="15">
        <f t="shared" si="552"/>
        <v>0</v>
      </c>
      <c r="H2033" s="16" t="s">
        <v>203</v>
      </c>
      <c r="I2033" s="10">
        <f t="shared" si="551"/>
        <v>514.28571428571433</v>
      </c>
      <c r="J2033" s="16" t="s">
        <v>16</v>
      </c>
      <c r="K2033" s="15"/>
      <c r="L2033" s="15"/>
      <c r="M2033" s="17"/>
      <c r="N2033" s="9"/>
      <c r="O2033" s="18">
        <f t="shared" si="553"/>
        <v>0</v>
      </c>
      <c r="P2033" s="9"/>
      <c r="Q2033" s="9"/>
      <c r="R2033" s="72"/>
      <c r="S2033" s="10">
        <f t="shared" si="550"/>
        <v>514.28571428571433</v>
      </c>
    </row>
    <row r="2034" spans="2:20" customFormat="1" collapsed="1">
      <c r="B2034" s="13" t="s">
        <v>140</v>
      </c>
      <c r="D2034" s="1"/>
      <c r="E2034" s="2"/>
      <c r="F2034" s="2"/>
      <c r="G2034" s="2"/>
      <c r="K2034" s="2"/>
      <c r="L2034" s="2"/>
      <c r="O2034" s="2"/>
      <c r="P2034" s="2"/>
      <c r="Q2034" s="2"/>
      <c r="R2034" s="2"/>
    </row>
    <row r="2035" spans="2:20" customFormat="1">
      <c r="B2035" s="13" t="s">
        <v>140</v>
      </c>
      <c r="C2035" s="3" t="s">
        <v>143</v>
      </c>
      <c r="D2035" s="3"/>
      <c r="E2035" s="4"/>
      <c r="F2035" s="4"/>
      <c r="G2035" s="4"/>
      <c r="H2035" s="3"/>
      <c r="I2035" s="3"/>
      <c r="J2035" s="3"/>
      <c r="K2035" s="4"/>
      <c r="L2035" s="4"/>
      <c r="M2035" s="135" t="str">
        <f>M$1</f>
        <v>BM JANEIRO 2026</v>
      </c>
      <c r="N2035" s="135"/>
      <c r="O2035" s="135"/>
      <c r="P2035" s="19" t="s">
        <v>10</v>
      </c>
      <c r="Q2035" s="136" t="s">
        <v>236</v>
      </c>
      <c r="R2035" s="136"/>
      <c r="S2035" s="136"/>
      <c r="T2035" s="76"/>
    </row>
    <row r="2036" spans="2:20" customFormat="1">
      <c r="B2036" s="14"/>
      <c r="C2036" s="5" t="s">
        <v>1</v>
      </c>
      <c r="D2036" s="5" t="s">
        <v>11</v>
      </c>
      <c r="E2036" s="6" t="s">
        <v>12</v>
      </c>
      <c r="F2036" s="6" t="s">
        <v>13</v>
      </c>
      <c r="G2036" s="6" t="s">
        <v>14</v>
      </c>
      <c r="H2036" s="5" t="s">
        <v>3</v>
      </c>
      <c r="I2036" s="6" t="s">
        <v>15</v>
      </c>
      <c r="J2036" s="6" t="s">
        <v>16</v>
      </c>
      <c r="K2036" s="6" t="s">
        <v>17</v>
      </c>
      <c r="L2036" s="127" t="s">
        <v>18</v>
      </c>
      <c r="M2036" s="5" t="s">
        <v>11</v>
      </c>
      <c r="N2036" s="5" t="s">
        <v>19</v>
      </c>
      <c r="O2036" s="6" t="s">
        <v>2</v>
      </c>
      <c r="P2036" s="6" t="s">
        <v>20</v>
      </c>
      <c r="Q2036" s="6" t="s">
        <v>21</v>
      </c>
      <c r="R2036" s="6" t="s">
        <v>22</v>
      </c>
      <c r="S2036" s="6" t="s">
        <v>23</v>
      </c>
    </row>
    <row r="2037" spans="2:20" customFormat="1" outlineLevel="1">
      <c r="B2037" s="11" t="s">
        <v>142</v>
      </c>
      <c r="C2037" s="7" t="str">
        <f>C$2035</f>
        <v>MOTONIVELADORA 865B CASE DIESEL 2023 CHASSIS HBZN865BCPAF32939</v>
      </c>
      <c r="D2037" s="8">
        <f t="shared" ref="D2037:D2064" si="554">D1975</f>
        <v>46082</v>
      </c>
      <c r="E2037" s="15"/>
      <c r="F2037" s="15"/>
      <c r="G2037" s="15">
        <f t="shared" ref="G2037:G2040" si="555">F2037-E2037</f>
        <v>0</v>
      </c>
      <c r="H2037" s="16" t="s">
        <v>233</v>
      </c>
      <c r="I2037" s="10">
        <f>P2037</f>
        <v>1000</v>
      </c>
      <c r="J2037" s="16" t="s">
        <v>16</v>
      </c>
      <c r="K2037" s="15"/>
      <c r="L2037" s="15"/>
      <c r="M2037" s="17"/>
      <c r="N2037" s="9"/>
      <c r="O2037" s="9">
        <v>28000</v>
      </c>
      <c r="P2037" s="9">
        <f>O2037/28</f>
        <v>1000</v>
      </c>
      <c r="Q2037" s="9"/>
      <c r="R2037" s="9"/>
      <c r="S2037" s="10">
        <f>SUM(R2037+Q2037+I2037)</f>
        <v>1000</v>
      </c>
    </row>
    <row r="2038" spans="2:20" customFormat="1" outlineLevel="1">
      <c r="B2038" s="12" t="s">
        <v>0</v>
      </c>
      <c r="C2038" s="7" t="str">
        <f t="shared" ref="C2038:C2064" si="556">C$2035</f>
        <v>MOTONIVELADORA 865B CASE DIESEL 2023 CHASSIS HBZN865BCPAF32939</v>
      </c>
      <c r="D2038" s="8">
        <f t="shared" si="554"/>
        <v>46083</v>
      </c>
      <c r="E2038" s="15">
        <v>2812</v>
      </c>
      <c r="F2038" s="15">
        <v>2817</v>
      </c>
      <c r="G2038" s="15">
        <f t="shared" si="555"/>
        <v>5</v>
      </c>
      <c r="H2038" s="16" t="s">
        <v>233</v>
      </c>
      <c r="I2038" s="10">
        <f>I2037</f>
        <v>1000</v>
      </c>
      <c r="J2038" s="16"/>
      <c r="K2038" s="15">
        <v>1</v>
      </c>
      <c r="L2038" s="15"/>
      <c r="M2038" s="17"/>
      <c r="N2038" s="9"/>
      <c r="O2038" s="9"/>
      <c r="P2038" s="9"/>
      <c r="Q2038" s="9"/>
      <c r="R2038" s="9"/>
      <c r="S2038" s="10">
        <f t="shared" ref="S2038:S2064" si="557">SUM(R2038+Q2038+I2038)</f>
        <v>1000</v>
      </c>
    </row>
    <row r="2039" spans="2:20" customFormat="1" outlineLevel="1">
      <c r="B2039" s="13" t="s">
        <v>142</v>
      </c>
      <c r="C2039" s="7" t="str">
        <f t="shared" si="556"/>
        <v>MOTONIVELADORA 865B CASE DIESEL 2023 CHASSIS HBZN865BCPAF32939</v>
      </c>
      <c r="D2039" s="8">
        <f t="shared" si="554"/>
        <v>46084</v>
      </c>
      <c r="E2039" s="15"/>
      <c r="F2039" s="15"/>
      <c r="G2039" s="15">
        <f t="shared" si="555"/>
        <v>0</v>
      </c>
      <c r="H2039" s="16" t="s">
        <v>233</v>
      </c>
      <c r="I2039" s="10">
        <f t="shared" ref="I2039:I2064" si="558">I2038</f>
        <v>1000</v>
      </c>
      <c r="J2039" s="16" t="s">
        <v>16</v>
      </c>
      <c r="K2039" s="15"/>
      <c r="L2039" s="15"/>
      <c r="M2039" s="17"/>
      <c r="N2039" s="9"/>
      <c r="O2039" s="9"/>
      <c r="P2039" s="9"/>
      <c r="Q2039" s="9"/>
      <c r="R2039" s="9"/>
      <c r="S2039" s="10">
        <f t="shared" si="557"/>
        <v>1000</v>
      </c>
    </row>
    <row r="2040" spans="2:20" customFormat="1" outlineLevel="1">
      <c r="B2040" s="13" t="s">
        <v>142</v>
      </c>
      <c r="C2040" s="7" t="str">
        <f t="shared" si="556"/>
        <v>MOTONIVELADORA 865B CASE DIESEL 2023 CHASSIS HBZN865BCPAF32939</v>
      </c>
      <c r="D2040" s="8">
        <f t="shared" si="554"/>
        <v>46085</v>
      </c>
      <c r="E2040" s="15"/>
      <c r="F2040" s="15"/>
      <c r="G2040" s="15">
        <f t="shared" si="555"/>
        <v>0</v>
      </c>
      <c r="H2040" s="16" t="s">
        <v>233</v>
      </c>
      <c r="I2040" s="10">
        <f t="shared" si="558"/>
        <v>1000</v>
      </c>
      <c r="J2040" s="16" t="s">
        <v>16</v>
      </c>
      <c r="K2040" s="15"/>
      <c r="L2040" s="15"/>
      <c r="M2040" s="17"/>
      <c r="N2040" s="9"/>
      <c r="O2040" s="9"/>
      <c r="P2040" s="9"/>
      <c r="Q2040" s="9"/>
      <c r="R2040" s="9"/>
      <c r="S2040" s="10">
        <f t="shared" si="557"/>
        <v>1000</v>
      </c>
    </row>
    <row r="2041" spans="2:20" customFormat="1" outlineLevel="1">
      <c r="B2041" s="13" t="s">
        <v>142</v>
      </c>
      <c r="C2041" s="7" t="str">
        <f t="shared" si="556"/>
        <v>MOTONIVELADORA 865B CASE DIESEL 2023 CHASSIS HBZN865BCPAF32939</v>
      </c>
      <c r="D2041" s="8">
        <f t="shared" si="554"/>
        <v>46086</v>
      </c>
      <c r="E2041" s="15"/>
      <c r="F2041" s="15"/>
      <c r="G2041" s="15">
        <f t="shared" ref="G2041:G2064" si="559">F2041-E2041</f>
        <v>0</v>
      </c>
      <c r="H2041" s="16" t="s">
        <v>233</v>
      </c>
      <c r="I2041" s="10">
        <f t="shared" si="558"/>
        <v>1000</v>
      </c>
      <c r="J2041" s="16" t="s">
        <v>16</v>
      </c>
      <c r="K2041" s="15"/>
      <c r="L2041" s="15"/>
      <c r="M2041" s="17"/>
      <c r="N2041" s="9"/>
      <c r="O2041" s="9"/>
      <c r="P2041" s="9"/>
      <c r="Q2041" s="9"/>
      <c r="R2041" s="9"/>
      <c r="S2041" s="10">
        <f t="shared" si="557"/>
        <v>1000</v>
      </c>
    </row>
    <row r="2042" spans="2:20" customFormat="1" outlineLevel="1">
      <c r="B2042" s="13" t="s">
        <v>142</v>
      </c>
      <c r="C2042" s="7" t="str">
        <f t="shared" si="556"/>
        <v>MOTONIVELADORA 865B CASE DIESEL 2023 CHASSIS HBZN865BCPAF32939</v>
      </c>
      <c r="D2042" s="8">
        <f t="shared" si="554"/>
        <v>46087</v>
      </c>
      <c r="E2042" s="15"/>
      <c r="F2042" s="15"/>
      <c r="G2042" s="15">
        <f t="shared" si="559"/>
        <v>0</v>
      </c>
      <c r="H2042" s="16" t="s">
        <v>233</v>
      </c>
      <c r="I2042" s="10">
        <f t="shared" si="558"/>
        <v>1000</v>
      </c>
      <c r="J2042" s="16" t="s">
        <v>16</v>
      </c>
      <c r="K2042" s="15"/>
      <c r="L2042" s="15"/>
      <c r="M2042" s="17"/>
      <c r="N2042" s="9"/>
      <c r="O2042" s="9"/>
      <c r="P2042" s="9"/>
      <c r="Q2042" s="9"/>
      <c r="R2042" s="9"/>
      <c r="S2042" s="10">
        <f t="shared" si="557"/>
        <v>1000</v>
      </c>
    </row>
    <row r="2043" spans="2:20" customFormat="1" outlineLevel="1">
      <c r="B2043" s="13" t="s">
        <v>142</v>
      </c>
      <c r="C2043" s="7" t="str">
        <f t="shared" si="556"/>
        <v>MOTONIVELADORA 865B CASE DIESEL 2023 CHASSIS HBZN865BCPAF32939</v>
      </c>
      <c r="D2043" s="8">
        <f t="shared" si="554"/>
        <v>46088</v>
      </c>
      <c r="E2043" s="15">
        <v>2817</v>
      </c>
      <c r="F2043" s="15">
        <v>2826</v>
      </c>
      <c r="G2043" s="15">
        <f t="shared" si="559"/>
        <v>9</v>
      </c>
      <c r="H2043" s="16" t="s">
        <v>233</v>
      </c>
      <c r="I2043" s="10">
        <f t="shared" si="558"/>
        <v>1000</v>
      </c>
      <c r="J2043" s="16"/>
      <c r="K2043" s="15">
        <v>1</v>
      </c>
      <c r="L2043" s="15">
        <v>311</v>
      </c>
      <c r="M2043" s="17"/>
      <c r="N2043" s="9"/>
      <c r="O2043" s="9"/>
      <c r="P2043" s="9"/>
      <c r="Q2043" s="9"/>
      <c r="R2043" s="9"/>
      <c r="S2043" s="10">
        <f t="shared" si="557"/>
        <v>1000</v>
      </c>
    </row>
    <row r="2044" spans="2:20" customFormat="1" outlineLevel="1">
      <c r="B2044" s="13" t="s">
        <v>142</v>
      </c>
      <c r="C2044" s="7" t="str">
        <f t="shared" si="556"/>
        <v>MOTONIVELADORA 865B CASE DIESEL 2023 CHASSIS HBZN865BCPAF32939</v>
      </c>
      <c r="D2044" s="8">
        <f t="shared" si="554"/>
        <v>46089</v>
      </c>
      <c r="E2044" s="15">
        <v>2826</v>
      </c>
      <c r="F2044" s="15">
        <v>2831</v>
      </c>
      <c r="G2044" s="15">
        <f t="shared" si="559"/>
        <v>5</v>
      </c>
      <c r="H2044" s="16" t="s">
        <v>233</v>
      </c>
      <c r="I2044" s="10">
        <f t="shared" si="558"/>
        <v>1000</v>
      </c>
      <c r="J2044" s="16"/>
      <c r="K2044" s="15">
        <v>1</v>
      </c>
      <c r="L2044" s="15"/>
      <c r="M2044" s="17"/>
      <c r="N2044" s="9"/>
      <c r="O2044" s="9"/>
      <c r="P2044" s="9"/>
      <c r="Q2044" s="9"/>
      <c r="R2044" s="9"/>
      <c r="S2044" s="10">
        <f t="shared" si="557"/>
        <v>1000</v>
      </c>
      <c r="T2044" s="76"/>
    </row>
    <row r="2045" spans="2:20" customFormat="1" outlineLevel="1">
      <c r="B2045" s="13" t="s">
        <v>142</v>
      </c>
      <c r="C2045" s="7" t="str">
        <f t="shared" si="556"/>
        <v>MOTONIVELADORA 865B CASE DIESEL 2023 CHASSIS HBZN865BCPAF32939</v>
      </c>
      <c r="D2045" s="8">
        <f t="shared" si="554"/>
        <v>46090</v>
      </c>
      <c r="E2045" s="15">
        <v>2831</v>
      </c>
      <c r="F2045" s="15">
        <v>2839</v>
      </c>
      <c r="G2045" s="15">
        <f t="shared" si="559"/>
        <v>8</v>
      </c>
      <c r="H2045" s="16" t="s">
        <v>233</v>
      </c>
      <c r="I2045" s="10">
        <f t="shared" si="558"/>
        <v>1000</v>
      </c>
      <c r="J2045" s="16"/>
      <c r="K2045" s="15">
        <v>1</v>
      </c>
      <c r="L2045" s="15">
        <v>316</v>
      </c>
      <c r="M2045" s="17"/>
      <c r="N2045" s="9"/>
      <c r="O2045" s="9"/>
      <c r="P2045" s="9"/>
      <c r="Q2045" s="9"/>
      <c r="R2045" s="9"/>
      <c r="S2045" s="10">
        <f t="shared" si="557"/>
        <v>1000</v>
      </c>
    </row>
    <row r="2046" spans="2:20" customFormat="1" outlineLevel="1">
      <c r="B2046" s="13" t="s">
        <v>142</v>
      </c>
      <c r="C2046" s="7" t="str">
        <f t="shared" si="556"/>
        <v>MOTONIVELADORA 865B CASE DIESEL 2023 CHASSIS HBZN865BCPAF32939</v>
      </c>
      <c r="D2046" s="8">
        <f t="shared" si="554"/>
        <v>46091</v>
      </c>
      <c r="E2046" s="15">
        <v>2839</v>
      </c>
      <c r="F2046" s="15">
        <v>2844</v>
      </c>
      <c r="G2046" s="15">
        <f t="shared" si="559"/>
        <v>5</v>
      </c>
      <c r="H2046" s="16" t="s">
        <v>233</v>
      </c>
      <c r="I2046" s="10">
        <f t="shared" si="558"/>
        <v>1000</v>
      </c>
      <c r="J2046" s="16"/>
      <c r="K2046" s="15">
        <v>1</v>
      </c>
      <c r="L2046" s="15"/>
      <c r="M2046" s="17"/>
      <c r="N2046" s="9"/>
      <c r="O2046" s="9"/>
      <c r="P2046" s="9"/>
      <c r="Q2046" s="9"/>
      <c r="R2046" s="9"/>
      <c r="S2046" s="10">
        <f t="shared" si="557"/>
        <v>1000</v>
      </c>
    </row>
    <row r="2047" spans="2:20" customFormat="1" outlineLevel="1">
      <c r="B2047" s="13" t="s">
        <v>142</v>
      </c>
      <c r="C2047" s="7" t="str">
        <f t="shared" si="556"/>
        <v>MOTONIVELADORA 865B CASE DIESEL 2023 CHASSIS HBZN865BCPAF32939</v>
      </c>
      <c r="D2047" s="8">
        <f t="shared" si="554"/>
        <v>46092</v>
      </c>
      <c r="E2047" s="116">
        <v>2861</v>
      </c>
      <c r="F2047" s="15">
        <v>2869</v>
      </c>
      <c r="G2047" s="15">
        <f t="shared" si="559"/>
        <v>8</v>
      </c>
      <c r="H2047" s="16" t="s">
        <v>233</v>
      </c>
      <c r="I2047" s="10">
        <f t="shared" si="558"/>
        <v>1000</v>
      </c>
      <c r="J2047" s="16"/>
      <c r="K2047" s="15">
        <v>1</v>
      </c>
      <c r="L2047" s="15"/>
      <c r="M2047" s="17"/>
      <c r="N2047" s="9"/>
      <c r="O2047" s="9"/>
      <c r="P2047" s="9"/>
      <c r="Q2047" s="9"/>
      <c r="R2047" s="9"/>
      <c r="S2047" s="10">
        <f t="shared" si="557"/>
        <v>1000</v>
      </c>
    </row>
    <row r="2048" spans="2:20" customFormat="1" outlineLevel="1">
      <c r="B2048" s="13" t="s">
        <v>142</v>
      </c>
      <c r="C2048" s="7" t="str">
        <f t="shared" si="556"/>
        <v>MOTONIVELADORA 865B CASE DIESEL 2023 CHASSIS HBZN865BCPAF32939</v>
      </c>
      <c r="D2048" s="8">
        <f t="shared" si="554"/>
        <v>46093</v>
      </c>
      <c r="E2048" s="116"/>
      <c r="F2048" s="15"/>
      <c r="G2048" s="15">
        <f t="shared" si="559"/>
        <v>0</v>
      </c>
      <c r="H2048" s="16" t="s">
        <v>233</v>
      </c>
      <c r="I2048" s="10">
        <f t="shared" si="558"/>
        <v>1000</v>
      </c>
      <c r="J2048" s="16" t="s">
        <v>16</v>
      </c>
      <c r="K2048" s="15"/>
      <c r="L2048" s="15"/>
      <c r="M2048" s="17"/>
      <c r="N2048" s="9"/>
      <c r="O2048" s="9"/>
      <c r="P2048" s="9"/>
      <c r="Q2048" s="9"/>
      <c r="R2048" s="9"/>
      <c r="S2048" s="10">
        <f t="shared" si="557"/>
        <v>1000</v>
      </c>
    </row>
    <row r="2049" spans="2:19" customFormat="1" outlineLevel="1">
      <c r="B2049" s="13" t="s">
        <v>142</v>
      </c>
      <c r="C2049" s="7" t="str">
        <f t="shared" si="556"/>
        <v>MOTONIVELADORA 865B CASE DIESEL 2023 CHASSIS HBZN865BCPAF32939</v>
      </c>
      <c r="D2049" s="8">
        <f t="shared" si="554"/>
        <v>46094</v>
      </c>
      <c r="E2049" s="116"/>
      <c r="F2049" s="15"/>
      <c r="G2049" s="15">
        <f t="shared" si="559"/>
        <v>0</v>
      </c>
      <c r="H2049" s="16" t="s">
        <v>233</v>
      </c>
      <c r="I2049" s="10">
        <f t="shared" si="558"/>
        <v>1000</v>
      </c>
      <c r="J2049" s="16" t="s">
        <v>16</v>
      </c>
      <c r="K2049" s="15"/>
      <c r="L2049" s="15"/>
      <c r="M2049" s="17"/>
      <c r="N2049" s="9"/>
      <c r="O2049" s="18"/>
      <c r="P2049" s="9"/>
      <c r="Q2049" s="9"/>
      <c r="R2049" s="9"/>
      <c r="S2049" s="10">
        <f t="shared" si="557"/>
        <v>1000</v>
      </c>
    </row>
    <row r="2050" spans="2:19" customFormat="1" outlineLevel="1">
      <c r="B2050" s="13" t="s">
        <v>142</v>
      </c>
      <c r="C2050" s="7" t="str">
        <f t="shared" si="556"/>
        <v>MOTONIVELADORA 865B CASE DIESEL 2023 CHASSIS HBZN865BCPAF32939</v>
      </c>
      <c r="D2050" s="8">
        <f t="shared" si="554"/>
        <v>46095</v>
      </c>
      <c r="E2050" s="116"/>
      <c r="F2050" s="15"/>
      <c r="G2050" s="15">
        <f t="shared" si="559"/>
        <v>0</v>
      </c>
      <c r="H2050" s="16" t="s">
        <v>233</v>
      </c>
      <c r="I2050" s="10">
        <f t="shared" si="558"/>
        <v>1000</v>
      </c>
      <c r="J2050" s="16" t="s">
        <v>16</v>
      </c>
      <c r="K2050" s="15"/>
      <c r="L2050" s="15"/>
      <c r="M2050" s="17"/>
      <c r="N2050" s="9"/>
      <c r="O2050" s="18"/>
      <c r="P2050" s="9"/>
      <c r="Q2050" s="9"/>
      <c r="R2050" s="9"/>
      <c r="S2050" s="10">
        <f t="shared" si="557"/>
        <v>1000</v>
      </c>
    </row>
    <row r="2051" spans="2:19" customFormat="1" outlineLevel="1">
      <c r="B2051" s="13" t="s">
        <v>142</v>
      </c>
      <c r="C2051" s="7" t="str">
        <f t="shared" si="556"/>
        <v>MOTONIVELADORA 865B CASE DIESEL 2023 CHASSIS HBZN865BCPAF32939</v>
      </c>
      <c r="D2051" s="8">
        <f t="shared" si="554"/>
        <v>46096</v>
      </c>
      <c r="E2051" s="116"/>
      <c r="F2051" s="15"/>
      <c r="G2051" s="15">
        <f t="shared" si="559"/>
        <v>0</v>
      </c>
      <c r="H2051" s="16" t="s">
        <v>233</v>
      </c>
      <c r="I2051" s="10">
        <f t="shared" si="558"/>
        <v>1000</v>
      </c>
      <c r="J2051" s="16" t="s">
        <v>16</v>
      </c>
      <c r="K2051" s="15"/>
      <c r="L2051" s="15"/>
      <c r="M2051" s="17"/>
      <c r="N2051" s="9"/>
      <c r="O2051" s="18"/>
      <c r="P2051" s="9"/>
      <c r="Q2051" s="9"/>
      <c r="R2051" s="9"/>
      <c r="S2051" s="10">
        <f t="shared" si="557"/>
        <v>1000</v>
      </c>
    </row>
    <row r="2052" spans="2:19" customFormat="1" outlineLevel="1">
      <c r="B2052" s="13" t="s">
        <v>142</v>
      </c>
      <c r="C2052" s="7" t="str">
        <f t="shared" si="556"/>
        <v>MOTONIVELADORA 865B CASE DIESEL 2023 CHASSIS HBZN865BCPAF32939</v>
      </c>
      <c r="D2052" s="8">
        <f t="shared" si="554"/>
        <v>46097</v>
      </c>
      <c r="E2052" s="116"/>
      <c r="F2052" s="15"/>
      <c r="G2052" s="15">
        <f t="shared" si="559"/>
        <v>0</v>
      </c>
      <c r="H2052" s="16" t="s">
        <v>233</v>
      </c>
      <c r="I2052" s="10">
        <f t="shared" si="558"/>
        <v>1000</v>
      </c>
      <c r="J2052" s="16" t="s">
        <v>16</v>
      </c>
      <c r="K2052" s="15"/>
      <c r="L2052" s="15"/>
      <c r="M2052" s="17"/>
      <c r="N2052" s="9"/>
      <c r="O2052" s="18"/>
      <c r="P2052" s="9"/>
      <c r="Q2052" s="9"/>
      <c r="R2052" s="9"/>
      <c r="S2052" s="10">
        <f t="shared" si="557"/>
        <v>1000</v>
      </c>
    </row>
    <row r="2053" spans="2:19" customFormat="1" outlineLevel="1">
      <c r="B2053" s="13" t="s">
        <v>142</v>
      </c>
      <c r="C2053" s="7" t="str">
        <f t="shared" si="556"/>
        <v>MOTONIVELADORA 865B CASE DIESEL 2023 CHASSIS HBZN865BCPAF32939</v>
      </c>
      <c r="D2053" s="8">
        <f t="shared" si="554"/>
        <v>46098</v>
      </c>
      <c r="E2053" s="116"/>
      <c r="F2053" s="15"/>
      <c r="G2053" s="15">
        <f t="shared" si="559"/>
        <v>0</v>
      </c>
      <c r="H2053" s="16" t="s">
        <v>233</v>
      </c>
      <c r="I2053" s="10">
        <f t="shared" si="558"/>
        <v>1000</v>
      </c>
      <c r="J2053" s="16" t="s">
        <v>16</v>
      </c>
      <c r="K2053" s="15"/>
      <c r="L2053" s="15"/>
      <c r="M2053" s="17"/>
      <c r="N2053" s="9"/>
      <c r="O2053" s="18"/>
      <c r="P2053" s="9"/>
      <c r="Q2053" s="9"/>
      <c r="R2053" s="9"/>
      <c r="S2053" s="10">
        <f t="shared" si="557"/>
        <v>1000</v>
      </c>
    </row>
    <row r="2054" spans="2:19" customFormat="1" outlineLevel="1">
      <c r="B2054" s="13" t="s">
        <v>142</v>
      </c>
      <c r="C2054" s="7" t="str">
        <f t="shared" si="556"/>
        <v>MOTONIVELADORA 865B CASE DIESEL 2023 CHASSIS HBZN865BCPAF32939</v>
      </c>
      <c r="D2054" s="8">
        <f t="shared" si="554"/>
        <v>46099</v>
      </c>
      <c r="E2054" s="116"/>
      <c r="F2054" s="15"/>
      <c r="G2054" s="15">
        <f t="shared" si="559"/>
        <v>0</v>
      </c>
      <c r="H2054" s="16" t="s">
        <v>233</v>
      </c>
      <c r="I2054" s="10">
        <f t="shared" si="558"/>
        <v>1000</v>
      </c>
      <c r="J2054" s="16" t="s">
        <v>16</v>
      </c>
      <c r="K2054" s="15"/>
      <c r="L2054" s="15"/>
      <c r="M2054" s="17"/>
      <c r="N2054" s="9"/>
      <c r="O2054" s="18"/>
      <c r="P2054" s="9"/>
      <c r="Q2054" s="9"/>
      <c r="R2054" s="9"/>
      <c r="S2054" s="10">
        <f t="shared" si="557"/>
        <v>1000</v>
      </c>
    </row>
    <row r="2055" spans="2:19" customFormat="1" outlineLevel="1">
      <c r="B2055" s="13" t="s">
        <v>142</v>
      </c>
      <c r="C2055" s="7" t="str">
        <f t="shared" si="556"/>
        <v>MOTONIVELADORA 865B CASE DIESEL 2023 CHASSIS HBZN865BCPAF32939</v>
      </c>
      <c r="D2055" s="8">
        <f t="shared" si="554"/>
        <v>46100</v>
      </c>
      <c r="E2055" s="15">
        <v>2876</v>
      </c>
      <c r="F2055" s="15">
        <v>2883</v>
      </c>
      <c r="G2055" s="15">
        <f t="shared" si="559"/>
        <v>7</v>
      </c>
      <c r="H2055" s="16" t="s">
        <v>233</v>
      </c>
      <c r="I2055" s="10">
        <f t="shared" si="558"/>
        <v>1000</v>
      </c>
      <c r="J2055" s="16"/>
      <c r="K2055" s="15">
        <v>1</v>
      </c>
      <c r="L2055" s="15">
        <v>200</v>
      </c>
      <c r="M2055" s="17"/>
      <c r="N2055" s="9"/>
      <c r="O2055" s="18"/>
      <c r="P2055" s="9"/>
      <c r="Q2055" s="9"/>
      <c r="R2055" s="9"/>
      <c r="S2055" s="10">
        <f t="shared" si="557"/>
        <v>1000</v>
      </c>
    </row>
    <row r="2056" spans="2:19" customFormat="1" outlineLevel="1">
      <c r="B2056" s="13" t="s">
        <v>142</v>
      </c>
      <c r="C2056" s="7" t="str">
        <f t="shared" si="556"/>
        <v>MOTONIVELADORA 865B CASE DIESEL 2023 CHASSIS HBZN865BCPAF32939</v>
      </c>
      <c r="D2056" s="8">
        <f t="shared" si="554"/>
        <v>46101</v>
      </c>
      <c r="E2056" s="15">
        <v>2883</v>
      </c>
      <c r="F2056" s="15">
        <v>2889</v>
      </c>
      <c r="G2056" s="15">
        <f t="shared" si="559"/>
        <v>6</v>
      </c>
      <c r="H2056" s="16" t="s">
        <v>233</v>
      </c>
      <c r="I2056" s="10">
        <f t="shared" si="558"/>
        <v>1000</v>
      </c>
      <c r="J2056" s="16"/>
      <c r="K2056" s="15">
        <v>1</v>
      </c>
      <c r="L2056" s="15"/>
      <c r="M2056" s="17"/>
      <c r="N2056" s="9"/>
      <c r="O2056" s="18"/>
      <c r="P2056" s="9"/>
      <c r="Q2056" s="9"/>
      <c r="R2056" s="9"/>
      <c r="S2056" s="10">
        <f t="shared" si="557"/>
        <v>1000</v>
      </c>
    </row>
    <row r="2057" spans="2:19" customFormat="1" outlineLevel="1">
      <c r="B2057" s="13" t="s">
        <v>142</v>
      </c>
      <c r="C2057" s="7" t="str">
        <f t="shared" si="556"/>
        <v>MOTONIVELADORA 865B CASE DIESEL 2023 CHASSIS HBZN865BCPAF32939</v>
      </c>
      <c r="D2057" s="8">
        <f t="shared" si="554"/>
        <v>46102</v>
      </c>
      <c r="E2057" s="15"/>
      <c r="F2057" s="15"/>
      <c r="G2057" s="15">
        <f t="shared" si="559"/>
        <v>0</v>
      </c>
      <c r="H2057" s="16" t="s">
        <v>233</v>
      </c>
      <c r="I2057" s="10">
        <f t="shared" si="558"/>
        <v>1000</v>
      </c>
      <c r="J2057" s="16" t="s">
        <v>16</v>
      </c>
      <c r="K2057" s="15"/>
      <c r="L2057" s="15"/>
      <c r="M2057" s="17"/>
      <c r="N2057" s="9"/>
      <c r="O2057" s="18"/>
      <c r="P2057" s="9"/>
      <c r="Q2057" s="9"/>
      <c r="R2057" s="9"/>
      <c r="S2057" s="10">
        <f t="shared" si="557"/>
        <v>1000</v>
      </c>
    </row>
    <row r="2058" spans="2:19" customFormat="1" outlineLevel="1">
      <c r="B2058" s="13" t="s">
        <v>142</v>
      </c>
      <c r="C2058" s="7" t="str">
        <f t="shared" si="556"/>
        <v>MOTONIVELADORA 865B CASE DIESEL 2023 CHASSIS HBZN865BCPAF32939</v>
      </c>
      <c r="D2058" s="8">
        <f t="shared" si="554"/>
        <v>46103</v>
      </c>
      <c r="E2058" s="15"/>
      <c r="F2058" s="15"/>
      <c r="G2058" s="15">
        <f t="shared" si="559"/>
        <v>0</v>
      </c>
      <c r="H2058" s="16" t="s">
        <v>233</v>
      </c>
      <c r="I2058" s="10">
        <f t="shared" si="558"/>
        <v>1000</v>
      </c>
      <c r="J2058" s="16" t="s">
        <v>16</v>
      </c>
      <c r="K2058" s="15"/>
      <c r="L2058" s="15"/>
      <c r="M2058" s="17"/>
      <c r="N2058" s="9"/>
      <c r="O2058" s="18"/>
      <c r="P2058" s="9"/>
      <c r="Q2058" s="9"/>
      <c r="R2058" s="9"/>
      <c r="S2058" s="10">
        <f t="shared" si="557"/>
        <v>1000</v>
      </c>
    </row>
    <row r="2059" spans="2:19" customFormat="1" outlineLevel="1">
      <c r="B2059" s="13" t="s">
        <v>142</v>
      </c>
      <c r="C2059" s="7" t="str">
        <f t="shared" si="556"/>
        <v>MOTONIVELADORA 865B CASE DIESEL 2023 CHASSIS HBZN865BCPAF32939</v>
      </c>
      <c r="D2059" s="8">
        <f t="shared" si="554"/>
        <v>46104</v>
      </c>
      <c r="E2059" s="15"/>
      <c r="F2059" s="15"/>
      <c r="G2059" s="15">
        <f t="shared" si="559"/>
        <v>0</v>
      </c>
      <c r="H2059" s="16" t="s">
        <v>233</v>
      </c>
      <c r="I2059" s="10">
        <f t="shared" si="558"/>
        <v>1000</v>
      </c>
      <c r="J2059" s="16" t="s">
        <v>16</v>
      </c>
      <c r="K2059" s="15"/>
      <c r="L2059" s="15"/>
      <c r="M2059" s="17"/>
      <c r="N2059" s="9"/>
      <c r="O2059" s="18"/>
      <c r="P2059" s="9"/>
      <c r="Q2059" s="9"/>
      <c r="R2059" s="9"/>
      <c r="S2059" s="10">
        <f t="shared" si="557"/>
        <v>1000</v>
      </c>
    </row>
    <row r="2060" spans="2:19" customFormat="1" outlineLevel="1">
      <c r="B2060" s="13" t="s">
        <v>142</v>
      </c>
      <c r="C2060" s="7" t="str">
        <f t="shared" si="556"/>
        <v>MOTONIVELADORA 865B CASE DIESEL 2023 CHASSIS HBZN865BCPAF32939</v>
      </c>
      <c r="D2060" s="8">
        <f t="shared" si="554"/>
        <v>46105</v>
      </c>
      <c r="E2060" s="15">
        <v>2895</v>
      </c>
      <c r="F2060" s="15">
        <v>2905</v>
      </c>
      <c r="G2060" s="15">
        <f t="shared" si="559"/>
        <v>10</v>
      </c>
      <c r="H2060" s="16" t="s">
        <v>339</v>
      </c>
      <c r="I2060" s="10">
        <f t="shared" si="558"/>
        <v>1000</v>
      </c>
      <c r="J2060" s="16"/>
      <c r="K2060" s="15">
        <v>1</v>
      </c>
      <c r="L2060" s="15" t="s">
        <v>342</v>
      </c>
      <c r="M2060" s="17"/>
      <c r="N2060" s="9"/>
      <c r="O2060" s="18"/>
      <c r="P2060" s="9"/>
      <c r="Q2060" s="9"/>
      <c r="R2060" s="9"/>
      <c r="S2060" s="10">
        <f t="shared" si="557"/>
        <v>1000</v>
      </c>
    </row>
    <row r="2061" spans="2:19" customFormat="1" outlineLevel="1">
      <c r="B2061" s="13" t="s">
        <v>142</v>
      </c>
      <c r="C2061" s="7" t="str">
        <f t="shared" si="556"/>
        <v>MOTONIVELADORA 865B CASE DIESEL 2023 CHASSIS HBZN865BCPAF32939</v>
      </c>
      <c r="D2061" s="8">
        <f t="shared" si="554"/>
        <v>46106</v>
      </c>
      <c r="E2061" s="15">
        <v>2905</v>
      </c>
      <c r="F2061" s="15">
        <v>2914</v>
      </c>
      <c r="G2061" s="15">
        <f t="shared" si="559"/>
        <v>9</v>
      </c>
      <c r="H2061" s="16" t="s">
        <v>339</v>
      </c>
      <c r="I2061" s="10">
        <f t="shared" si="558"/>
        <v>1000</v>
      </c>
      <c r="J2061" s="16"/>
      <c r="K2061" s="15">
        <v>1</v>
      </c>
      <c r="L2061" s="15">
        <v>200</v>
      </c>
      <c r="M2061" s="17"/>
      <c r="N2061" s="9"/>
      <c r="O2061" s="18"/>
      <c r="P2061" s="9"/>
      <c r="Q2061" s="9"/>
      <c r="R2061" s="9"/>
      <c r="S2061" s="10">
        <f t="shared" si="557"/>
        <v>1000</v>
      </c>
    </row>
    <row r="2062" spans="2:19" customFormat="1" outlineLevel="1">
      <c r="B2062" s="13" t="s">
        <v>142</v>
      </c>
      <c r="C2062" s="7" t="str">
        <f t="shared" si="556"/>
        <v>MOTONIVELADORA 865B CASE DIESEL 2023 CHASSIS HBZN865BCPAF32939</v>
      </c>
      <c r="D2062" s="8">
        <f t="shared" si="554"/>
        <v>46107</v>
      </c>
      <c r="E2062" s="15">
        <v>2914</v>
      </c>
      <c r="F2062" s="15">
        <v>2923</v>
      </c>
      <c r="G2062" s="15">
        <f t="shared" si="559"/>
        <v>9</v>
      </c>
      <c r="H2062" s="16" t="s">
        <v>339</v>
      </c>
      <c r="I2062" s="10">
        <f t="shared" si="558"/>
        <v>1000</v>
      </c>
      <c r="J2062" s="16"/>
      <c r="K2062" s="15">
        <v>1</v>
      </c>
      <c r="L2062" s="15"/>
      <c r="M2062" s="17"/>
      <c r="N2062" s="9"/>
      <c r="O2062" s="18">
        <f t="shared" ref="O2062:O2064" si="560">O2061</f>
        <v>0</v>
      </c>
      <c r="P2062" s="9"/>
      <c r="Q2062" s="9"/>
      <c r="R2062" s="9"/>
      <c r="S2062" s="10">
        <f t="shared" si="557"/>
        <v>1000</v>
      </c>
    </row>
    <row r="2063" spans="2:19" customFormat="1" outlineLevel="1">
      <c r="B2063" s="13" t="s">
        <v>142</v>
      </c>
      <c r="C2063" s="7" t="str">
        <f t="shared" si="556"/>
        <v>MOTONIVELADORA 865B CASE DIESEL 2023 CHASSIS HBZN865BCPAF32939</v>
      </c>
      <c r="D2063" s="8">
        <f t="shared" si="554"/>
        <v>46108</v>
      </c>
      <c r="E2063" s="15">
        <v>2923</v>
      </c>
      <c r="F2063" s="15">
        <v>2927</v>
      </c>
      <c r="G2063" s="15">
        <f t="shared" si="559"/>
        <v>4</v>
      </c>
      <c r="H2063" s="16" t="s">
        <v>339</v>
      </c>
      <c r="I2063" s="10">
        <f t="shared" si="558"/>
        <v>1000</v>
      </c>
      <c r="J2063" s="16"/>
      <c r="K2063" s="15">
        <v>1</v>
      </c>
      <c r="L2063" s="15"/>
      <c r="M2063" s="17"/>
      <c r="N2063" s="9"/>
      <c r="O2063" s="18">
        <f t="shared" si="560"/>
        <v>0</v>
      </c>
      <c r="P2063" s="9"/>
      <c r="Q2063" s="9"/>
      <c r="R2063" s="9"/>
      <c r="S2063" s="10">
        <f t="shared" si="557"/>
        <v>1000</v>
      </c>
    </row>
    <row r="2064" spans="2:19" customFormat="1" outlineLevel="1">
      <c r="B2064" s="13" t="s">
        <v>142</v>
      </c>
      <c r="C2064" s="7" t="str">
        <f t="shared" si="556"/>
        <v>MOTONIVELADORA 865B CASE DIESEL 2023 CHASSIS HBZN865BCPAF32939</v>
      </c>
      <c r="D2064" s="8">
        <f t="shared" si="554"/>
        <v>46112</v>
      </c>
      <c r="E2064" s="15"/>
      <c r="F2064" s="15"/>
      <c r="G2064" s="15">
        <f t="shared" si="559"/>
        <v>0</v>
      </c>
      <c r="H2064" s="16" t="s">
        <v>339</v>
      </c>
      <c r="I2064" s="10">
        <f t="shared" si="558"/>
        <v>1000</v>
      </c>
      <c r="J2064" s="16" t="s">
        <v>16</v>
      </c>
      <c r="K2064" s="15"/>
      <c r="L2064" s="15"/>
      <c r="M2064" s="17"/>
      <c r="N2064" s="9"/>
      <c r="O2064" s="18">
        <f t="shared" si="560"/>
        <v>0</v>
      </c>
      <c r="P2064" s="9"/>
      <c r="Q2064" s="9"/>
      <c r="R2064" s="9"/>
      <c r="S2064" s="10">
        <f t="shared" si="557"/>
        <v>1000</v>
      </c>
    </row>
    <row r="2065" spans="2:20" customFormat="1">
      <c r="B2065" s="13" t="s">
        <v>142</v>
      </c>
      <c r="D2065" s="1"/>
      <c r="E2065" s="2"/>
      <c r="F2065" s="2"/>
      <c r="G2065" s="2"/>
      <c r="K2065" s="2"/>
      <c r="L2065" s="2"/>
      <c r="O2065" s="2"/>
      <c r="P2065" s="2"/>
      <c r="Q2065" s="2"/>
      <c r="R2065" s="2"/>
    </row>
    <row r="2066" spans="2:20" customFormat="1">
      <c r="B2066" s="13" t="s">
        <v>142</v>
      </c>
      <c r="C2066" s="3" t="s">
        <v>145</v>
      </c>
      <c r="D2066" s="3"/>
      <c r="E2066" s="4"/>
      <c r="F2066" s="4"/>
      <c r="G2066" s="4"/>
      <c r="H2066" s="3"/>
      <c r="I2066" s="3"/>
      <c r="J2066" s="3"/>
      <c r="K2066" s="4"/>
      <c r="L2066" s="4"/>
      <c r="M2066" s="135" t="str">
        <f>M$1</f>
        <v>BM JANEIRO 2026</v>
      </c>
      <c r="N2066" s="135"/>
      <c r="O2066" s="135"/>
      <c r="P2066" s="19" t="s">
        <v>10</v>
      </c>
      <c r="Q2066" s="136" t="s">
        <v>242</v>
      </c>
      <c r="R2066" s="136"/>
      <c r="S2066" s="136"/>
      <c r="T2066" s="76"/>
    </row>
    <row r="2067" spans="2:20" customFormat="1">
      <c r="B2067" s="14"/>
      <c r="C2067" s="5" t="s">
        <v>1</v>
      </c>
      <c r="D2067" s="5" t="s">
        <v>11</v>
      </c>
      <c r="E2067" s="6" t="s">
        <v>12</v>
      </c>
      <c r="F2067" s="6" t="s">
        <v>13</v>
      </c>
      <c r="G2067" s="6" t="s">
        <v>14</v>
      </c>
      <c r="H2067" s="5" t="s">
        <v>3</v>
      </c>
      <c r="I2067" s="6" t="s">
        <v>15</v>
      </c>
      <c r="J2067" s="6" t="s">
        <v>16</v>
      </c>
      <c r="K2067" s="6" t="s">
        <v>17</v>
      </c>
      <c r="L2067" s="6" t="s">
        <v>18</v>
      </c>
      <c r="M2067" s="5" t="s">
        <v>11</v>
      </c>
      <c r="N2067" s="5" t="s">
        <v>19</v>
      </c>
      <c r="O2067" s="6" t="s">
        <v>2</v>
      </c>
      <c r="P2067" s="6" t="s">
        <v>20</v>
      </c>
      <c r="Q2067" s="6" t="s">
        <v>21</v>
      </c>
      <c r="R2067" s="6" t="s">
        <v>22</v>
      </c>
      <c r="S2067" s="6" t="s">
        <v>23</v>
      </c>
    </row>
    <row r="2068" spans="2:20" customFormat="1" outlineLevel="1">
      <c r="B2068" s="11" t="s">
        <v>144</v>
      </c>
      <c r="C2068" s="7" t="str">
        <f>C$2066</f>
        <v>MOTONIVELADORA 865B CASE DIESEL 2023 CHASSIS HBZN865BPPAF32670</v>
      </c>
      <c r="D2068" s="8">
        <f t="shared" ref="D2068:D2095" si="561">D2006</f>
        <v>46082</v>
      </c>
      <c r="E2068" s="15"/>
      <c r="F2068" s="15"/>
      <c r="G2068" s="15">
        <f t="shared" ref="G2068:G2071" si="562">F2068-E2068</f>
        <v>0</v>
      </c>
      <c r="H2068" s="16" t="s">
        <v>205</v>
      </c>
      <c r="I2068" s="10">
        <f>P2068</f>
        <v>1000</v>
      </c>
      <c r="J2068" s="16" t="s">
        <v>16</v>
      </c>
      <c r="K2068" s="15"/>
      <c r="L2068" s="15"/>
      <c r="M2068" s="17"/>
      <c r="N2068" s="9"/>
      <c r="O2068" s="9">
        <v>28000</v>
      </c>
      <c r="P2068" s="9">
        <f>O2068/28</f>
        <v>1000</v>
      </c>
      <c r="Q2068" s="9"/>
      <c r="R2068" s="9"/>
      <c r="S2068" s="10">
        <f>SUM(R2068+Q2068+I2068)</f>
        <v>1000</v>
      </c>
    </row>
    <row r="2069" spans="2:20" customFormat="1" outlineLevel="1">
      <c r="B2069" s="12" t="s">
        <v>0</v>
      </c>
      <c r="C2069" s="7" t="str">
        <f t="shared" ref="C2069:C2095" si="563">C$2066</f>
        <v>MOTONIVELADORA 865B CASE DIESEL 2023 CHASSIS HBZN865BPPAF32670</v>
      </c>
      <c r="D2069" s="8">
        <f t="shared" si="561"/>
        <v>46083</v>
      </c>
      <c r="E2069" s="15">
        <v>2889</v>
      </c>
      <c r="F2069" s="15">
        <v>2896</v>
      </c>
      <c r="G2069" s="15">
        <f t="shared" si="562"/>
        <v>7</v>
      </c>
      <c r="H2069" s="16" t="s">
        <v>205</v>
      </c>
      <c r="I2069" s="10">
        <f>I2068</f>
        <v>1000</v>
      </c>
      <c r="J2069" s="16"/>
      <c r="K2069" s="15">
        <v>1</v>
      </c>
      <c r="L2069" s="15"/>
      <c r="M2069" s="17"/>
      <c r="N2069" s="9"/>
      <c r="O2069" s="9"/>
      <c r="P2069" s="9"/>
      <c r="Q2069" s="9"/>
      <c r="R2069" s="9"/>
      <c r="S2069" s="10">
        <f t="shared" ref="S2069:S2095" si="564">SUM(R2069+Q2069+I2069)</f>
        <v>1000</v>
      </c>
    </row>
    <row r="2070" spans="2:20" customFormat="1" outlineLevel="1">
      <c r="B2070" s="13" t="s">
        <v>144</v>
      </c>
      <c r="C2070" s="7" t="str">
        <f t="shared" si="563"/>
        <v>MOTONIVELADORA 865B CASE DIESEL 2023 CHASSIS HBZN865BPPAF32670</v>
      </c>
      <c r="D2070" s="8">
        <f t="shared" si="561"/>
        <v>46084</v>
      </c>
      <c r="E2070" s="15">
        <v>2896</v>
      </c>
      <c r="F2070" s="15">
        <v>2897</v>
      </c>
      <c r="G2070" s="15">
        <f t="shared" si="562"/>
        <v>1</v>
      </c>
      <c r="H2070" s="16" t="s">
        <v>205</v>
      </c>
      <c r="I2070" s="10">
        <f t="shared" ref="I2070:I2095" si="565">I2069</f>
        <v>1000</v>
      </c>
      <c r="J2070" s="16"/>
      <c r="K2070" s="15">
        <v>1</v>
      </c>
      <c r="L2070" s="15">
        <v>137</v>
      </c>
      <c r="M2070" s="17">
        <v>46025</v>
      </c>
      <c r="N2070" s="9"/>
      <c r="O2070" s="9"/>
      <c r="P2070" s="9"/>
      <c r="Q2070" s="9"/>
      <c r="R2070" s="9"/>
      <c r="S2070" s="10">
        <f t="shared" si="564"/>
        <v>1000</v>
      </c>
    </row>
    <row r="2071" spans="2:20" customFormat="1" outlineLevel="1">
      <c r="B2071" s="13" t="s">
        <v>144</v>
      </c>
      <c r="C2071" s="7" t="str">
        <f t="shared" si="563"/>
        <v>MOTONIVELADORA 865B CASE DIESEL 2023 CHASSIS HBZN865BPPAF32670</v>
      </c>
      <c r="D2071" s="8">
        <f t="shared" si="561"/>
        <v>46085</v>
      </c>
      <c r="E2071" s="15"/>
      <c r="F2071" s="15"/>
      <c r="G2071" s="15">
        <f t="shared" si="562"/>
        <v>0</v>
      </c>
      <c r="H2071" s="16" t="s">
        <v>205</v>
      </c>
      <c r="I2071" s="10">
        <f t="shared" si="565"/>
        <v>1000</v>
      </c>
      <c r="J2071" s="16" t="s">
        <v>16</v>
      </c>
      <c r="K2071" s="15">
        <v>1</v>
      </c>
      <c r="L2071" s="15"/>
      <c r="M2071" s="17"/>
      <c r="N2071" s="9"/>
      <c r="O2071" s="9"/>
      <c r="P2071" s="9"/>
      <c r="Q2071" s="9"/>
      <c r="R2071" s="9"/>
      <c r="S2071" s="10">
        <f t="shared" si="564"/>
        <v>1000</v>
      </c>
    </row>
    <row r="2072" spans="2:20" customFormat="1" outlineLevel="1">
      <c r="B2072" s="13" t="s">
        <v>144</v>
      </c>
      <c r="C2072" s="7" t="str">
        <f t="shared" si="563"/>
        <v>MOTONIVELADORA 865B CASE DIESEL 2023 CHASSIS HBZN865BPPAF32670</v>
      </c>
      <c r="D2072" s="8">
        <f t="shared" si="561"/>
        <v>46086</v>
      </c>
      <c r="E2072" s="15">
        <v>2897</v>
      </c>
      <c r="F2072" s="15">
        <v>2900</v>
      </c>
      <c r="G2072" s="15">
        <f t="shared" ref="G2072:G2095" si="566">F2072-E2072</f>
        <v>3</v>
      </c>
      <c r="H2072" s="16" t="s">
        <v>279</v>
      </c>
      <c r="I2072" s="10">
        <f t="shared" si="565"/>
        <v>1000</v>
      </c>
      <c r="J2072" s="16"/>
      <c r="K2072" s="15">
        <v>1</v>
      </c>
      <c r="L2072" s="15"/>
      <c r="M2072" s="17"/>
      <c r="N2072" s="9"/>
      <c r="O2072" s="9"/>
      <c r="P2072" s="9"/>
      <c r="Q2072" s="9"/>
      <c r="R2072" s="9"/>
      <c r="S2072" s="10">
        <f t="shared" si="564"/>
        <v>1000</v>
      </c>
    </row>
    <row r="2073" spans="2:20" customFormat="1" outlineLevel="1">
      <c r="B2073" s="13" t="s">
        <v>144</v>
      </c>
      <c r="C2073" s="7" t="str">
        <f t="shared" si="563"/>
        <v>MOTONIVELADORA 865B CASE DIESEL 2023 CHASSIS HBZN865BPPAF32670</v>
      </c>
      <c r="D2073" s="114">
        <f t="shared" si="561"/>
        <v>46087</v>
      </c>
      <c r="E2073" s="15">
        <v>2900</v>
      </c>
      <c r="F2073" s="15">
        <v>2902</v>
      </c>
      <c r="G2073" s="15">
        <f t="shared" si="566"/>
        <v>2</v>
      </c>
      <c r="H2073" s="16" t="s">
        <v>279</v>
      </c>
      <c r="I2073" s="10">
        <f t="shared" si="565"/>
        <v>1000</v>
      </c>
      <c r="J2073" s="16"/>
      <c r="K2073" s="15">
        <v>1</v>
      </c>
      <c r="L2073" s="15"/>
      <c r="M2073" s="17"/>
      <c r="N2073" s="9"/>
      <c r="O2073" s="9"/>
      <c r="P2073" s="9"/>
      <c r="Q2073" s="9"/>
      <c r="R2073" s="9"/>
      <c r="S2073" s="10">
        <f t="shared" si="564"/>
        <v>1000</v>
      </c>
    </row>
    <row r="2074" spans="2:20" customFormat="1" outlineLevel="1">
      <c r="B2074" s="13" t="s">
        <v>144</v>
      </c>
      <c r="C2074" s="7" t="str">
        <f t="shared" si="563"/>
        <v>MOTONIVELADORA 865B CASE DIESEL 2023 CHASSIS HBZN865BPPAF32670</v>
      </c>
      <c r="D2074" s="8">
        <f t="shared" si="561"/>
        <v>46088</v>
      </c>
      <c r="E2074" s="15">
        <v>2902</v>
      </c>
      <c r="F2074" s="15">
        <v>2903</v>
      </c>
      <c r="G2074" s="15">
        <f t="shared" si="566"/>
        <v>1</v>
      </c>
      <c r="H2074" s="16" t="s">
        <v>279</v>
      </c>
      <c r="I2074" s="10">
        <f t="shared" si="565"/>
        <v>1000</v>
      </c>
      <c r="J2074" s="16"/>
      <c r="K2074" s="15">
        <v>1</v>
      </c>
      <c r="L2074" s="15">
        <v>118</v>
      </c>
      <c r="M2074" s="17"/>
      <c r="N2074" s="9"/>
      <c r="O2074" s="18"/>
      <c r="P2074" s="9"/>
      <c r="Q2074" s="9"/>
      <c r="R2074" s="9"/>
      <c r="S2074" s="10">
        <f t="shared" si="564"/>
        <v>1000</v>
      </c>
    </row>
    <row r="2075" spans="2:20" customFormat="1" outlineLevel="1">
      <c r="B2075" s="13" t="s">
        <v>144</v>
      </c>
      <c r="C2075" s="7" t="str">
        <f t="shared" si="563"/>
        <v>MOTONIVELADORA 865B CASE DIESEL 2023 CHASSIS HBZN865BPPAF32670</v>
      </c>
      <c r="D2075" s="8">
        <f t="shared" si="561"/>
        <v>46089</v>
      </c>
      <c r="E2075" s="15"/>
      <c r="F2075" s="15"/>
      <c r="G2075" s="15">
        <f t="shared" si="566"/>
        <v>0</v>
      </c>
      <c r="H2075" s="16" t="s">
        <v>279</v>
      </c>
      <c r="I2075" s="10">
        <f t="shared" si="565"/>
        <v>1000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64"/>
        <v>1000</v>
      </c>
    </row>
    <row r="2076" spans="2:20" customFormat="1" outlineLevel="1">
      <c r="B2076" s="13" t="s">
        <v>144</v>
      </c>
      <c r="C2076" s="7" t="str">
        <f t="shared" si="563"/>
        <v>MOTONIVELADORA 865B CASE DIESEL 2023 CHASSIS HBZN865BPPAF32670</v>
      </c>
      <c r="D2076" s="8">
        <f t="shared" si="561"/>
        <v>46090</v>
      </c>
      <c r="E2076" s="15"/>
      <c r="F2076" s="15"/>
      <c r="G2076" s="15">
        <f t="shared" si="566"/>
        <v>0</v>
      </c>
      <c r="H2076" s="16" t="s">
        <v>279</v>
      </c>
      <c r="I2076" s="10">
        <f t="shared" si="565"/>
        <v>1000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64"/>
        <v>1000</v>
      </c>
    </row>
    <row r="2077" spans="2:20" customFormat="1" outlineLevel="1">
      <c r="B2077" s="13" t="s">
        <v>144</v>
      </c>
      <c r="C2077" s="7" t="str">
        <f t="shared" si="563"/>
        <v>MOTONIVELADORA 865B CASE DIESEL 2023 CHASSIS HBZN865BPPAF32670</v>
      </c>
      <c r="D2077" s="8">
        <f t="shared" si="561"/>
        <v>46091</v>
      </c>
      <c r="E2077" s="15"/>
      <c r="F2077" s="15"/>
      <c r="G2077" s="15">
        <f t="shared" si="566"/>
        <v>0</v>
      </c>
      <c r="H2077" s="16" t="s">
        <v>279</v>
      </c>
      <c r="I2077" s="10">
        <f t="shared" si="565"/>
        <v>1000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64"/>
        <v>1000</v>
      </c>
    </row>
    <row r="2078" spans="2:20" customFormat="1" outlineLevel="1">
      <c r="B2078" s="13" t="s">
        <v>144</v>
      </c>
      <c r="C2078" s="7" t="str">
        <f t="shared" si="563"/>
        <v>MOTONIVELADORA 865B CASE DIESEL 2023 CHASSIS HBZN865BPPAF32670</v>
      </c>
      <c r="D2078" s="8">
        <f t="shared" si="561"/>
        <v>46092</v>
      </c>
      <c r="E2078" s="15"/>
      <c r="F2078" s="15"/>
      <c r="G2078" s="15">
        <f t="shared" si="566"/>
        <v>0</v>
      </c>
      <c r="H2078" s="16" t="s">
        <v>279</v>
      </c>
      <c r="I2078" s="10">
        <f t="shared" si="565"/>
        <v>1000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64"/>
        <v>1000</v>
      </c>
    </row>
    <row r="2079" spans="2:20" customFormat="1" outlineLevel="1">
      <c r="B2079" s="13" t="s">
        <v>144</v>
      </c>
      <c r="C2079" s="7" t="str">
        <f t="shared" si="563"/>
        <v>MOTONIVELADORA 865B CASE DIESEL 2023 CHASSIS HBZN865BPPAF32670</v>
      </c>
      <c r="D2079" s="8">
        <f t="shared" si="561"/>
        <v>46093</v>
      </c>
      <c r="E2079" s="15"/>
      <c r="F2079" s="15"/>
      <c r="G2079" s="15">
        <f t="shared" si="566"/>
        <v>0</v>
      </c>
      <c r="H2079" s="16" t="s">
        <v>279</v>
      </c>
      <c r="I2079" s="10">
        <f t="shared" si="565"/>
        <v>1000</v>
      </c>
      <c r="J2079" s="16" t="s">
        <v>16</v>
      </c>
      <c r="K2079" s="15"/>
      <c r="L2079" s="15"/>
      <c r="M2079" s="17"/>
      <c r="N2079" s="9"/>
      <c r="O2079" s="18"/>
      <c r="P2079" s="9"/>
      <c r="Q2079" s="9"/>
      <c r="R2079" s="9"/>
      <c r="S2079" s="10">
        <f t="shared" si="564"/>
        <v>1000</v>
      </c>
    </row>
    <row r="2080" spans="2:20" customFormat="1" outlineLevel="1">
      <c r="B2080" s="13" t="s">
        <v>144</v>
      </c>
      <c r="C2080" s="7" t="str">
        <f t="shared" si="563"/>
        <v>MOTONIVELADORA 865B CASE DIESEL 2023 CHASSIS HBZN865BPPAF32670</v>
      </c>
      <c r="D2080" s="8">
        <f t="shared" si="561"/>
        <v>46094</v>
      </c>
      <c r="E2080" s="15">
        <v>2908</v>
      </c>
      <c r="F2080" s="15">
        <v>2910</v>
      </c>
      <c r="G2080" s="15">
        <f t="shared" si="566"/>
        <v>2</v>
      </c>
      <c r="H2080" s="16" t="s">
        <v>279</v>
      </c>
      <c r="I2080" s="10">
        <f t="shared" si="565"/>
        <v>1000</v>
      </c>
      <c r="J2080" s="16"/>
      <c r="K2080" s="15">
        <v>1</v>
      </c>
      <c r="L2080" s="15"/>
      <c r="M2080" s="17"/>
      <c r="N2080" s="9"/>
      <c r="O2080" s="18">
        <f t="shared" ref="O2080:O2095" si="567">O2079</f>
        <v>0</v>
      </c>
      <c r="P2080" s="9"/>
      <c r="Q2080" s="9"/>
      <c r="R2080" s="9"/>
      <c r="S2080" s="10">
        <f t="shared" si="564"/>
        <v>1000</v>
      </c>
    </row>
    <row r="2081" spans="2:19" customFormat="1" outlineLevel="1">
      <c r="B2081" s="13" t="s">
        <v>144</v>
      </c>
      <c r="C2081" s="7" t="str">
        <f t="shared" si="563"/>
        <v>MOTONIVELADORA 865B CASE DIESEL 2023 CHASSIS HBZN865BPPAF32670</v>
      </c>
      <c r="D2081" s="8">
        <f t="shared" si="561"/>
        <v>46095</v>
      </c>
      <c r="E2081" s="15"/>
      <c r="F2081" s="15"/>
      <c r="G2081" s="15">
        <f t="shared" si="566"/>
        <v>0</v>
      </c>
      <c r="H2081" s="16" t="s">
        <v>279</v>
      </c>
      <c r="I2081" s="10">
        <f t="shared" si="565"/>
        <v>1000</v>
      </c>
      <c r="J2081" s="16" t="s">
        <v>16</v>
      </c>
      <c r="K2081" s="15"/>
      <c r="L2081" s="15"/>
      <c r="M2081" s="17"/>
      <c r="N2081" s="9"/>
      <c r="O2081" s="18">
        <f t="shared" si="567"/>
        <v>0</v>
      </c>
      <c r="P2081" s="9"/>
      <c r="Q2081" s="9"/>
      <c r="R2081" s="9"/>
      <c r="S2081" s="10">
        <f t="shared" si="564"/>
        <v>1000</v>
      </c>
    </row>
    <row r="2082" spans="2:19" customFormat="1" outlineLevel="1">
      <c r="B2082" s="13" t="s">
        <v>144</v>
      </c>
      <c r="C2082" s="7" t="str">
        <f t="shared" si="563"/>
        <v>MOTONIVELADORA 865B CASE DIESEL 2023 CHASSIS HBZN865BPPAF32670</v>
      </c>
      <c r="D2082" s="8">
        <f t="shared" si="561"/>
        <v>46096</v>
      </c>
      <c r="E2082" s="15"/>
      <c r="F2082" s="15"/>
      <c r="G2082" s="15">
        <f t="shared" si="566"/>
        <v>0</v>
      </c>
      <c r="H2082" s="16" t="s">
        <v>279</v>
      </c>
      <c r="I2082" s="10">
        <f t="shared" si="565"/>
        <v>1000</v>
      </c>
      <c r="J2082" s="16" t="s">
        <v>16</v>
      </c>
      <c r="K2082" s="15"/>
      <c r="L2082" s="15"/>
      <c r="M2082" s="17"/>
      <c r="N2082" s="9"/>
      <c r="O2082" s="18">
        <f t="shared" si="567"/>
        <v>0</v>
      </c>
      <c r="P2082" s="9"/>
      <c r="Q2082" s="9"/>
      <c r="R2082" s="9"/>
      <c r="S2082" s="10">
        <f t="shared" si="564"/>
        <v>1000</v>
      </c>
    </row>
    <row r="2083" spans="2:19" customFormat="1" outlineLevel="1">
      <c r="B2083" s="13" t="s">
        <v>144</v>
      </c>
      <c r="C2083" s="7" t="str">
        <f t="shared" si="563"/>
        <v>MOTONIVELADORA 865B CASE DIESEL 2023 CHASSIS HBZN865BPPAF32670</v>
      </c>
      <c r="D2083" s="8">
        <f t="shared" si="561"/>
        <v>46097</v>
      </c>
      <c r="E2083" s="15"/>
      <c r="F2083" s="15"/>
      <c r="G2083" s="15">
        <f t="shared" si="566"/>
        <v>0</v>
      </c>
      <c r="H2083" s="16" t="s">
        <v>279</v>
      </c>
      <c r="I2083" s="10">
        <f t="shared" si="565"/>
        <v>1000</v>
      </c>
      <c r="J2083" s="16" t="s">
        <v>16</v>
      </c>
      <c r="K2083" s="15"/>
      <c r="L2083" s="15"/>
      <c r="M2083" s="17"/>
      <c r="N2083" s="9"/>
      <c r="O2083" s="18">
        <f t="shared" si="567"/>
        <v>0</v>
      </c>
      <c r="P2083" s="9"/>
      <c r="Q2083" s="9"/>
      <c r="R2083" s="9"/>
      <c r="S2083" s="10">
        <f t="shared" si="564"/>
        <v>1000</v>
      </c>
    </row>
    <row r="2084" spans="2:19" customFormat="1" outlineLevel="1">
      <c r="B2084" s="13" t="s">
        <v>144</v>
      </c>
      <c r="C2084" s="7" t="str">
        <f t="shared" si="563"/>
        <v>MOTONIVELADORA 865B CASE DIESEL 2023 CHASSIS HBZN865BPPAF32670</v>
      </c>
      <c r="D2084" s="8">
        <f t="shared" si="561"/>
        <v>46098</v>
      </c>
      <c r="E2084" s="15"/>
      <c r="F2084" s="15"/>
      <c r="G2084" s="15">
        <f t="shared" si="566"/>
        <v>0</v>
      </c>
      <c r="H2084" s="16" t="s">
        <v>279</v>
      </c>
      <c r="I2084" s="10">
        <f t="shared" si="565"/>
        <v>1000</v>
      </c>
      <c r="J2084" s="16" t="s">
        <v>16</v>
      </c>
      <c r="K2084" s="15"/>
      <c r="L2084" s="15"/>
      <c r="M2084" s="17"/>
      <c r="N2084" s="9"/>
      <c r="O2084" s="18">
        <f t="shared" si="567"/>
        <v>0</v>
      </c>
      <c r="P2084" s="9"/>
      <c r="Q2084" s="9"/>
      <c r="R2084" s="9"/>
      <c r="S2084" s="10">
        <f t="shared" si="564"/>
        <v>1000</v>
      </c>
    </row>
    <row r="2085" spans="2:19" customFormat="1" outlineLevel="1">
      <c r="B2085" s="13" t="s">
        <v>144</v>
      </c>
      <c r="C2085" s="7" t="str">
        <f t="shared" si="563"/>
        <v>MOTONIVELADORA 865B CASE DIESEL 2023 CHASSIS HBZN865BPPAF32670</v>
      </c>
      <c r="D2085" s="8">
        <f t="shared" si="561"/>
        <v>46099</v>
      </c>
      <c r="E2085" s="15"/>
      <c r="F2085" s="15"/>
      <c r="G2085" s="15">
        <f t="shared" si="566"/>
        <v>0</v>
      </c>
      <c r="H2085" s="16" t="s">
        <v>279</v>
      </c>
      <c r="I2085" s="10">
        <f t="shared" si="565"/>
        <v>1000</v>
      </c>
      <c r="J2085" s="16" t="s">
        <v>16</v>
      </c>
      <c r="K2085" s="15"/>
      <c r="L2085" s="15"/>
      <c r="M2085" s="17"/>
      <c r="N2085" s="9"/>
      <c r="O2085" s="18">
        <f t="shared" si="567"/>
        <v>0</v>
      </c>
      <c r="P2085" s="9"/>
      <c r="Q2085" s="9"/>
      <c r="R2085" s="9"/>
      <c r="S2085" s="10">
        <f t="shared" si="564"/>
        <v>1000</v>
      </c>
    </row>
    <row r="2086" spans="2:19" customFormat="1" outlineLevel="1">
      <c r="B2086" s="13" t="s">
        <v>144</v>
      </c>
      <c r="C2086" s="7" t="str">
        <f t="shared" si="563"/>
        <v>MOTONIVELADORA 865B CASE DIESEL 2023 CHASSIS HBZN865BPPAF32670</v>
      </c>
      <c r="D2086" s="8">
        <f t="shared" si="561"/>
        <v>46100</v>
      </c>
      <c r="E2086" s="15">
        <v>2910</v>
      </c>
      <c r="F2086" s="15">
        <v>2913</v>
      </c>
      <c r="G2086" s="15">
        <f t="shared" si="566"/>
        <v>3</v>
      </c>
      <c r="H2086" s="16" t="s">
        <v>279</v>
      </c>
      <c r="I2086" s="10">
        <f t="shared" si="565"/>
        <v>1000</v>
      </c>
      <c r="J2086" s="16"/>
      <c r="K2086" s="15">
        <v>1</v>
      </c>
      <c r="L2086" s="15"/>
      <c r="M2086" s="17"/>
      <c r="N2086" s="9"/>
      <c r="O2086" s="18">
        <f t="shared" si="567"/>
        <v>0</v>
      </c>
      <c r="P2086" s="9"/>
      <c r="Q2086" s="9"/>
      <c r="R2086" s="9"/>
      <c r="S2086" s="10">
        <f t="shared" si="564"/>
        <v>1000</v>
      </c>
    </row>
    <row r="2087" spans="2:19" customFormat="1" outlineLevel="1">
      <c r="B2087" s="13" t="s">
        <v>144</v>
      </c>
      <c r="C2087" s="7" t="str">
        <f t="shared" si="563"/>
        <v>MOTONIVELADORA 865B CASE DIESEL 2023 CHASSIS HBZN865BPPAF32670</v>
      </c>
      <c r="D2087" s="8">
        <f t="shared" si="561"/>
        <v>46101</v>
      </c>
      <c r="E2087" s="15">
        <v>2913</v>
      </c>
      <c r="F2087" s="15">
        <v>2916</v>
      </c>
      <c r="G2087" s="15">
        <f t="shared" si="566"/>
        <v>3</v>
      </c>
      <c r="H2087" s="16" t="s">
        <v>279</v>
      </c>
      <c r="I2087" s="10">
        <f t="shared" si="565"/>
        <v>1000</v>
      </c>
      <c r="J2087" s="16"/>
      <c r="K2087" s="15">
        <v>1</v>
      </c>
      <c r="L2087" s="15"/>
      <c r="M2087" s="17"/>
      <c r="N2087" s="9"/>
      <c r="O2087" s="18">
        <f t="shared" si="567"/>
        <v>0</v>
      </c>
      <c r="P2087" s="9"/>
      <c r="Q2087" s="9"/>
      <c r="R2087" s="9"/>
      <c r="S2087" s="10">
        <f t="shared" si="564"/>
        <v>1000</v>
      </c>
    </row>
    <row r="2088" spans="2:19" customFormat="1" outlineLevel="1">
      <c r="B2088" s="13" t="s">
        <v>144</v>
      </c>
      <c r="C2088" s="7" t="str">
        <f t="shared" si="563"/>
        <v>MOTONIVELADORA 865B CASE DIESEL 2023 CHASSIS HBZN865BPPAF32670</v>
      </c>
      <c r="D2088" s="8">
        <f t="shared" si="561"/>
        <v>46102</v>
      </c>
      <c r="E2088" s="15"/>
      <c r="F2088" s="15"/>
      <c r="G2088" s="15">
        <f t="shared" si="566"/>
        <v>0</v>
      </c>
      <c r="H2088" s="16" t="s">
        <v>279</v>
      </c>
      <c r="I2088" s="10">
        <f t="shared" si="565"/>
        <v>1000</v>
      </c>
      <c r="J2088" s="16" t="s">
        <v>16</v>
      </c>
      <c r="K2088" s="15"/>
      <c r="L2088" s="15"/>
      <c r="M2088" s="17"/>
      <c r="N2088" s="9"/>
      <c r="O2088" s="18">
        <f t="shared" si="567"/>
        <v>0</v>
      </c>
      <c r="P2088" s="9"/>
      <c r="Q2088" s="9"/>
      <c r="R2088" s="9"/>
      <c r="S2088" s="10">
        <f t="shared" si="564"/>
        <v>1000</v>
      </c>
    </row>
    <row r="2089" spans="2:19" customFormat="1" outlineLevel="1">
      <c r="B2089" s="13" t="s">
        <v>144</v>
      </c>
      <c r="C2089" s="7" t="str">
        <f t="shared" si="563"/>
        <v>MOTONIVELADORA 865B CASE DIESEL 2023 CHASSIS HBZN865BPPAF32670</v>
      </c>
      <c r="D2089" s="8">
        <f t="shared" si="561"/>
        <v>46103</v>
      </c>
      <c r="E2089" s="15"/>
      <c r="F2089" s="15"/>
      <c r="G2089" s="15">
        <f t="shared" si="566"/>
        <v>0</v>
      </c>
      <c r="H2089" s="16" t="s">
        <v>279</v>
      </c>
      <c r="I2089" s="10">
        <f t="shared" si="565"/>
        <v>1000</v>
      </c>
      <c r="J2089" s="16" t="s">
        <v>16</v>
      </c>
      <c r="K2089" s="15"/>
      <c r="L2089" s="15"/>
      <c r="M2089" s="17"/>
      <c r="N2089" s="9"/>
      <c r="O2089" s="18">
        <f t="shared" si="567"/>
        <v>0</v>
      </c>
      <c r="P2089" s="9"/>
      <c r="Q2089" s="9"/>
      <c r="R2089" s="9"/>
      <c r="S2089" s="10">
        <f t="shared" si="564"/>
        <v>1000</v>
      </c>
    </row>
    <row r="2090" spans="2:19" customFormat="1" outlineLevel="1">
      <c r="B2090" s="13" t="s">
        <v>144</v>
      </c>
      <c r="C2090" s="7" t="str">
        <f t="shared" si="563"/>
        <v>MOTONIVELADORA 865B CASE DIESEL 2023 CHASSIS HBZN865BPPAF32670</v>
      </c>
      <c r="D2090" s="8">
        <f t="shared" si="561"/>
        <v>46104</v>
      </c>
      <c r="E2090" s="15">
        <v>2916</v>
      </c>
      <c r="F2090" s="15">
        <v>2925</v>
      </c>
      <c r="G2090" s="15">
        <f t="shared" si="566"/>
        <v>9</v>
      </c>
      <c r="H2090" s="16" t="s">
        <v>279</v>
      </c>
      <c r="I2090" s="10">
        <f t="shared" si="565"/>
        <v>1000</v>
      </c>
      <c r="J2090" s="16"/>
      <c r="K2090" s="15">
        <v>1</v>
      </c>
      <c r="L2090" s="15">
        <v>298</v>
      </c>
      <c r="M2090" s="17"/>
      <c r="N2090" s="9"/>
      <c r="O2090" s="18">
        <f t="shared" si="567"/>
        <v>0</v>
      </c>
      <c r="P2090" s="9"/>
      <c r="Q2090" s="9"/>
      <c r="R2090" s="9"/>
      <c r="S2090" s="10">
        <f t="shared" si="564"/>
        <v>1000</v>
      </c>
    </row>
    <row r="2091" spans="2:19" customFormat="1" outlineLevel="1">
      <c r="B2091" s="13" t="s">
        <v>144</v>
      </c>
      <c r="C2091" s="7" t="str">
        <f t="shared" si="563"/>
        <v>MOTONIVELADORA 865B CASE DIESEL 2023 CHASSIS HBZN865BPPAF32670</v>
      </c>
      <c r="D2091" s="8">
        <f t="shared" si="561"/>
        <v>46105</v>
      </c>
      <c r="E2091" s="15">
        <v>2925</v>
      </c>
      <c r="F2091" s="15">
        <v>2929</v>
      </c>
      <c r="G2091" s="15">
        <f t="shared" si="566"/>
        <v>4</v>
      </c>
      <c r="H2091" s="16" t="s">
        <v>279</v>
      </c>
      <c r="I2091" s="10">
        <f t="shared" si="565"/>
        <v>1000</v>
      </c>
      <c r="J2091" s="16"/>
      <c r="K2091" s="15">
        <v>1</v>
      </c>
      <c r="L2091" s="15"/>
      <c r="M2091" s="17"/>
      <c r="N2091" s="9"/>
      <c r="O2091" s="18">
        <f t="shared" si="567"/>
        <v>0</v>
      </c>
      <c r="P2091" s="9"/>
      <c r="Q2091" s="9"/>
      <c r="R2091" s="9"/>
      <c r="S2091" s="10">
        <f t="shared" si="564"/>
        <v>1000</v>
      </c>
    </row>
    <row r="2092" spans="2:19" customFormat="1" outlineLevel="1">
      <c r="B2092" s="13" t="s">
        <v>144</v>
      </c>
      <c r="C2092" s="7" t="str">
        <f t="shared" si="563"/>
        <v>MOTONIVELADORA 865B CASE DIESEL 2023 CHASSIS HBZN865BPPAF32670</v>
      </c>
      <c r="D2092" s="8">
        <f t="shared" si="561"/>
        <v>46106</v>
      </c>
      <c r="E2092" s="15">
        <v>2929</v>
      </c>
      <c r="F2092" s="15">
        <v>2934</v>
      </c>
      <c r="G2092" s="15">
        <f t="shared" si="566"/>
        <v>5</v>
      </c>
      <c r="H2092" s="16" t="s">
        <v>279</v>
      </c>
      <c r="I2092" s="10">
        <f t="shared" si="565"/>
        <v>1000</v>
      </c>
      <c r="J2092" s="16"/>
      <c r="K2092" s="15">
        <v>1</v>
      </c>
      <c r="L2092" s="15"/>
      <c r="M2092" s="17"/>
      <c r="N2092" s="9"/>
      <c r="O2092" s="18">
        <f t="shared" si="567"/>
        <v>0</v>
      </c>
      <c r="P2092" s="9"/>
      <c r="Q2092" s="9"/>
      <c r="R2092" s="9"/>
      <c r="S2092" s="10">
        <f t="shared" si="564"/>
        <v>1000</v>
      </c>
    </row>
    <row r="2093" spans="2:19" customFormat="1" outlineLevel="1">
      <c r="B2093" s="13" t="s">
        <v>144</v>
      </c>
      <c r="C2093" s="7" t="str">
        <f t="shared" si="563"/>
        <v>MOTONIVELADORA 865B CASE DIESEL 2023 CHASSIS HBZN865BPPAF32670</v>
      </c>
      <c r="D2093" s="8">
        <f t="shared" si="561"/>
        <v>46107</v>
      </c>
      <c r="E2093" s="15">
        <v>2934</v>
      </c>
      <c r="F2093" s="15">
        <v>2939</v>
      </c>
      <c r="G2093" s="15">
        <f t="shared" si="566"/>
        <v>5</v>
      </c>
      <c r="H2093" s="16" t="s">
        <v>279</v>
      </c>
      <c r="I2093" s="10">
        <f t="shared" si="565"/>
        <v>1000</v>
      </c>
      <c r="J2093" s="16"/>
      <c r="K2093" s="15">
        <v>1</v>
      </c>
      <c r="L2093" s="15">
        <v>215</v>
      </c>
      <c r="M2093" s="17">
        <v>46079</v>
      </c>
      <c r="N2093" s="9"/>
      <c r="O2093" s="18">
        <f t="shared" si="567"/>
        <v>0</v>
      </c>
      <c r="P2093" s="9"/>
      <c r="Q2093" s="9"/>
      <c r="R2093" s="9"/>
      <c r="S2093" s="10">
        <f t="shared" si="564"/>
        <v>1000</v>
      </c>
    </row>
    <row r="2094" spans="2:19" customFormat="1" outlineLevel="1">
      <c r="B2094" s="13" t="s">
        <v>144</v>
      </c>
      <c r="C2094" s="7" t="str">
        <f t="shared" si="563"/>
        <v>MOTONIVELADORA 865B CASE DIESEL 2023 CHASSIS HBZN865BPPAF32670</v>
      </c>
      <c r="D2094" s="8">
        <f t="shared" si="561"/>
        <v>46108</v>
      </c>
      <c r="E2094" s="15">
        <v>2939</v>
      </c>
      <c r="F2094" s="15">
        <v>2941</v>
      </c>
      <c r="G2094" s="15">
        <f t="shared" si="566"/>
        <v>2</v>
      </c>
      <c r="H2094" s="16" t="s">
        <v>279</v>
      </c>
      <c r="I2094" s="10">
        <f t="shared" si="565"/>
        <v>1000</v>
      </c>
      <c r="J2094" s="16"/>
      <c r="K2094" s="15">
        <v>1</v>
      </c>
      <c r="L2094" s="15"/>
      <c r="M2094" s="17"/>
      <c r="N2094" s="9"/>
      <c r="O2094" s="18">
        <f t="shared" si="567"/>
        <v>0</v>
      </c>
      <c r="P2094" s="9"/>
      <c r="Q2094" s="9"/>
      <c r="R2094" s="9"/>
      <c r="S2094" s="10">
        <f t="shared" si="564"/>
        <v>1000</v>
      </c>
    </row>
    <row r="2095" spans="2:19" customFormat="1" outlineLevel="1">
      <c r="B2095" s="13" t="s">
        <v>144</v>
      </c>
      <c r="C2095" s="7" t="str">
        <f t="shared" si="563"/>
        <v>MOTONIVELADORA 865B CASE DIESEL 2023 CHASSIS HBZN865BPPAF32670</v>
      </c>
      <c r="D2095" s="8">
        <f t="shared" si="561"/>
        <v>46112</v>
      </c>
      <c r="E2095" s="15"/>
      <c r="F2095" s="15"/>
      <c r="G2095" s="15">
        <f t="shared" si="566"/>
        <v>0</v>
      </c>
      <c r="H2095" s="16" t="s">
        <v>279</v>
      </c>
      <c r="I2095" s="10">
        <f t="shared" si="565"/>
        <v>1000</v>
      </c>
      <c r="J2095" s="16" t="s">
        <v>16</v>
      </c>
      <c r="K2095" s="15"/>
      <c r="L2095" s="15"/>
      <c r="M2095" s="17"/>
      <c r="N2095" s="9"/>
      <c r="O2095" s="18">
        <f t="shared" si="567"/>
        <v>0</v>
      </c>
      <c r="P2095" s="9"/>
      <c r="Q2095" s="9"/>
      <c r="R2095" s="9"/>
      <c r="S2095" s="10">
        <f t="shared" si="564"/>
        <v>1000</v>
      </c>
    </row>
    <row r="2096" spans="2:19" customFormat="1">
      <c r="B2096" s="13" t="s">
        <v>144</v>
      </c>
      <c r="D2096" s="1"/>
      <c r="E2096" s="2"/>
      <c r="F2096" s="2"/>
      <c r="G2096" s="2"/>
      <c r="K2096" s="2"/>
      <c r="L2096" s="2"/>
      <c r="O2096" s="2"/>
      <c r="P2096" s="2"/>
      <c r="Q2096" s="2"/>
      <c r="R2096" s="2"/>
    </row>
    <row r="2097" spans="2:19" customFormat="1" ht="15.75" customHeight="1">
      <c r="B2097" s="13" t="s">
        <v>144</v>
      </c>
      <c r="C2097" s="3" t="s">
        <v>147</v>
      </c>
      <c r="D2097" s="3"/>
      <c r="E2097" s="4"/>
      <c r="F2097" s="4"/>
      <c r="G2097" s="4"/>
      <c r="H2097" s="3"/>
      <c r="I2097" s="3"/>
      <c r="J2097" s="3"/>
      <c r="K2097" s="4"/>
      <c r="L2097" s="4"/>
      <c r="M2097" s="135" t="str">
        <f>M$1</f>
        <v>BM JANEIRO 2026</v>
      </c>
      <c r="N2097" s="135"/>
      <c r="O2097" s="135"/>
      <c r="P2097" s="19" t="s">
        <v>10</v>
      </c>
      <c r="Q2097" s="136" t="s">
        <v>266</v>
      </c>
      <c r="R2097" s="136"/>
      <c r="S2097" s="136"/>
    </row>
    <row r="2098" spans="2:19" customFormat="1">
      <c r="B2098" s="14"/>
      <c r="C2098" s="5" t="s">
        <v>1</v>
      </c>
      <c r="D2098" s="5" t="s">
        <v>11</v>
      </c>
      <c r="E2098" s="6" t="s">
        <v>12</v>
      </c>
      <c r="F2098" s="6" t="s">
        <v>13</v>
      </c>
      <c r="G2098" s="6" t="s">
        <v>14</v>
      </c>
      <c r="H2098" s="5" t="s">
        <v>3</v>
      </c>
      <c r="I2098" s="6" t="s">
        <v>15</v>
      </c>
      <c r="J2098" s="6" t="s">
        <v>16</v>
      </c>
      <c r="K2098" s="6" t="s">
        <v>17</v>
      </c>
      <c r="L2098" s="6" t="s">
        <v>18</v>
      </c>
      <c r="M2098" s="5" t="s">
        <v>11</v>
      </c>
      <c r="N2098" s="5" t="s">
        <v>19</v>
      </c>
      <c r="O2098" s="6" t="s">
        <v>2</v>
      </c>
      <c r="P2098" s="6" t="s">
        <v>20</v>
      </c>
      <c r="Q2098" s="6" t="s">
        <v>21</v>
      </c>
      <c r="R2098" s="6" t="s">
        <v>22</v>
      </c>
      <c r="S2098" s="6" t="s">
        <v>23</v>
      </c>
    </row>
    <row r="2099" spans="2:19" customFormat="1" hidden="1" outlineLevel="1">
      <c r="B2099" s="84" t="s">
        <v>146</v>
      </c>
      <c r="C2099" s="7" t="str">
        <f>C$2097</f>
        <v>ESPARGIDOR WV 13.190 ANO 2013 CHASSIS DR331380</v>
      </c>
      <c r="D2099" s="8">
        <f t="shared" ref="D2099:D2126" si="568">D2037</f>
        <v>46082</v>
      </c>
      <c r="E2099" s="15"/>
      <c r="F2099" s="15"/>
      <c r="G2099" s="15">
        <f>F2099-E2099</f>
        <v>0</v>
      </c>
      <c r="H2099" s="16" t="s">
        <v>262</v>
      </c>
      <c r="I2099" s="10">
        <f>P2099</f>
        <v>714.28571428571433</v>
      </c>
      <c r="J2099" s="16" t="s">
        <v>16</v>
      </c>
      <c r="K2099" s="15"/>
      <c r="L2099" s="15"/>
      <c r="M2099" s="17"/>
      <c r="N2099" s="9"/>
      <c r="O2099" s="9">
        <v>20000</v>
      </c>
      <c r="P2099" s="9">
        <f>O2099/28</f>
        <v>714.28571428571433</v>
      </c>
      <c r="Q2099" s="9"/>
      <c r="R2099" s="9"/>
      <c r="S2099" s="10">
        <f t="shared" ref="S2099:S2109" si="569">SUM(R2099+Q2099+I2099)</f>
        <v>714.28571428571433</v>
      </c>
    </row>
    <row r="2100" spans="2:19" customFormat="1" hidden="1" outlineLevel="1">
      <c r="B2100" s="12" t="s">
        <v>0</v>
      </c>
      <c r="C2100" s="7" t="str">
        <f t="shared" ref="C2100:C2126" si="570">C$2097</f>
        <v>ESPARGIDOR WV 13.190 ANO 2013 CHASSIS DR331380</v>
      </c>
      <c r="D2100" s="8">
        <f t="shared" si="568"/>
        <v>46083</v>
      </c>
      <c r="E2100" s="15">
        <v>631314</v>
      </c>
      <c r="F2100" s="15">
        <v>631406</v>
      </c>
      <c r="G2100" s="15">
        <f t="shared" ref="G2100:G2126" si="571">F2100-E2100</f>
        <v>92</v>
      </c>
      <c r="H2100" s="16" t="s">
        <v>262</v>
      </c>
      <c r="I2100" s="10">
        <f>I2099</f>
        <v>714.28571428571433</v>
      </c>
      <c r="J2100" s="16"/>
      <c r="K2100" s="15">
        <v>1</v>
      </c>
      <c r="L2100" s="15"/>
      <c r="M2100" s="17"/>
      <c r="N2100" s="9"/>
      <c r="O2100" s="9"/>
      <c r="P2100" s="9"/>
      <c r="Q2100" s="9"/>
      <c r="R2100" s="9"/>
      <c r="S2100" s="10">
        <f t="shared" si="569"/>
        <v>714.28571428571433</v>
      </c>
    </row>
    <row r="2101" spans="2:19" customFormat="1" hidden="1" outlineLevel="1">
      <c r="B2101" s="13" t="s">
        <v>146</v>
      </c>
      <c r="C2101" s="7" t="str">
        <f t="shared" si="570"/>
        <v>ESPARGIDOR WV 13.190 ANO 2013 CHASSIS DR331380</v>
      </c>
      <c r="D2101" s="8">
        <f t="shared" si="568"/>
        <v>46084</v>
      </c>
      <c r="E2101" s="15">
        <v>631406</v>
      </c>
      <c r="F2101" s="15">
        <v>631453</v>
      </c>
      <c r="G2101" s="15">
        <f t="shared" si="571"/>
        <v>47</v>
      </c>
      <c r="H2101" s="16" t="s">
        <v>262</v>
      </c>
      <c r="I2101" s="10">
        <f t="shared" ref="I2101:I2126" si="572">I2100</f>
        <v>714.28571428571433</v>
      </c>
      <c r="J2101" s="16"/>
      <c r="K2101" s="15">
        <v>1</v>
      </c>
      <c r="L2101" s="15"/>
      <c r="M2101" s="17"/>
      <c r="N2101" s="9"/>
      <c r="O2101" s="9"/>
      <c r="P2101" s="9"/>
      <c r="Q2101" s="9"/>
      <c r="R2101" s="9"/>
      <c r="S2101" s="10">
        <f t="shared" si="569"/>
        <v>714.28571428571433</v>
      </c>
    </row>
    <row r="2102" spans="2:19" customFormat="1" hidden="1" outlineLevel="1">
      <c r="B2102" s="13" t="s">
        <v>146</v>
      </c>
      <c r="C2102" s="7" t="str">
        <f t="shared" si="570"/>
        <v>ESPARGIDOR WV 13.190 ANO 2013 CHASSIS DR331380</v>
      </c>
      <c r="D2102" s="8">
        <f t="shared" si="568"/>
        <v>46085</v>
      </c>
      <c r="E2102" s="15"/>
      <c r="F2102" s="15"/>
      <c r="G2102" s="15">
        <f t="shared" si="571"/>
        <v>0</v>
      </c>
      <c r="H2102" s="16" t="s">
        <v>262</v>
      </c>
      <c r="I2102" s="10">
        <f t="shared" si="572"/>
        <v>714.28571428571433</v>
      </c>
      <c r="J2102" s="16" t="s">
        <v>16</v>
      </c>
      <c r="K2102" s="15"/>
      <c r="L2102" s="15"/>
      <c r="M2102" s="17"/>
      <c r="N2102" s="9"/>
      <c r="O2102" s="9"/>
      <c r="P2102" s="9"/>
      <c r="Q2102" s="9"/>
      <c r="R2102" s="9"/>
      <c r="S2102" s="10">
        <f t="shared" si="569"/>
        <v>714.28571428571433</v>
      </c>
    </row>
    <row r="2103" spans="2:19" customFormat="1" hidden="1" outlineLevel="1">
      <c r="B2103" s="13" t="s">
        <v>146</v>
      </c>
      <c r="C2103" s="7" t="str">
        <f t="shared" si="570"/>
        <v>ESPARGIDOR WV 13.190 ANO 2013 CHASSIS DR331380</v>
      </c>
      <c r="D2103" s="8">
        <f t="shared" si="568"/>
        <v>46086</v>
      </c>
      <c r="E2103" s="15"/>
      <c r="F2103" s="15"/>
      <c r="G2103" s="15">
        <f t="shared" si="571"/>
        <v>0</v>
      </c>
      <c r="H2103" s="16" t="s">
        <v>262</v>
      </c>
      <c r="I2103" s="10">
        <f t="shared" si="572"/>
        <v>714.28571428571433</v>
      </c>
      <c r="J2103" s="16" t="s">
        <v>16</v>
      </c>
      <c r="K2103" s="15"/>
      <c r="L2103" s="15"/>
      <c r="M2103" s="17"/>
      <c r="N2103" s="9"/>
      <c r="O2103" s="9"/>
      <c r="P2103" s="9"/>
      <c r="Q2103" s="9"/>
      <c r="R2103" s="9"/>
      <c r="S2103" s="10">
        <f t="shared" si="569"/>
        <v>714.28571428571433</v>
      </c>
    </row>
    <row r="2104" spans="2:19" customFormat="1" hidden="1" outlineLevel="1">
      <c r="B2104" s="13" t="s">
        <v>146</v>
      </c>
      <c r="C2104" s="7" t="str">
        <f t="shared" si="570"/>
        <v>ESPARGIDOR WV 13.190 ANO 2013 CHASSIS DR331380</v>
      </c>
      <c r="D2104" s="8">
        <f t="shared" si="568"/>
        <v>46087</v>
      </c>
      <c r="E2104" s="15"/>
      <c r="F2104" s="15"/>
      <c r="G2104" s="15">
        <f t="shared" si="571"/>
        <v>0</v>
      </c>
      <c r="H2104" s="16" t="s">
        <v>262</v>
      </c>
      <c r="I2104" s="10">
        <f t="shared" si="572"/>
        <v>714.28571428571433</v>
      </c>
      <c r="J2104" s="16" t="s">
        <v>16</v>
      </c>
      <c r="K2104" s="15"/>
      <c r="L2104" s="15"/>
      <c r="M2104" s="17"/>
      <c r="N2104" s="9"/>
      <c r="O2104" s="18"/>
      <c r="P2104" s="9"/>
      <c r="Q2104" s="9"/>
      <c r="R2104" s="9"/>
      <c r="S2104" s="10">
        <f t="shared" si="569"/>
        <v>714.28571428571433</v>
      </c>
    </row>
    <row r="2105" spans="2:19" customFormat="1" hidden="1" outlineLevel="1">
      <c r="B2105" s="13" t="s">
        <v>146</v>
      </c>
      <c r="C2105" s="7" t="str">
        <f t="shared" si="570"/>
        <v>ESPARGIDOR WV 13.190 ANO 2013 CHASSIS DR331380</v>
      </c>
      <c r="D2105" s="8">
        <f t="shared" si="568"/>
        <v>46088</v>
      </c>
      <c r="E2105" s="15"/>
      <c r="F2105" s="15"/>
      <c r="G2105" s="15">
        <f t="shared" si="571"/>
        <v>0</v>
      </c>
      <c r="H2105" s="16" t="s">
        <v>262</v>
      </c>
      <c r="I2105" s="10">
        <f t="shared" si="572"/>
        <v>714.28571428571433</v>
      </c>
      <c r="J2105" s="16" t="s">
        <v>16</v>
      </c>
      <c r="K2105" s="15"/>
      <c r="L2105" s="15"/>
      <c r="M2105" s="17"/>
      <c r="N2105" s="9"/>
      <c r="O2105" s="18"/>
      <c r="P2105" s="9"/>
      <c r="Q2105" s="9"/>
      <c r="R2105" s="9"/>
      <c r="S2105" s="10">
        <f t="shared" si="569"/>
        <v>714.28571428571433</v>
      </c>
    </row>
    <row r="2106" spans="2:19" customFormat="1" hidden="1" outlineLevel="1">
      <c r="B2106" s="13" t="s">
        <v>146</v>
      </c>
      <c r="C2106" s="7" t="str">
        <f t="shared" si="570"/>
        <v>ESPARGIDOR WV 13.190 ANO 2013 CHASSIS DR331380</v>
      </c>
      <c r="D2106" s="8">
        <f t="shared" si="568"/>
        <v>46089</v>
      </c>
      <c r="E2106" s="15"/>
      <c r="F2106" s="15"/>
      <c r="G2106" s="15">
        <f t="shared" si="571"/>
        <v>0</v>
      </c>
      <c r="H2106" s="16" t="s">
        <v>262</v>
      </c>
      <c r="I2106" s="10">
        <f t="shared" si="572"/>
        <v>714.28571428571433</v>
      </c>
      <c r="J2106" s="16" t="s">
        <v>16</v>
      </c>
      <c r="K2106" s="15"/>
      <c r="L2106" s="15"/>
      <c r="M2106" s="17"/>
      <c r="N2106" s="9"/>
      <c r="O2106" s="18"/>
      <c r="P2106" s="9"/>
      <c r="Q2106" s="9"/>
      <c r="R2106" s="9"/>
      <c r="S2106" s="10">
        <f t="shared" si="569"/>
        <v>714.28571428571433</v>
      </c>
    </row>
    <row r="2107" spans="2:19" customFormat="1" hidden="1" outlineLevel="1">
      <c r="B2107" s="13" t="s">
        <v>146</v>
      </c>
      <c r="C2107" s="7" t="str">
        <f t="shared" si="570"/>
        <v>ESPARGIDOR WV 13.190 ANO 2013 CHASSIS DR331380</v>
      </c>
      <c r="D2107" s="8">
        <f t="shared" si="568"/>
        <v>46090</v>
      </c>
      <c r="E2107" s="15"/>
      <c r="F2107" s="15"/>
      <c r="G2107" s="15">
        <f t="shared" si="571"/>
        <v>0</v>
      </c>
      <c r="H2107" s="16" t="s">
        <v>262</v>
      </c>
      <c r="I2107" s="10">
        <f t="shared" si="572"/>
        <v>714.28571428571433</v>
      </c>
      <c r="J2107" s="16" t="s">
        <v>16</v>
      </c>
      <c r="K2107" s="15"/>
      <c r="L2107" s="15"/>
      <c r="M2107" s="17"/>
      <c r="N2107" s="9"/>
      <c r="O2107" s="18"/>
      <c r="P2107" s="9"/>
      <c r="Q2107" s="9"/>
      <c r="R2107" s="9"/>
      <c r="S2107" s="10">
        <f t="shared" si="569"/>
        <v>714.28571428571433</v>
      </c>
    </row>
    <row r="2108" spans="2:19" customFormat="1" hidden="1" outlineLevel="1">
      <c r="B2108" s="13" t="s">
        <v>146</v>
      </c>
      <c r="C2108" s="7" t="str">
        <f t="shared" si="570"/>
        <v>ESPARGIDOR WV 13.190 ANO 2013 CHASSIS DR331380</v>
      </c>
      <c r="D2108" s="8">
        <f t="shared" si="568"/>
        <v>46091</v>
      </c>
      <c r="E2108" s="15"/>
      <c r="F2108" s="15"/>
      <c r="G2108" s="15">
        <f t="shared" si="571"/>
        <v>0</v>
      </c>
      <c r="H2108" s="16" t="s">
        <v>262</v>
      </c>
      <c r="I2108" s="10">
        <f t="shared" si="572"/>
        <v>714.28571428571433</v>
      </c>
      <c r="J2108" s="16" t="s">
        <v>16</v>
      </c>
      <c r="K2108" s="15"/>
      <c r="L2108" s="15"/>
      <c r="M2108" s="17"/>
      <c r="N2108" s="9"/>
      <c r="O2108" s="18"/>
      <c r="P2108" s="9"/>
      <c r="Q2108" s="9"/>
      <c r="R2108" s="9"/>
      <c r="S2108" s="10">
        <f t="shared" si="569"/>
        <v>714.28571428571433</v>
      </c>
    </row>
    <row r="2109" spans="2:19" customFormat="1" hidden="1" outlineLevel="1">
      <c r="B2109" s="13" t="s">
        <v>146</v>
      </c>
      <c r="C2109" s="7" t="str">
        <f t="shared" si="570"/>
        <v>ESPARGIDOR WV 13.190 ANO 2013 CHASSIS DR331380</v>
      </c>
      <c r="D2109" s="8">
        <f t="shared" si="568"/>
        <v>46092</v>
      </c>
      <c r="E2109" s="15"/>
      <c r="F2109" s="15"/>
      <c r="G2109" s="15">
        <f t="shared" si="571"/>
        <v>0</v>
      </c>
      <c r="H2109" s="16" t="s">
        <v>262</v>
      </c>
      <c r="I2109" s="10">
        <f t="shared" si="572"/>
        <v>714.28571428571433</v>
      </c>
      <c r="J2109" s="16" t="s">
        <v>16</v>
      </c>
      <c r="K2109" s="15"/>
      <c r="L2109" s="15"/>
      <c r="M2109" s="17"/>
      <c r="N2109" s="9"/>
      <c r="O2109" s="18">
        <f t="shared" ref="O2109:O2126" si="573">O2108</f>
        <v>0</v>
      </c>
      <c r="P2109" s="9"/>
      <c r="Q2109" s="9"/>
      <c r="R2109" s="9"/>
      <c r="S2109" s="10">
        <f t="shared" si="569"/>
        <v>714.28571428571433</v>
      </c>
    </row>
    <row r="2110" spans="2:19" customFormat="1" hidden="1" outlineLevel="1">
      <c r="B2110" s="13" t="s">
        <v>146</v>
      </c>
      <c r="C2110" s="7" t="str">
        <f t="shared" si="570"/>
        <v>ESPARGIDOR WV 13.190 ANO 2013 CHASSIS DR331380</v>
      </c>
      <c r="D2110" s="8">
        <f t="shared" si="568"/>
        <v>46093</v>
      </c>
      <c r="E2110" s="15"/>
      <c r="F2110" s="15"/>
      <c r="G2110" s="15">
        <f t="shared" si="571"/>
        <v>0</v>
      </c>
      <c r="H2110" s="16" t="s">
        <v>262</v>
      </c>
      <c r="I2110" s="10">
        <f t="shared" si="572"/>
        <v>714.28571428571433</v>
      </c>
      <c r="J2110" s="16" t="s">
        <v>16</v>
      </c>
      <c r="K2110" s="15"/>
      <c r="L2110" s="15"/>
      <c r="M2110" s="17"/>
      <c r="N2110" s="9"/>
      <c r="O2110" s="18">
        <f t="shared" si="573"/>
        <v>0</v>
      </c>
      <c r="P2110" s="9"/>
      <c r="Q2110" s="9"/>
      <c r="R2110" s="72"/>
      <c r="S2110" s="10">
        <f t="shared" ref="S2110:S2126" si="574">SUM(R2110+Q2110+I2110)</f>
        <v>714.28571428571433</v>
      </c>
    </row>
    <row r="2111" spans="2:19" customFormat="1" hidden="1" outlineLevel="1">
      <c r="B2111" s="13" t="s">
        <v>146</v>
      </c>
      <c r="C2111" s="7" t="str">
        <f t="shared" si="570"/>
        <v>ESPARGIDOR WV 13.190 ANO 2013 CHASSIS DR331380</v>
      </c>
      <c r="D2111" s="8">
        <f t="shared" si="568"/>
        <v>46094</v>
      </c>
      <c r="E2111" s="15"/>
      <c r="F2111" s="15"/>
      <c r="G2111" s="15">
        <f t="shared" si="571"/>
        <v>0</v>
      </c>
      <c r="H2111" s="16" t="s">
        <v>262</v>
      </c>
      <c r="I2111" s="10">
        <f t="shared" si="572"/>
        <v>714.28571428571433</v>
      </c>
      <c r="J2111" s="16" t="s">
        <v>16</v>
      </c>
      <c r="K2111" s="15"/>
      <c r="L2111" s="15"/>
      <c r="M2111" s="17"/>
      <c r="N2111" s="9"/>
      <c r="O2111" s="18">
        <f t="shared" si="573"/>
        <v>0</v>
      </c>
      <c r="P2111" s="9"/>
      <c r="Q2111" s="9"/>
      <c r="R2111" s="72"/>
      <c r="S2111" s="10">
        <f t="shared" si="574"/>
        <v>714.28571428571433</v>
      </c>
    </row>
    <row r="2112" spans="2:19" customFormat="1" hidden="1" outlineLevel="1">
      <c r="B2112" s="13" t="s">
        <v>146</v>
      </c>
      <c r="C2112" s="7" t="str">
        <f t="shared" si="570"/>
        <v>ESPARGIDOR WV 13.190 ANO 2013 CHASSIS DR331380</v>
      </c>
      <c r="D2112" s="8">
        <f t="shared" si="568"/>
        <v>46095</v>
      </c>
      <c r="E2112" s="15"/>
      <c r="F2112" s="15"/>
      <c r="G2112" s="15">
        <f t="shared" si="571"/>
        <v>0</v>
      </c>
      <c r="H2112" s="16" t="s">
        <v>262</v>
      </c>
      <c r="I2112" s="10">
        <f t="shared" si="572"/>
        <v>714.28571428571433</v>
      </c>
      <c r="J2112" s="16" t="s">
        <v>16</v>
      </c>
      <c r="K2112" s="15"/>
      <c r="L2112" s="15"/>
      <c r="M2112" s="17"/>
      <c r="N2112" s="9"/>
      <c r="O2112" s="18">
        <f t="shared" si="573"/>
        <v>0</v>
      </c>
      <c r="P2112" s="9"/>
      <c r="Q2112" s="9"/>
      <c r="R2112" s="72"/>
      <c r="S2112" s="10">
        <f t="shared" si="574"/>
        <v>714.28571428571433</v>
      </c>
    </row>
    <row r="2113" spans="2:19" customFormat="1" hidden="1" outlineLevel="1">
      <c r="B2113" s="13" t="s">
        <v>146</v>
      </c>
      <c r="C2113" s="7" t="str">
        <f t="shared" si="570"/>
        <v>ESPARGIDOR WV 13.190 ANO 2013 CHASSIS DR331380</v>
      </c>
      <c r="D2113" s="8">
        <f t="shared" si="568"/>
        <v>46096</v>
      </c>
      <c r="E2113" s="15"/>
      <c r="F2113" s="15"/>
      <c r="G2113" s="15">
        <f t="shared" si="571"/>
        <v>0</v>
      </c>
      <c r="H2113" s="16" t="s">
        <v>262</v>
      </c>
      <c r="I2113" s="10">
        <f t="shared" si="572"/>
        <v>714.28571428571433</v>
      </c>
      <c r="J2113" s="16" t="s">
        <v>16</v>
      </c>
      <c r="K2113" s="15"/>
      <c r="L2113" s="15"/>
      <c r="M2113" s="17"/>
      <c r="N2113" s="9"/>
      <c r="O2113" s="18">
        <f t="shared" si="573"/>
        <v>0</v>
      </c>
      <c r="P2113" s="9"/>
      <c r="Q2113" s="9"/>
      <c r="R2113" s="72"/>
      <c r="S2113" s="10">
        <f t="shared" si="574"/>
        <v>714.28571428571433</v>
      </c>
    </row>
    <row r="2114" spans="2:19" customFormat="1" hidden="1" outlineLevel="1">
      <c r="B2114" s="13" t="s">
        <v>146</v>
      </c>
      <c r="C2114" s="7" t="str">
        <f t="shared" si="570"/>
        <v>ESPARGIDOR WV 13.190 ANO 2013 CHASSIS DR331380</v>
      </c>
      <c r="D2114" s="8">
        <f t="shared" si="568"/>
        <v>46097</v>
      </c>
      <c r="E2114" s="15"/>
      <c r="F2114" s="15"/>
      <c r="G2114" s="15">
        <f t="shared" si="571"/>
        <v>0</v>
      </c>
      <c r="H2114" s="16" t="s">
        <v>262</v>
      </c>
      <c r="I2114" s="10">
        <f t="shared" si="572"/>
        <v>714.28571428571433</v>
      </c>
      <c r="J2114" s="16" t="s">
        <v>16</v>
      </c>
      <c r="K2114" s="15"/>
      <c r="L2114" s="15"/>
      <c r="M2114" s="17"/>
      <c r="N2114" s="9"/>
      <c r="O2114" s="18">
        <f t="shared" si="573"/>
        <v>0</v>
      </c>
      <c r="P2114" s="9"/>
      <c r="Q2114" s="9"/>
      <c r="R2114" s="72"/>
      <c r="S2114" s="10">
        <f t="shared" si="574"/>
        <v>714.28571428571433</v>
      </c>
    </row>
    <row r="2115" spans="2:19" customFormat="1" hidden="1" outlineLevel="1">
      <c r="B2115" s="13" t="s">
        <v>146</v>
      </c>
      <c r="C2115" s="7" t="str">
        <f t="shared" si="570"/>
        <v>ESPARGIDOR WV 13.190 ANO 2013 CHASSIS DR331380</v>
      </c>
      <c r="D2115" s="8">
        <f t="shared" si="568"/>
        <v>46098</v>
      </c>
      <c r="E2115" s="15"/>
      <c r="F2115" s="15"/>
      <c r="G2115" s="15">
        <f t="shared" si="571"/>
        <v>0</v>
      </c>
      <c r="H2115" s="16" t="s">
        <v>262</v>
      </c>
      <c r="I2115" s="10">
        <f t="shared" si="572"/>
        <v>714.28571428571433</v>
      </c>
      <c r="J2115" s="16" t="s">
        <v>16</v>
      </c>
      <c r="K2115" s="15"/>
      <c r="L2115" s="15"/>
      <c r="M2115" s="17"/>
      <c r="N2115" s="9"/>
      <c r="O2115" s="18">
        <f t="shared" si="573"/>
        <v>0</v>
      </c>
      <c r="P2115" s="9"/>
      <c r="Q2115" s="9"/>
      <c r="R2115" s="72"/>
      <c r="S2115" s="10">
        <f t="shared" si="574"/>
        <v>714.28571428571433</v>
      </c>
    </row>
    <row r="2116" spans="2:19" customFormat="1" hidden="1" outlineLevel="1">
      <c r="B2116" s="13" t="s">
        <v>146</v>
      </c>
      <c r="C2116" s="7" t="str">
        <f t="shared" si="570"/>
        <v>ESPARGIDOR WV 13.190 ANO 2013 CHASSIS DR331380</v>
      </c>
      <c r="D2116" s="8">
        <f t="shared" si="568"/>
        <v>46099</v>
      </c>
      <c r="E2116" s="15"/>
      <c r="F2116" s="15"/>
      <c r="G2116" s="15">
        <f t="shared" si="571"/>
        <v>0</v>
      </c>
      <c r="H2116" s="16" t="s">
        <v>262</v>
      </c>
      <c r="I2116" s="10">
        <f t="shared" si="572"/>
        <v>714.28571428571433</v>
      </c>
      <c r="J2116" s="16" t="s">
        <v>16</v>
      </c>
      <c r="K2116" s="15"/>
      <c r="L2116" s="15"/>
      <c r="M2116" s="17"/>
      <c r="N2116" s="9"/>
      <c r="O2116" s="18">
        <f t="shared" si="573"/>
        <v>0</v>
      </c>
      <c r="P2116" s="9"/>
      <c r="Q2116" s="9"/>
      <c r="R2116" s="72"/>
      <c r="S2116" s="10">
        <f t="shared" si="574"/>
        <v>714.28571428571433</v>
      </c>
    </row>
    <row r="2117" spans="2:19" customFormat="1" hidden="1" outlineLevel="1">
      <c r="B2117" s="13" t="s">
        <v>146</v>
      </c>
      <c r="C2117" s="7" t="str">
        <f t="shared" si="570"/>
        <v>ESPARGIDOR WV 13.190 ANO 2013 CHASSIS DR331380</v>
      </c>
      <c r="D2117" s="8">
        <f t="shared" si="568"/>
        <v>46100</v>
      </c>
      <c r="E2117" s="15"/>
      <c r="F2117" s="15"/>
      <c r="G2117" s="15">
        <f t="shared" si="571"/>
        <v>0</v>
      </c>
      <c r="H2117" s="16" t="s">
        <v>262</v>
      </c>
      <c r="I2117" s="10">
        <f t="shared" si="572"/>
        <v>714.28571428571433</v>
      </c>
      <c r="J2117" s="16" t="s">
        <v>16</v>
      </c>
      <c r="K2117" s="15"/>
      <c r="L2117" s="15"/>
      <c r="M2117" s="17"/>
      <c r="N2117" s="9"/>
      <c r="O2117" s="18">
        <f t="shared" si="573"/>
        <v>0</v>
      </c>
      <c r="P2117" s="9"/>
      <c r="Q2117" s="9"/>
      <c r="R2117" s="72"/>
      <c r="S2117" s="10">
        <f t="shared" si="574"/>
        <v>714.28571428571433</v>
      </c>
    </row>
    <row r="2118" spans="2:19" customFormat="1" hidden="1" outlineLevel="1">
      <c r="B2118" s="13" t="s">
        <v>146</v>
      </c>
      <c r="C2118" s="7" t="str">
        <f t="shared" si="570"/>
        <v>ESPARGIDOR WV 13.190 ANO 2013 CHASSIS DR331380</v>
      </c>
      <c r="D2118" s="8">
        <f t="shared" si="568"/>
        <v>46101</v>
      </c>
      <c r="E2118" s="15"/>
      <c r="F2118" s="15"/>
      <c r="G2118" s="15">
        <f t="shared" si="571"/>
        <v>0</v>
      </c>
      <c r="H2118" s="16" t="s">
        <v>262</v>
      </c>
      <c r="I2118" s="10">
        <f t="shared" si="572"/>
        <v>714.28571428571433</v>
      </c>
      <c r="J2118" s="16" t="s">
        <v>16</v>
      </c>
      <c r="K2118" s="15"/>
      <c r="L2118" s="15"/>
      <c r="M2118" s="17"/>
      <c r="N2118" s="9"/>
      <c r="O2118" s="18">
        <f t="shared" si="573"/>
        <v>0</v>
      </c>
      <c r="P2118" s="9"/>
      <c r="Q2118" s="9"/>
      <c r="R2118" s="72"/>
      <c r="S2118" s="10">
        <f t="shared" si="574"/>
        <v>714.28571428571433</v>
      </c>
    </row>
    <row r="2119" spans="2:19" customFormat="1" hidden="1" outlineLevel="1">
      <c r="B2119" s="13" t="s">
        <v>146</v>
      </c>
      <c r="C2119" s="7" t="str">
        <f t="shared" si="570"/>
        <v>ESPARGIDOR WV 13.190 ANO 2013 CHASSIS DR331380</v>
      </c>
      <c r="D2119" s="8">
        <f t="shared" si="568"/>
        <v>46102</v>
      </c>
      <c r="E2119" s="15"/>
      <c r="F2119" s="15"/>
      <c r="G2119" s="15">
        <f>F2119-E2119</f>
        <v>0</v>
      </c>
      <c r="H2119" s="16" t="s">
        <v>262</v>
      </c>
      <c r="I2119" s="10">
        <f t="shared" si="572"/>
        <v>714.28571428571433</v>
      </c>
      <c r="J2119" s="16" t="s">
        <v>16</v>
      </c>
      <c r="K2119" s="15"/>
      <c r="L2119" s="15"/>
      <c r="M2119" s="17"/>
      <c r="N2119" s="9"/>
      <c r="O2119" s="18">
        <f t="shared" si="573"/>
        <v>0</v>
      </c>
      <c r="P2119" s="9"/>
      <c r="Q2119" s="9"/>
      <c r="R2119" s="72"/>
      <c r="S2119" s="10">
        <f t="shared" si="574"/>
        <v>714.28571428571433</v>
      </c>
    </row>
    <row r="2120" spans="2:19" customFormat="1" hidden="1" outlineLevel="1">
      <c r="B2120" s="13" t="s">
        <v>146</v>
      </c>
      <c r="C2120" s="7" t="str">
        <f t="shared" si="570"/>
        <v>ESPARGIDOR WV 13.190 ANO 2013 CHASSIS DR331380</v>
      </c>
      <c r="D2120" s="8">
        <f t="shared" si="568"/>
        <v>46103</v>
      </c>
      <c r="E2120" s="15"/>
      <c r="F2120" s="15"/>
      <c r="G2120" s="15">
        <f>F2120-E2120</f>
        <v>0</v>
      </c>
      <c r="H2120" s="16" t="s">
        <v>262</v>
      </c>
      <c r="I2120" s="10">
        <f t="shared" si="572"/>
        <v>714.28571428571433</v>
      </c>
      <c r="J2120" s="16" t="s">
        <v>16</v>
      </c>
      <c r="K2120" s="15"/>
      <c r="L2120" s="15"/>
      <c r="M2120" s="17"/>
      <c r="N2120" s="9"/>
      <c r="O2120" s="18">
        <f t="shared" si="573"/>
        <v>0</v>
      </c>
      <c r="P2120" s="9"/>
      <c r="Q2120" s="9"/>
      <c r="R2120" s="72"/>
      <c r="S2120" s="10">
        <f t="shared" si="574"/>
        <v>714.28571428571433</v>
      </c>
    </row>
    <row r="2121" spans="2:19" customFormat="1" hidden="1" outlineLevel="1">
      <c r="B2121" s="13" t="s">
        <v>146</v>
      </c>
      <c r="C2121" s="7" t="str">
        <f t="shared" si="570"/>
        <v>ESPARGIDOR WV 13.190 ANO 2013 CHASSIS DR331380</v>
      </c>
      <c r="D2121" s="8">
        <f t="shared" si="568"/>
        <v>46104</v>
      </c>
      <c r="E2121" s="15"/>
      <c r="F2121" s="15"/>
      <c r="G2121" s="15">
        <f t="shared" si="571"/>
        <v>0</v>
      </c>
      <c r="H2121" s="16" t="s">
        <v>262</v>
      </c>
      <c r="I2121" s="10">
        <f t="shared" si="572"/>
        <v>714.28571428571433</v>
      </c>
      <c r="J2121" s="16" t="s">
        <v>16</v>
      </c>
      <c r="K2121" s="15"/>
      <c r="L2121" s="15"/>
      <c r="M2121" s="17"/>
      <c r="N2121" s="9"/>
      <c r="O2121" s="18">
        <f t="shared" si="573"/>
        <v>0</v>
      </c>
      <c r="P2121" s="9"/>
      <c r="Q2121" s="9"/>
      <c r="R2121" s="72"/>
      <c r="S2121" s="10">
        <f t="shared" si="574"/>
        <v>714.28571428571433</v>
      </c>
    </row>
    <row r="2122" spans="2:19" customFormat="1" hidden="1" outlineLevel="1">
      <c r="B2122" s="13" t="s">
        <v>146</v>
      </c>
      <c r="C2122" s="7" t="str">
        <f t="shared" si="570"/>
        <v>ESPARGIDOR WV 13.190 ANO 2013 CHASSIS DR331380</v>
      </c>
      <c r="D2122" s="8">
        <f t="shared" si="568"/>
        <v>46105</v>
      </c>
      <c r="E2122" s="15"/>
      <c r="F2122" s="15"/>
      <c r="G2122" s="15">
        <f t="shared" si="571"/>
        <v>0</v>
      </c>
      <c r="H2122" s="16" t="s">
        <v>262</v>
      </c>
      <c r="I2122" s="10">
        <f t="shared" si="572"/>
        <v>714.28571428571433</v>
      </c>
      <c r="J2122" s="16" t="s">
        <v>16</v>
      </c>
      <c r="K2122" s="15"/>
      <c r="L2122" s="15"/>
      <c r="M2122" s="17"/>
      <c r="N2122" s="9"/>
      <c r="O2122" s="18">
        <f t="shared" si="573"/>
        <v>0</v>
      </c>
      <c r="P2122" s="9"/>
      <c r="Q2122" s="9"/>
      <c r="R2122" s="72"/>
      <c r="S2122" s="10">
        <f t="shared" si="574"/>
        <v>714.28571428571433</v>
      </c>
    </row>
    <row r="2123" spans="2:19" customFormat="1" hidden="1" outlineLevel="1">
      <c r="B2123" s="13" t="s">
        <v>146</v>
      </c>
      <c r="C2123" s="7" t="str">
        <f t="shared" si="570"/>
        <v>ESPARGIDOR WV 13.190 ANO 2013 CHASSIS DR331380</v>
      </c>
      <c r="D2123" s="8">
        <f t="shared" si="568"/>
        <v>46106</v>
      </c>
      <c r="E2123" s="15"/>
      <c r="F2123" s="15"/>
      <c r="G2123" s="15">
        <f t="shared" si="571"/>
        <v>0</v>
      </c>
      <c r="H2123" s="16" t="s">
        <v>262</v>
      </c>
      <c r="I2123" s="10">
        <f t="shared" si="572"/>
        <v>714.28571428571433</v>
      </c>
      <c r="J2123" s="16" t="s">
        <v>16</v>
      </c>
      <c r="K2123" s="15"/>
      <c r="L2123" s="15"/>
      <c r="M2123" s="17"/>
      <c r="N2123" s="9"/>
      <c r="O2123" s="18">
        <f t="shared" si="573"/>
        <v>0</v>
      </c>
      <c r="P2123" s="9"/>
      <c r="Q2123" s="9"/>
      <c r="R2123" s="72"/>
      <c r="S2123" s="10">
        <f t="shared" si="574"/>
        <v>714.28571428571433</v>
      </c>
    </row>
    <row r="2124" spans="2:19" customFormat="1" hidden="1" outlineLevel="1">
      <c r="B2124" s="13" t="s">
        <v>146</v>
      </c>
      <c r="C2124" s="7" t="str">
        <f t="shared" si="570"/>
        <v>ESPARGIDOR WV 13.190 ANO 2013 CHASSIS DR331380</v>
      </c>
      <c r="D2124" s="8">
        <f t="shared" si="568"/>
        <v>46107</v>
      </c>
      <c r="E2124" s="15"/>
      <c r="F2124" s="15"/>
      <c r="G2124" s="15">
        <f t="shared" si="571"/>
        <v>0</v>
      </c>
      <c r="H2124" s="16" t="s">
        <v>262</v>
      </c>
      <c r="I2124" s="10">
        <f t="shared" si="572"/>
        <v>714.28571428571433</v>
      </c>
      <c r="J2124" s="16" t="s">
        <v>16</v>
      </c>
      <c r="K2124" s="15"/>
      <c r="L2124" s="15"/>
      <c r="M2124" s="17"/>
      <c r="N2124" s="9"/>
      <c r="O2124" s="18">
        <f t="shared" si="573"/>
        <v>0</v>
      </c>
      <c r="P2124" s="9"/>
      <c r="Q2124" s="9"/>
      <c r="R2124" s="72"/>
      <c r="S2124" s="10">
        <f t="shared" si="574"/>
        <v>714.28571428571433</v>
      </c>
    </row>
    <row r="2125" spans="2:19" customFormat="1" hidden="1" outlineLevel="1">
      <c r="B2125" s="13" t="s">
        <v>146</v>
      </c>
      <c r="C2125" s="7" t="str">
        <f t="shared" si="570"/>
        <v>ESPARGIDOR WV 13.190 ANO 2013 CHASSIS DR331380</v>
      </c>
      <c r="D2125" s="8">
        <f t="shared" si="568"/>
        <v>46108</v>
      </c>
      <c r="E2125" s="15"/>
      <c r="F2125" s="15"/>
      <c r="G2125" s="15">
        <f t="shared" si="571"/>
        <v>0</v>
      </c>
      <c r="H2125" s="16" t="s">
        <v>262</v>
      </c>
      <c r="I2125" s="10">
        <f t="shared" si="572"/>
        <v>714.28571428571433</v>
      </c>
      <c r="J2125" s="16" t="s">
        <v>16</v>
      </c>
      <c r="K2125" s="15"/>
      <c r="L2125" s="15"/>
      <c r="M2125" s="17"/>
      <c r="N2125" s="9"/>
      <c r="O2125" s="18">
        <f t="shared" si="573"/>
        <v>0</v>
      </c>
      <c r="P2125" s="9"/>
      <c r="Q2125" s="9"/>
      <c r="R2125" s="72"/>
      <c r="S2125" s="10">
        <f t="shared" si="574"/>
        <v>714.28571428571433</v>
      </c>
    </row>
    <row r="2126" spans="2:19" customFormat="1" hidden="1" outlineLevel="1">
      <c r="B2126" s="13" t="s">
        <v>146</v>
      </c>
      <c r="C2126" s="7" t="str">
        <f t="shared" si="570"/>
        <v>ESPARGIDOR WV 13.190 ANO 2013 CHASSIS DR331380</v>
      </c>
      <c r="D2126" s="8">
        <f t="shared" si="568"/>
        <v>46112</v>
      </c>
      <c r="E2126" s="15"/>
      <c r="F2126" s="15"/>
      <c r="G2126" s="15">
        <f t="shared" si="571"/>
        <v>0</v>
      </c>
      <c r="H2126" s="16" t="s">
        <v>262</v>
      </c>
      <c r="I2126" s="10">
        <f t="shared" si="572"/>
        <v>714.28571428571433</v>
      </c>
      <c r="J2126" s="16" t="s">
        <v>16</v>
      </c>
      <c r="K2126" s="15"/>
      <c r="L2126" s="15"/>
      <c r="M2126" s="17"/>
      <c r="N2126" s="9"/>
      <c r="O2126" s="18">
        <f t="shared" si="573"/>
        <v>0</v>
      </c>
      <c r="P2126" s="9"/>
      <c r="Q2126" s="9"/>
      <c r="R2126" s="72"/>
      <c r="S2126" s="10">
        <f t="shared" si="574"/>
        <v>714.28571428571433</v>
      </c>
    </row>
    <row r="2127" spans="2:19" customFormat="1" collapsed="1">
      <c r="B2127" s="13" t="s">
        <v>146</v>
      </c>
      <c r="D2127" s="1"/>
      <c r="E2127" s="2"/>
      <c r="F2127" s="2"/>
      <c r="G2127" s="2"/>
      <c r="K2127" s="2"/>
      <c r="L2127" s="2"/>
      <c r="O2127" s="2"/>
      <c r="P2127" s="2"/>
      <c r="Q2127" s="2"/>
      <c r="R2127" s="2"/>
    </row>
    <row r="2128" spans="2:19" customFormat="1">
      <c r="B2128" s="13" t="s">
        <v>146</v>
      </c>
      <c r="C2128" s="3" t="s">
        <v>149</v>
      </c>
      <c r="D2128" s="3"/>
      <c r="E2128" s="4"/>
      <c r="F2128" s="4"/>
      <c r="G2128" s="4"/>
      <c r="H2128" s="3"/>
      <c r="I2128" s="3"/>
      <c r="J2128" s="3"/>
      <c r="K2128" s="4"/>
      <c r="L2128" s="4"/>
      <c r="M2128" s="135" t="str">
        <f>M$1</f>
        <v>BM JANEIRO 2026</v>
      </c>
      <c r="N2128" s="135"/>
      <c r="O2128" s="135"/>
      <c r="P2128" s="19" t="s">
        <v>10</v>
      </c>
      <c r="Q2128" s="136" t="s">
        <v>250</v>
      </c>
      <c r="R2128" s="136"/>
      <c r="S2128" s="136"/>
    </row>
    <row r="2129" spans="2:20" customFormat="1">
      <c r="B2129" s="14"/>
      <c r="C2129" s="5" t="s">
        <v>1</v>
      </c>
      <c r="D2129" s="5" t="s">
        <v>11</v>
      </c>
      <c r="E2129" s="6" t="s">
        <v>12</v>
      </c>
      <c r="F2129" s="6" t="s">
        <v>13</v>
      </c>
      <c r="G2129" s="6" t="s">
        <v>14</v>
      </c>
      <c r="H2129" s="5" t="s">
        <v>3</v>
      </c>
      <c r="I2129" s="6" t="s">
        <v>15</v>
      </c>
      <c r="J2129" s="6" t="s">
        <v>16</v>
      </c>
      <c r="K2129" s="6" t="s">
        <v>17</v>
      </c>
      <c r="L2129" s="6" t="s">
        <v>18</v>
      </c>
      <c r="M2129" s="5" t="s">
        <v>11</v>
      </c>
      <c r="N2129" s="5" t="s">
        <v>19</v>
      </c>
      <c r="O2129" s="6" t="s">
        <v>2</v>
      </c>
      <c r="P2129" s="6" t="s">
        <v>20</v>
      </c>
      <c r="Q2129" s="6" t="s">
        <v>21</v>
      </c>
      <c r="R2129" s="6" t="s">
        <v>22</v>
      </c>
      <c r="S2129" s="6" t="s">
        <v>23</v>
      </c>
    </row>
    <row r="2130" spans="2:20" customFormat="1" hidden="1" outlineLevel="1">
      <c r="B2130" s="11" t="s">
        <v>148</v>
      </c>
      <c r="C2130" s="7" t="str">
        <f>C$2128</f>
        <v>RETRO JOHN DEERE CHASSIS 1BZ310PACPDX00340 ROBERTÃO</v>
      </c>
      <c r="D2130" s="8">
        <f t="shared" ref="D2130:D2157" si="575">D2068</f>
        <v>46082</v>
      </c>
      <c r="E2130" s="24"/>
      <c r="F2130" s="24"/>
      <c r="G2130" s="15">
        <f t="shared" ref="G2130:G2133" si="576">F2130-E2130</f>
        <v>0</v>
      </c>
      <c r="H2130" s="16" t="s">
        <v>205</v>
      </c>
      <c r="I2130" s="10">
        <f>P2130</f>
        <v>514.28571428571433</v>
      </c>
      <c r="J2130" s="16" t="s">
        <v>16</v>
      </c>
      <c r="K2130" s="15"/>
      <c r="L2130" s="15"/>
      <c r="M2130" s="17"/>
      <c r="N2130" s="9"/>
      <c r="O2130" s="9">
        <v>14400</v>
      </c>
      <c r="P2130" s="9">
        <f>O2130/28</f>
        <v>514.28571428571433</v>
      </c>
      <c r="Q2130" s="9"/>
      <c r="R2130" s="9"/>
      <c r="S2130" s="10">
        <f>SUM(R2130+Q2130+I2130)</f>
        <v>514.28571428571433</v>
      </c>
    </row>
    <row r="2131" spans="2:20" customFormat="1" hidden="1" outlineLevel="1">
      <c r="B2131" s="12" t="s">
        <v>0</v>
      </c>
      <c r="C2131" s="7" t="str">
        <f t="shared" ref="C2131:C2157" si="577">C$2128</f>
        <v>RETRO JOHN DEERE CHASSIS 1BZ310PACPDX00340 ROBERTÃO</v>
      </c>
      <c r="D2131" s="8">
        <f t="shared" si="575"/>
        <v>46083</v>
      </c>
      <c r="E2131" s="24"/>
      <c r="F2131" s="24"/>
      <c r="G2131" s="15">
        <f t="shared" si="576"/>
        <v>0</v>
      </c>
      <c r="H2131" s="16" t="s">
        <v>205</v>
      </c>
      <c r="I2131" s="10">
        <f>I2130</f>
        <v>514.28571428571433</v>
      </c>
      <c r="J2131" s="16" t="s">
        <v>16</v>
      </c>
      <c r="K2131" s="15"/>
      <c r="L2131" s="15"/>
      <c r="M2131" s="17"/>
      <c r="N2131" s="9"/>
      <c r="O2131" s="9"/>
      <c r="P2131" s="9"/>
      <c r="Q2131" s="9"/>
      <c r="R2131" s="9"/>
      <c r="S2131" s="10">
        <f t="shared" ref="S2131:S2157" si="578">SUM(R2131+Q2131+I2131)</f>
        <v>514.28571428571433</v>
      </c>
    </row>
    <row r="2132" spans="2:20" customFormat="1" hidden="1" outlineLevel="1">
      <c r="B2132" s="13" t="s">
        <v>148</v>
      </c>
      <c r="C2132" s="7" t="str">
        <f t="shared" si="577"/>
        <v>RETRO JOHN DEERE CHASSIS 1BZ310PACPDX00340 ROBERTÃO</v>
      </c>
      <c r="D2132" s="8">
        <f t="shared" si="575"/>
        <v>46084</v>
      </c>
      <c r="E2132" s="24">
        <v>2333.1</v>
      </c>
      <c r="F2132" s="24">
        <v>2337.5</v>
      </c>
      <c r="G2132" s="15">
        <f t="shared" si="576"/>
        <v>4.4000000000000909</v>
      </c>
      <c r="H2132" s="16" t="s">
        <v>205</v>
      </c>
      <c r="I2132" s="10">
        <f t="shared" ref="I2132:I2157" si="579">I2131</f>
        <v>514.28571428571433</v>
      </c>
      <c r="J2132" s="16"/>
      <c r="K2132" s="15">
        <v>1</v>
      </c>
      <c r="L2132" s="15"/>
      <c r="M2132" s="17"/>
      <c r="N2132" s="9"/>
      <c r="O2132" s="9"/>
      <c r="P2132" s="9"/>
      <c r="Q2132" s="9"/>
      <c r="R2132" s="9"/>
      <c r="S2132" s="10">
        <f t="shared" si="578"/>
        <v>514.28571428571433</v>
      </c>
    </row>
    <row r="2133" spans="2:20" customFormat="1" hidden="1" outlineLevel="1">
      <c r="B2133" s="13" t="s">
        <v>148</v>
      </c>
      <c r="C2133" s="7" t="str">
        <f t="shared" si="577"/>
        <v>RETRO JOHN DEERE CHASSIS 1BZ310PACPDX00340 ROBERTÃO</v>
      </c>
      <c r="D2133" s="8">
        <f t="shared" si="575"/>
        <v>46085</v>
      </c>
      <c r="E2133" s="24"/>
      <c r="F2133" s="24"/>
      <c r="G2133" s="15">
        <f t="shared" si="576"/>
        <v>0</v>
      </c>
      <c r="H2133" s="16" t="s">
        <v>205</v>
      </c>
      <c r="I2133" s="10">
        <f t="shared" si="579"/>
        <v>514.28571428571433</v>
      </c>
      <c r="J2133" s="16" t="s">
        <v>16</v>
      </c>
      <c r="K2133" s="15"/>
      <c r="L2133" s="15"/>
      <c r="M2133" s="17"/>
      <c r="N2133" s="9"/>
      <c r="O2133" s="9"/>
      <c r="P2133" s="9"/>
      <c r="Q2133" s="9"/>
      <c r="R2133" s="9"/>
      <c r="S2133" s="10">
        <f t="shared" si="578"/>
        <v>514.28571428571433</v>
      </c>
    </row>
    <row r="2134" spans="2:20" customFormat="1" hidden="1" outlineLevel="1">
      <c r="B2134" s="13" t="s">
        <v>148</v>
      </c>
      <c r="C2134" s="7" t="str">
        <f t="shared" si="577"/>
        <v>RETRO JOHN DEERE CHASSIS 1BZ310PACPDX00340 ROBERTÃO</v>
      </c>
      <c r="D2134" s="8">
        <f t="shared" si="575"/>
        <v>46086</v>
      </c>
      <c r="E2134" s="24"/>
      <c r="F2134" s="24"/>
      <c r="G2134" s="15">
        <f t="shared" ref="G2134:G2157" si="580">F2134-E2134</f>
        <v>0</v>
      </c>
      <c r="H2134" s="16" t="s">
        <v>205</v>
      </c>
      <c r="I2134" s="10">
        <f t="shared" si="579"/>
        <v>514.28571428571433</v>
      </c>
      <c r="J2134" s="16" t="s">
        <v>16</v>
      </c>
      <c r="K2134" s="15"/>
      <c r="L2134" s="15"/>
      <c r="M2134" s="17"/>
      <c r="N2134" s="9"/>
      <c r="O2134" s="9"/>
      <c r="P2134" s="9"/>
      <c r="Q2134" s="9"/>
      <c r="R2134" s="9"/>
      <c r="S2134" s="10">
        <f t="shared" si="578"/>
        <v>514.28571428571433</v>
      </c>
    </row>
    <row r="2135" spans="2:20" customFormat="1" hidden="1" outlineLevel="1">
      <c r="B2135" s="13" t="s">
        <v>148</v>
      </c>
      <c r="C2135" s="7" t="str">
        <f t="shared" si="577"/>
        <v>RETRO JOHN DEERE CHASSIS 1BZ310PACPDX00340 ROBERTÃO</v>
      </c>
      <c r="D2135" s="8">
        <f t="shared" si="575"/>
        <v>46087</v>
      </c>
      <c r="E2135" s="24"/>
      <c r="F2135" s="25"/>
      <c r="G2135" s="15">
        <f t="shared" si="580"/>
        <v>0</v>
      </c>
      <c r="H2135" s="16" t="s">
        <v>205</v>
      </c>
      <c r="I2135" s="10">
        <f t="shared" si="579"/>
        <v>514.28571428571433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578"/>
        <v>514.28571428571433</v>
      </c>
    </row>
    <row r="2136" spans="2:20" customFormat="1" hidden="1" outlineLevel="1">
      <c r="B2136" s="13" t="s">
        <v>148</v>
      </c>
      <c r="C2136" s="7" t="str">
        <f t="shared" si="577"/>
        <v>RETRO JOHN DEERE CHASSIS 1BZ310PACPDX00340 ROBERTÃO</v>
      </c>
      <c r="D2136" s="8">
        <f t="shared" si="575"/>
        <v>46088</v>
      </c>
      <c r="E2136" s="25"/>
      <c r="F2136" s="23"/>
      <c r="G2136" s="15">
        <f t="shared" si="580"/>
        <v>0</v>
      </c>
      <c r="H2136" s="16" t="s">
        <v>205</v>
      </c>
      <c r="I2136" s="10">
        <f t="shared" si="579"/>
        <v>514.28571428571433</v>
      </c>
      <c r="J2136" s="16" t="s">
        <v>16</v>
      </c>
      <c r="K2136" s="15"/>
      <c r="L2136" s="15"/>
      <c r="M2136" s="17"/>
      <c r="N2136" s="9"/>
      <c r="O2136" s="18"/>
      <c r="P2136" s="9"/>
      <c r="Q2136" s="9"/>
      <c r="R2136" s="9"/>
      <c r="S2136" s="10">
        <f t="shared" si="578"/>
        <v>514.28571428571433</v>
      </c>
    </row>
    <row r="2137" spans="2:20" customFormat="1" hidden="1" outlineLevel="1">
      <c r="B2137" s="13" t="s">
        <v>148</v>
      </c>
      <c r="C2137" s="7" t="str">
        <f t="shared" si="577"/>
        <v>RETRO JOHN DEERE CHASSIS 1BZ310PACPDX00340 ROBERTÃO</v>
      </c>
      <c r="D2137" s="8">
        <f t="shared" si="575"/>
        <v>46089</v>
      </c>
      <c r="E2137" s="23"/>
      <c r="F2137" s="23"/>
      <c r="G2137" s="15">
        <f t="shared" si="580"/>
        <v>0</v>
      </c>
      <c r="H2137" s="16" t="s">
        <v>205</v>
      </c>
      <c r="I2137" s="10">
        <f t="shared" si="579"/>
        <v>514.28571428571433</v>
      </c>
      <c r="J2137" s="16" t="s">
        <v>16</v>
      </c>
      <c r="K2137" s="15"/>
      <c r="L2137" s="15"/>
      <c r="M2137" s="17"/>
      <c r="N2137" s="9"/>
      <c r="O2137" s="18"/>
      <c r="P2137" s="9"/>
      <c r="Q2137" s="9"/>
      <c r="R2137" s="9"/>
      <c r="S2137" s="10">
        <f t="shared" si="578"/>
        <v>514.28571428571433</v>
      </c>
    </row>
    <row r="2138" spans="2:20" customFormat="1" hidden="1" outlineLevel="1">
      <c r="B2138" s="13" t="s">
        <v>148</v>
      </c>
      <c r="C2138" s="7" t="str">
        <f t="shared" si="577"/>
        <v>RETRO JOHN DEERE CHASSIS 1BZ310PACPDX00340 ROBERTÃO</v>
      </c>
      <c r="D2138" s="8">
        <f t="shared" si="575"/>
        <v>46090</v>
      </c>
      <c r="E2138" s="23"/>
      <c r="F2138" s="26"/>
      <c r="G2138" s="15">
        <f t="shared" si="580"/>
        <v>0</v>
      </c>
      <c r="H2138" s="16" t="s">
        <v>205</v>
      </c>
      <c r="I2138" s="10">
        <f t="shared" si="579"/>
        <v>514.28571428571433</v>
      </c>
      <c r="J2138" s="16" t="s">
        <v>16</v>
      </c>
      <c r="K2138" s="15"/>
      <c r="L2138" s="15"/>
      <c r="M2138" s="17"/>
      <c r="N2138" s="9"/>
      <c r="O2138" s="18"/>
      <c r="P2138" s="9"/>
      <c r="Q2138" s="9"/>
      <c r="R2138" s="9"/>
      <c r="S2138" s="10">
        <f t="shared" si="578"/>
        <v>514.28571428571433</v>
      </c>
      <c r="T2138" s="76"/>
    </row>
    <row r="2139" spans="2:20" customFormat="1" hidden="1" outlineLevel="1">
      <c r="B2139" s="13" t="s">
        <v>148</v>
      </c>
      <c r="C2139" s="7" t="str">
        <f t="shared" si="577"/>
        <v>RETRO JOHN DEERE CHASSIS 1BZ310PACPDX00340 ROBERTÃO</v>
      </c>
      <c r="D2139" s="8">
        <f t="shared" si="575"/>
        <v>46091</v>
      </c>
      <c r="E2139" s="24"/>
      <c r="F2139" s="26"/>
      <c r="G2139" s="15">
        <f t="shared" si="580"/>
        <v>0</v>
      </c>
      <c r="H2139" s="16" t="s">
        <v>205</v>
      </c>
      <c r="I2139" s="10">
        <f t="shared" si="579"/>
        <v>514.28571428571433</v>
      </c>
      <c r="J2139" s="16" t="s">
        <v>16</v>
      </c>
      <c r="K2139" s="15"/>
      <c r="L2139" s="15"/>
      <c r="M2139" s="17"/>
      <c r="N2139" s="9"/>
      <c r="O2139" s="18"/>
      <c r="P2139" s="9"/>
      <c r="Q2139" s="9"/>
      <c r="R2139" s="9"/>
      <c r="S2139" s="10">
        <f t="shared" si="578"/>
        <v>514.28571428571433</v>
      </c>
    </row>
    <row r="2140" spans="2:20" customFormat="1" hidden="1" outlineLevel="1">
      <c r="B2140" s="13" t="s">
        <v>148</v>
      </c>
      <c r="C2140" s="7" t="str">
        <f t="shared" si="577"/>
        <v>RETRO JOHN DEERE CHASSIS 1BZ310PACPDX00340 ROBERTÃO</v>
      </c>
      <c r="D2140" s="8">
        <f t="shared" si="575"/>
        <v>46092</v>
      </c>
      <c r="E2140" s="26"/>
      <c r="F2140" s="24"/>
      <c r="G2140" s="15">
        <f t="shared" si="580"/>
        <v>0</v>
      </c>
      <c r="H2140" s="16" t="s">
        <v>205</v>
      </c>
      <c r="I2140" s="10">
        <f t="shared" si="579"/>
        <v>514.28571428571433</v>
      </c>
      <c r="J2140" s="16" t="s">
        <v>16</v>
      </c>
      <c r="K2140" s="15"/>
      <c r="L2140" s="15"/>
      <c r="M2140" s="17"/>
      <c r="N2140" s="9"/>
      <c r="O2140" s="18">
        <f t="shared" ref="O2140:O2157" si="581">O2139</f>
        <v>0</v>
      </c>
      <c r="P2140" s="9"/>
      <c r="Q2140" s="9"/>
      <c r="R2140" s="9"/>
      <c r="S2140" s="10">
        <f t="shared" si="578"/>
        <v>514.28571428571433</v>
      </c>
    </row>
    <row r="2141" spans="2:20" customFormat="1" hidden="1" outlineLevel="1">
      <c r="B2141" s="13" t="s">
        <v>148</v>
      </c>
      <c r="C2141" s="7" t="str">
        <f t="shared" si="577"/>
        <v>RETRO JOHN DEERE CHASSIS 1BZ310PACPDX00340 ROBERTÃO</v>
      </c>
      <c r="D2141" s="8">
        <f t="shared" si="575"/>
        <v>46093</v>
      </c>
      <c r="E2141" s="24"/>
      <c r="F2141" s="26"/>
      <c r="G2141" s="15">
        <f t="shared" si="580"/>
        <v>0</v>
      </c>
      <c r="H2141" s="16" t="s">
        <v>205</v>
      </c>
      <c r="I2141" s="10">
        <f t="shared" si="579"/>
        <v>514.28571428571433</v>
      </c>
      <c r="J2141" s="16" t="s">
        <v>16</v>
      </c>
      <c r="K2141" s="15"/>
      <c r="L2141" s="15"/>
      <c r="M2141" s="17"/>
      <c r="N2141" s="9"/>
      <c r="O2141" s="18">
        <f t="shared" si="581"/>
        <v>0</v>
      </c>
      <c r="P2141" s="9"/>
      <c r="Q2141" s="9"/>
      <c r="R2141" s="9"/>
      <c r="S2141" s="10">
        <f t="shared" si="578"/>
        <v>514.28571428571433</v>
      </c>
    </row>
    <row r="2142" spans="2:20" customFormat="1" hidden="1" outlineLevel="1">
      <c r="B2142" s="13" t="s">
        <v>148</v>
      </c>
      <c r="C2142" s="7" t="str">
        <f t="shared" si="577"/>
        <v>RETRO JOHN DEERE CHASSIS 1BZ310PACPDX00340 ROBERTÃO</v>
      </c>
      <c r="D2142" s="8">
        <f t="shared" si="575"/>
        <v>46094</v>
      </c>
      <c r="E2142" s="24"/>
      <c r="F2142" s="24"/>
      <c r="G2142" s="15">
        <f t="shared" si="580"/>
        <v>0</v>
      </c>
      <c r="H2142" s="16" t="s">
        <v>205</v>
      </c>
      <c r="I2142" s="10">
        <f t="shared" si="579"/>
        <v>514.28571428571433</v>
      </c>
      <c r="J2142" s="16" t="s">
        <v>16</v>
      </c>
      <c r="K2142" s="15"/>
      <c r="L2142" s="15"/>
      <c r="M2142" s="17"/>
      <c r="N2142" s="9"/>
      <c r="O2142" s="18">
        <f t="shared" si="581"/>
        <v>0</v>
      </c>
      <c r="P2142" s="9"/>
      <c r="Q2142" s="9"/>
      <c r="R2142" s="9"/>
      <c r="S2142" s="10">
        <f t="shared" si="578"/>
        <v>514.28571428571433</v>
      </c>
    </row>
    <row r="2143" spans="2:20" customFormat="1" hidden="1" outlineLevel="1">
      <c r="B2143" s="13" t="s">
        <v>148</v>
      </c>
      <c r="C2143" s="7" t="str">
        <f t="shared" si="577"/>
        <v>RETRO JOHN DEERE CHASSIS 1BZ310PACPDX00340 ROBERTÃO</v>
      </c>
      <c r="D2143" s="8">
        <f t="shared" si="575"/>
        <v>46095</v>
      </c>
      <c r="E2143" s="24"/>
      <c r="F2143" s="24"/>
      <c r="G2143" s="15">
        <f t="shared" si="580"/>
        <v>0</v>
      </c>
      <c r="H2143" s="16" t="s">
        <v>205</v>
      </c>
      <c r="I2143" s="10">
        <f t="shared" si="579"/>
        <v>514.28571428571433</v>
      </c>
      <c r="J2143" s="16" t="s">
        <v>16</v>
      </c>
      <c r="K2143" s="15"/>
      <c r="L2143" s="15"/>
      <c r="M2143" s="17"/>
      <c r="N2143" s="9"/>
      <c r="O2143" s="18">
        <f t="shared" si="581"/>
        <v>0</v>
      </c>
      <c r="P2143" s="9"/>
      <c r="Q2143" s="9"/>
      <c r="R2143" s="9"/>
      <c r="S2143" s="10">
        <f t="shared" si="578"/>
        <v>514.28571428571433</v>
      </c>
    </row>
    <row r="2144" spans="2:20" customFormat="1" hidden="1" outlineLevel="1">
      <c r="B2144" s="13" t="s">
        <v>148</v>
      </c>
      <c r="C2144" s="7" t="str">
        <f t="shared" si="577"/>
        <v>RETRO JOHN DEERE CHASSIS 1BZ310PACPDX00340 ROBERTÃO</v>
      </c>
      <c r="D2144" s="8">
        <f t="shared" si="575"/>
        <v>46096</v>
      </c>
      <c r="E2144" s="23"/>
      <c r="F2144" s="24"/>
      <c r="G2144" s="15">
        <f t="shared" si="580"/>
        <v>0</v>
      </c>
      <c r="H2144" s="16" t="s">
        <v>205</v>
      </c>
      <c r="I2144" s="10">
        <f t="shared" si="579"/>
        <v>514.28571428571433</v>
      </c>
      <c r="J2144" s="16" t="s">
        <v>16</v>
      </c>
      <c r="K2144" s="15"/>
      <c r="L2144" s="15"/>
      <c r="M2144" s="17"/>
      <c r="N2144" s="9"/>
      <c r="O2144" s="18">
        <f t="shared" si="581"/>
        <v>0</v>
      </c>
      <c r="P2144" s="9"/>
      <c r="Q2144" s="9"/>
      <c r="R2144" s="9"/>
      <c r="S2144" s="10">
        <f t="shared" si="578"/>
        <v>514.28571428571433</v>
      </c>
    </row>
    <row r="2145" spans="2:19" customFormat="1" hidden="1" outlineLevel="1">
      <c r="B2145" s="13" t="s">
        <v>148</v>
      </c>
      <c r="C2145" s="7" t="str">
        <f t="shared" si="577"/>
        <v>RETRO JOHN DEERE CHASSIS 1BZ310PACPDX00340 ROBERTÃO</v>
      </c>
      <c r="D2145" s="8">
        <f t="shared" si="575"/>
        <v>46097</v>
      </c>
      <c r="E2145" s="24"/>
      <c r="F2145" s="24"/>
      <c r="G2145" s="15">
        <f t="shared" si="580"/>
        <v>0</v>
      </c>
      <c r="H2145" s="16" t="s">
        <v>205</v>
      </c>
      <c r="I2145" s="10">
        <f t="shared" si="579"/>
        <v>514.28571428571433</v>
      </c>
      <c r="J2145" s="16" t="s">
        <v>16</v>
      </c>
      <c r="K2145" s="15"/>
      <c r="L2145" s="15"/>
      <c r="M2145" s="17"/>
      <c r="N2145" s="9"/>
      <c r="O2145" s="18">
        <f t="shared" si="581"/>
        <v>0</v>
      </c>
      <c r="P2145" s="9"/>
      <c r="Q2145" s="9"/>
      <c r="R2145" s="9"/>
      <c r="S2145" s="10">
        <f t="shared" si="578"/>
        <v>514.28571428571433</v>
      </c>
    </row>
    <row r="2146" spans="2:19" customFormat="1" hidden="1" outlineLevel="1">
      <c r="B2146" s="13" t="s">
        <v>148</v>
      </c>
      <c r="C2146" s="7" t="str">
        <f t="shared" si="577"/>
        <v>RETRO JOHN DEERE CHASSIS 1BZ310PACPDX00340 ROBERTÃO</v>
      </c>
      <c r="D2146" s="8">
        <f t="shared" si="575"/>
        <v>46098</v>
      </c>
      <c r="E2146" s="24"/>
      <c r="F2146" s="24"/>
      <c r="G2146" s="15">
        <f t="shared" si="580"/>
        <v>0</v>
      </c>
      <c r="H2146" s="16" t="s">
        <v>205</v>
      </c>
      <c r="I2146" s="10">
        <f t="shared" si="579"/>
        <v>514.28571428571433</v>
      </c>
      <c r="J2146" s="16" t="s">
        <v>16</v>
      </c>
      <c r="K2146" s="15"/>
      <c r="L2146" s="15"/>
      <c r="M2146" s="17"/>
      <c r="N2146" s="9"/>
      <c r="O2146" s="18">
        <f t="shared" si="581"/>
        <v>0</v>
      </c>
      <c r="P2146" s="9"/>
      <c r="Q2146" s="9"/>
      <c r="R2146" s="9"/>
      <c r="S2146" s="10">
        <f t="shared" si="578"/>
        <v>514.28571428571433</v>
      </c>
    </row>
    <row r="2147" spans="2:19" customFormat="1" hidden="1" outlineLevel="1">
      <c r="B2147" s="13" t="s">
        <v>148</v>
      </c>
      <c r="C2147" s="7" t="str">
        <f t="shared" si="577"/>
        <v>RETRO JOHN DEERE CHASSIS 1BZ310PACPDX00340 ROBERTÃO</v>
      </c>
      <c r="D2147" s="8">
        <f t="shared" si="575"/>
        <v>46099</v>
      </c>
      <c r="E2147" s="24"/>
      <c r="F2147" s="24"/>
      <c r="G2147" s="15">
        <f t="shared" si="580"/>
        <v>0</v>
      </c>
      <c r="H2147" s="16" t="s">
        <v>205</v>
      </c>
      <c r="I2147" s="10">
        <f t="shared" si="579"/>
        <v>514.28571428571433</v>
      </c>
      <c r="J2147" s="16" t="s">
        <v>16</v>
      </c>
      <c r="K2147" s="15"/>
      <c r="L2147" s="15"/>
      <c r="M2147" s="17"/>
      <c r="N2147" s="9"/>
      <c r="O2147" s="18">
        <f t="shared" si="581"/>
        <v>0</v>
      </c>
      <c r="P2147" s="9"/>
      <c r="Q2147" s="9"/>
      <c r="R2147" s="9"/>
      <c r="S2147" s="10">
        <f t="shared" si="578"/>
        <v>514.28571428571433</v>
      </c>
    </row>
    <row r="2148" spans="2:19" customFormat="1" hidden="1" outlineLevel="1">
      <c r="B2148" s="13" t="s">
        <v>148</v>
      </c>
      <c r="C2148" s="7" t="str">
        <f t="shared" si="577"/>
        <v>RETRO JOHN DEERE CHASSIS 1BZ310PACPDX00340 ROBERTÃO</v>
      </c>
      <c r="D2148" s="8">
        <f t="shared" si="575"/>
        <v>46100</v>
      </c>
      <c r="E2148" s="24"/>
      <c r="F2148" s="24"/>
      <c r="G2148" s="15">
        <f t="shared" si="580"/>
        <v>0</v>
      </c>
      <c r="H2148" s="16" t="s">
        <v>205</v>
      </c>
      <c r="I2148" s="10">
        <f t="shared" si="579"/>
        <v>514.28571428571433</v>
      </c>
      <c r="J2148" s="16" t="s">
        <v>16</v>
      </c>
      <c r="K2148" s="15"/>
      <c r="L2148" s="15"/>
      <c r="M2148" s="17"/>
      <c r="N2148" s="9"/>
      <c r="O2148" s="18">
        <f t="shared" si="581"/>
        <v>0</v>
      </c>
      <c r="P2148" s="9"/>
      <c r="Q2148" s="9"/>
      <c r="R2148" s="9"/>
      <c r="S2148" s="10">
        <f t="shared" si="578"/>
        <v>514.28571428571433</v>
      </c>
    </row>
    <row r="2149" spans="2:19" customFormat="1" hidden="1" outlineLevel="1">
      <c r="B2149" s="13" t="s">
        <v>148</v>
      </c>
      <c r="C2149" s="7" t="str">
        <f t="shared" si="577"/>
        <v>RETRO JOHN DEERE CHASSIS 1BZ310PACPDX00340 ROBERTÃO</v>
      </c>
      <c r="D2149" s="8">
        <f t="shared" si="575"/>
        <v>46101</v>
      </c>
      <c r="E2149" s="24"/>
      <c r="F2149" s="24"/>
      <c r="G2149" s="15">
        <f t="shared" si="580"/>
        <v>0</v>
      </c>
      <c r="H2149" s="16" t="s">
        <v>205</v>
      </c>
      <c r="I2149" s="10">
        <f t="shared" si="579"/>
        <v>514.28571428571433</v>
      </c>
      <c r="J2149" s="16" t="s">
        <v>16</v>
      </c>
      <c r="K2149" s="15"/>
      <c r="L2149" s="15"/>
      <c r="M2149" s="17"/>
      <c r="N2149" s="9"/>
      <c r="O2149" s="18">
        <f t="shared" si="581"/>
        <v>0</v>
      </c>
      <c r="P2149" s="9"/>
      <c r="Q2149" s="9"/>
      <c r="R2149" s="9"/>
      <c r="S2149" s="10">
        <f t="shared" si="578"/>
        <v>514.28571428571433</v>
      </c>
    </row>
    <row r="2150" spans="2:19" customFormat="1" hidden="1" outlineLevel="1">
      <c r="B2150" s="13" t="s">
        <v>148</v>
      </c>
      <c r="C2150" s="7" t="str">
        <f t="shared" si="577"/>
        <v>RETRO JOHN DEERE CHASSIS 1BZ310PACPDX00340 ROBERTÃO</v>
      </c>
      <c r="D2150" s="8">
        <f t="shared" si="575"/>
        <v>46102</v>
      </c>
      <c r="E2150" s="24"/>
      <c r="F2150" s="24"/>
      <c r="G2150" s="15">
        <f t="shared" si="580"/>
        <v>0</v>
      </c>
      <c r="H2150" s="16" t="s">
        <v>205</v>
      </c>
      <c r="I2150" s="10">
        <f t="shared" si="579"/>
        <v>514.28571428571433</v>
      </c>
      <c r="J2150" s="16" t="s">
        <v>16</v>
      </c>
      <c r="K2150" s="15"/>
      <c r="L2150" s="15"/>
      <c r="M2150" s="17"/>
      <c r="N2150" s="9"/>
      <c r="O2150" s="18">
        <f t="shared" si="581"/>
        <v>0</v>
      </c>
      <c r="P2150" s="9"/>
      <c r="Q2150" s="9"/>
      <c r="R2150" s="9"/>
      <c r="S2150" s="10">
        <f t="shared" si="578"/>
        <v>514.28571428571433</v>
      </c>
    </row>
    <row r="2151" spans="2:19" customFormat="1" hidden="1" outlineLevel="1">
      <c r="B2151" s="13" t="s">
        <v>148</v>
      </c>
      <c r="C2151" s="7" t="str">
        <f t="shared" si="577"/>
        <v>RETRO JOHN DEERE CHASSIS 1BZ310PACPDX00340 ROBERTÃO</v>
      </c>
      <c r="D2151" s="8">
        <f t="shared" si="575"/>
        <v>46103</v>
      </c>
      <c r="E2151" s="24"/>
      <c r="F2151" s="24"/>
      <c r="G2151" s="15">
        <f t="shared" si="580"/>
        <v>0</v>
      </c>
      <c r="H2151" s="16" t="s">
        <v>205</v>
      </c>
      <c r="I2151" s="10">
        <f t="shared" si="579"/>
        <v>514.28571428571433</v>
      </c>
      <c r="J2151" s="16" t="s">
        <v>16</v>
      </c>
      <c r="K2151" s="15"/>
      <c r="L2151" s="15"/>
      <c r="M2151" s="17"/>
      <c r="N2151" s="9"/>
      <c r="O2151" s="18">
        <f t="shared" si="581"/>
        <v>0</v>
      </c>
      <c r="P2151" s="9"/>
      <c r="Q2151" s="9"/>
      <c r="R2151" s="9"/>
      <c r="S2151" s="10">
        <f t="shared" si="578"/>
        <v>514.28571428571433</v>
      </c>
    </row>
    <row r="2152" spans="2:19" customFormat="1" hidden="1" outlineLevel="1">
      <c r="B2152" s="13" t="s">
        <v>148</v>
      </c>
      <c r="C2152" s="7" t="str">
        <f t="shared" si="577"/>
        <v>RETRO JOHN DEERE CHASSIS 1BZ310PACPDX00340 ROBERTÃO</v>
      </c>
      <c r="D2152" s="8">
        <f t="shared" si="575"/>
        <v>46104</v>
      </c>
      <c r="E2152" s="24"/>
      <c r="F2152" s="24"/>
      <c r="G2152" s="15">
        <f t="shared" si="580"/>
        <v>0</v>
      </c>
      <c r="H2152" s="16" t="s">
        <v>205</v>
      </c>
      <c r="I2152" s="10">
        <f t="shared" si="579"/>
        <v>514.28571428571433</v>
      </c>
      <c r="J2152" s="16" t="s">
        <v>16</v>
      </c>
      <c r="K2152" s="15"/>
      <c r="L2152" s="15"/>
      <c r="M2152" s="17"/>
      <c r="N2152" s="9"/>
      <c r="O2152" s="18">
        <f t="shared" si="581"/>
        <v>0</v>
      </c>
      <c r="P2152" s="9"/>
      <c r="Q2152" s="9"/>
      <c r="R2152" s="9"/>
      <c r="S2152" s="10">
        <f t="shared" si="578"/>
        <v>514.28571428571433</v>
      </c>
    </row>
    <row r="2153" spans="2:19" customFormat="1" hidden="1" outlineLevel="1">
      <c r="B2153" s="13" t="s">
        <v>148</v>
      </c>
      <c r="C2153" s="7" t="str">
        <f t="shared" si="577"/>
        <v>RETRO JOHN DEERE CHASSIS 1BZ310PACPDX00340 ROBERTÃO</v>
      </c>
      <c r="D2153" s="8">
        <f t="shared" si="575"/>
        <v>46105</v>
      </c>
      <c r="E2153" s="24"/>
      <c r="F2153" s="24"/>
      <c r="G2153" s="15">
        <f t="shared" si="580"/>
        <v>0</v>
      </c>
      <c r="H2153" s="16" t="s">
        <v>205</v>
      </c>
      <c r="I2153" s="10">
        <f t="shared" si="579"/>
        <v>514.28571428571433</v>
      </c>
      <c r="J2153" s="16" t="s">
        <v>16</v>
      </c>
      <c r="K2153" s="15"/>
      <c r="L2153" s="15"/>
      <c r="M2153" s="17"/>
      <c r="N2153" s="9"/>
      <c r="O2153" s="18">
        <f t="shared" si="581"/>
        <v>0</v>
      </c>
      <c r="P2153" s="9"/>
      <c r="Q2153" s="9"/>
      <c r="R2153" s="9"/>
      <c r="S2153" s="10">
        <f t="shared" si="578"/>
        <v>514.28571428571433</v>
      </c>
    </row>
    <row r="2154" spans="2:19" customFormat="1" hidden="1" outlineLevel="1">
      <c r="B2154" s="13" t="s">
        <v>148</v>
      </c>
      <c r="C2154" s="7" t="str">
        <f t="shared" si="577"/>
        <v>RETRO JOHN DEERE CHASSIS 1BZ310PACPDX00340 ROBERTÃO</v>
      </c>
      <c r="D2154" s="8">
        <f t="shared" si="575"/>
        <v>46106</v>
      </c>
      <c r="E2154" s="24"/>
      <c r="F2154" s="24"/>
      <c r="G2154" s="15">
        <f t="shared" si="580"/>
        <v>0</v>
      </c>
      <c r="H2154" s="16" t="s">
        <v>205</v>
      </c>
      <c r="I2154" s="10">
        <f t="shared" si="579"/>
        <v>514.28571428571433</v>
      </c>
      <c r="J2154" s="16" t="s">
        <v>16</v>
      </c>
      <c r="K2154" s="15"/>
      <c r="L2154" s="15"/>
      <c r="M2154" s="17"/>
      <c r="N2154" s="9"/>
      <c r="O2154" s="18">
        <f t="shared" si="581"/>
        <v>0</v>
      </c>
      <c r="P2154" s="9"/>
      <c r="Q2154" s="9"/>
      <c r="R2154" s="9"/>
      <c r="S2154" s="10">
        <f t="shared" si="578"/>
        <v>514.28571428571433</v>
      </c>
    </row>
    <row r="2155" spans="2:19" customFormat="1" hidden="1" outlineLevel="1">
      <c r="B2155" s="13" t="s">
        <v>148</v>
      </c>
      <c r="C2155" s="7" t="str">
        <f t="shared" si="577"/>
        <v>RETRO JOHN DEERE CHASSIS 1BZ310PACPDX00340 ROBERTÃO</v>
      </c>
      <c r="D2155" s="8">
        <f t="shared" si="575"/>
        <v>46107</v>
      </c>
      <c r="E2155" s="24"/>
      <c r="F2155" s="24"/>
      <c r="G2155" s="15">
        <f t="shared" si="580"/>
        <v>0</v>
      </c>
      <c r="H2155" s="16" t="s">
        <v>205</v>
      </c>
      <c r="I2155" s="10">
        <f t="shared" si="579"/>
        <v>514.28571428571433</v>
      </c>
      <c r="J2155" s="16" t="s">
        <v>16</v>
      </c>
      <c r="K2155" s="15"/>
      <c r="L2155" s="15"/>
      <c r="M2155" s="17"/>
      <c r="N2155" s="9"/>
      <c r="O2155" s="18">
        <f t="shared" si="581"/>
        <v>0</v>
      </c>
      <c r="P2155" s="9"/>
      <c r="Q2155" s="9"/>
      <c r="R2155" s="9"/>
      <c r="S2155" s="10">
        <f t="shared" si="578"/>
        <v>514.28571428571433</v>
      </c>
    </row>
    <row r="2156" spans="2:19" customFormat="1" hidden="1" outlineLevel="1">
      <c r="B2156" s="13" t="s">
        <v>148</v>
      </c>
      <c r="C2156" s="7" t="str">
        <f t="shared" si="577"/>
        <v>RETRO JOHN DEERE CHASSIS 1BZ310PACPDX00340 ROBERTÃO</v>
      </c>
      <c r="D2156" s="8">
        <f t="shared" si="575"/>
        <v>46108</v>
      </c>
      <c r="E2156" s="24"/>
      <c r="F2156" s="24"/>
      <c r="G2156" s="15">
        <f t="shared" si="580"/>
        <v>0</v>
      </c>
      <c r="H2156" s="16" t="s">
        <v>205</v>
      </c>
      <c r="I2156" s="10">
        <f t="shared" si="579"/>
        <v>514.28571428571433</v>
      </c>
      <c r="J2156" s="16" t="s">
        <v>16</v>
      </c>
      <c r="K2156" s="15"/>
      <c r="L2156" s="15"/>
      <c r="M2156" s="17"/>
      <c r="N2156" s="9"/>
      <c r="O2156" s="18">
        <f t="shared" si="581"/>
        <v>0</v>
      </c>
      <c r="P2156" s="9"/>
      <c r="Q2156" s="9"/>
      <c r="R2156" s="9"/>
      <c r="S2156" s="10">
        <f t="shared" si="578"/>
        <v>514.28571428571433</v>
      </c>
    </row>
    <row r="2157" spans="2:19" customFormat="1" hidden="1" outlineLevel="1">
      <c r="B2157" s="13" t="s">
        <v>148</v>
      </c>
      <c r="C2157" s="7" t="str">
        <f t="shared" si="577"/>
        <v>RETRO JOHN DEERE CHASSIS 1BZ310PACPDX00340 ROBERTÃO</v>
      </c>
      <c r="D2157" s="8">
        <f t="shared" si="575"/>
        <v>46112</v>
      </c>
      <c r="E2157" s="24"/>
      <c r="F2157" s="24"/>
      <c r="G2157" s="15">
        <f t="shared" si="580"/>
        <v>0</v>
      </c>
      <c r="H2157" s="16" t="s">
        <v>205</v>
      </c>
      <c r="I2157" s="10">
        <f t="shared" si="579"/>
        <v>514.28571428571433</v>
      </c>
      <c r="J2157" s="16" t="s">
        <v>16</v>
      </c>
      <c r="K2157" s="15"/>
      <c r="L2157" s="15"/>
      <c r="M2157" s="17"/>
      <c r="N2157" s="9"/>
      <c r="O2157" s="18">
        <f t="shared" si="581"/>
        <v>0</v>
      </c>
      <c r="P2157" s="9"/>
      <c r="Q2157" s="9"/>
      <c r="R2157" s="9"/>
      <c r="S2157" s="10">
        <f t="shared" si="578"/>
        <v>514.28571428571433</v>
      </c>
    </row>
    <row r="2158" spans="2:19" customFormat="1" ht="15.75" customHeight="1" collapsed="1">
      <c r="B2158" s="13" t="s">
        <v>148</v>
      </c>
      <c r="D2158" s="1"/>
      <c r="E2158" s="2"/>
      <c r="F2158" s="2"/>
      <c r="G2158" s="2"/>
      <c r="K2158" s="2"/>
      <c r="L2158" s="2"/>
      <c r="O2158" s="2"/>
      <c r="P2158" s="2"/>
      <c r="Q2158" s="2"/>
      <c r="R2158" s="2"/>
    </row>
    <row r="2159" spans="2:19" customFormat="1" ht="15.75" customHeight="1">
      <c r="B2159" s="13" t="s">
        <v>148</v>
      </c>
      <c r="C2159" s="3" t="s">
        <v>151</v>
      </c>
      <c r="D2159" s="3"/>
      <c r="E2159" s="4"/>
      <c r="F2159" s="4"/>
      <c r="G2159" s="4"/>
      <c r="H2159" s="3"/>
      <c r="I2159" s="3"/>
      <c r="J2159" s="3"/>
      <c r="K2159" s="4"/>
      <c r="L2159" s="4"/>
      <c r="M2159" s="135" t="str">
        <f>M$1</f>
        <v>BM JANEIRO 2026</v>
      </c>
      <c r="N2159" s="135"/>
      <c r="O2159" s="135"/>
      <c r="P2159" s="19" t="s">
        <v>10</v>
      </c>
      <c r="Q2159" s="136" t="s">
        <v>240</v>
      </c>
      <c r="R2159" s="136"/>
      <c r="S2159" s="136"/>
    </row>
    <row r="2160" spans="2:19" customFormat="1">
      <c r="B2160" s="14"/>
      <c r="C2160" s="5" t="s">
        <v>1</v>
      </c>
      <c r="D2160" s="5" t="s">
        <v>11</v>
      </c>
      <c r="E2160" s="6" t="s">
        <v>12</v>
      </c>
      <c r="F2160" s="6" t="s">
        <v>13</v>
      </c>
      <c r="G2160" s="6" t="s">
        <v>14</v>
      </c>
      <c r="H2160" s="5" t="s">
        <v>3</v>
      </c>
      <c r="I2160" s="6" t="s">
        <v>15</v>
      </c>
      <c r="J2160" s="6" t="s">
        <v>16</v>
      </c>
      <c r="K2160" s="6" t="s">
        <v>17</v>
      </c>
      <c r="L2160" s="127" t="s">
        <v>18</v>
      </c>
      <c r="M2160" s="5" t="s">
        <v>11</v>
      </c>
      <c r="N2160" s="5" t="s">
        <v>19</v>
      </c>
      <c r="O2160" s="6" t="s">
        <v>2</v>
      </c>
      <c r="P2160" s="6" t="s">
        <v>20</v>
      </c>
      <c r="Q2160" s="6" t="s">
        <v>21</v>
      </c>
      <c r="R2160" s="6" t="s">
        <v>22</v>
      </c>
      <c r="S2160" s="6" t="s">
        <v>23</v>
      </c>
    </row>
    <row r="2161" spans="2:20" customFormat="1" hidden="1" outlineLevel="1">
      <c r="B2161" s="11" t="s">
        <v>150</v>
      </c>
      <c r="C2161" s="7" t="str">
        <f>C$2159</f>
        <v>ROLO HD 14 SOLUÇÃO CHASSIS WGH0H201CHAA06397</v>
      </c>
      <c r="D2161" s="8">
        <f t="shared" ref="D2161:D2188" si="582">D2099</f>
        <v>46082</v>
      </c>
      <c r="E2161" s="22"/>
      <c r="F2161" s="22"/>
      <c r="G2161" s="15">
        <f t="shared" ref="G2161:G2164" si="583">F2161-E2161</f>
        <v>0</v>
      </c>
      <c r="H2161" s="16" t="s">
        <v>273</v>
      </c>
      <c r="I2161" s="10">
        <f>P2161</f>
        <v>550</v>
      </c>
      <c r="J2161" s="16" t="s">
        <v>16</v>
      </c>
      <c r="K2161" s="15"/>
      <c r="L2161" s="15"/>
      <c r="M2161" s="17"/>
      <c r="N2161" s="8"/>
      <c r="O2161" s="9">
        <v>15400</v>
      </c>
      <c r="P2161" s="9">
        <f>O2161/28</f>
        <v>550</v>
      </c>
      <c r="Q2161" s="9"/>
      <c r="R2161" s="85">
        <v>0</v>
      </c>
      <c r="S2161" s="10">
        <f>SUM(R2161+Q2161+I2161)</f>
        <v>550</v>
      </c>
    </row>
    <row r="2162" spans="2:20" customFormat="1" hidden="1" outlineLevel="1">
      <c r="B2162" s="12" t="s">
        <v>0</v>
      </c>
      <c r="C2162" s="7" t="str">
        <f t="shared" ref="C2162:C2188" si="584">C$2159</f>
        <v>ROLO HD 14 SOLUÇÃO CHASSIS WGH0H201CHAA06397</v>
      </c>
      <c r="D2162" s="8">
        <f t="shared" si="582"/>
        <v>46083</v>
      </c>
      <c r="E2162" s="22">
        <v>1125.4000000000001</v>
      </c>
      <c r="F2162" s="22">
        <v>1131.4000000000001</v>
      </c>
      <c r="G2162" s="15">
        <f t="shared" si="583"/>
        <v>6</v>
      </c>
      <c r="H2162" s="16" t="s">
        <v>273</v>
      </c>
      <c r="I2162" s="10">
        <f>I2161</f>
        <v>550</v>
      </c>
      <c r="J2162" s="16"/>
      <c r="K2162" s="15">
        <v>1</v>
      </c>
      <c r="L2162" s="15"/>
      <c r="M2162" s="17"/>
      <c r="N2162" s="8"/>
      <c r="O2162" s="18"/>
      <c r="P2162" s="9"/>
      <c r="Q2162" s="9"/>
      <c r="R2162" s="85">
        <v>0</v>
      </c>
      <c r="S2162" s="10">
        <f t="shared" ref="S2162:S2188" si="585">SUM(R2162+Q2162+I2162)</f>
        <v>550</v>
      </c>
    </row>
    <row r="2163" spans="2:20" customFormat="1" hidden="1" outlineLevel="1">
      <c r="B2163" s="13" t="s">
        <v>150</v>
      </c>
      <c r="C2163" s="7" t="str">
        <f t="shared" si="584"/>
        <v>ROLO HD 14 SOLUÇÃO CHASSIS WGH0H201CHAA06397</v>
      </c>
      <c r="D2163" s="8">
        <f t="shared" si="582"/>
        <v>46084</v>
      </c>
      <c r="E2163" s="22">
        <v>1131.4000000000001</v>
      </c>
      <c r="F2163" s="22">
        <v>1138.5</v>
      </c>
      <c r="G2163" s="15">
        <f t="shared" si="583"/>
        <v>7.0999999999999091</v>
      </c>
      <c r="H2163" s="16" t="s">
        <v>273</v>
      </c>
      <c r="I2163" s="10">
        <f t="shared" ref="I2163:I2188" si="586">I2162</f>
        <v>550</v>
      </c>
      <c r="J2163" s="16"/>
      <c r="K2163" s="15">
        <v>1</v>
      </c>
      <c r="L2163" s="15">
        <v>48.95</v>
      </c>
      <c r="M2163" s="17">
        <v>46056</v>
      </c>
      <c r="N2163" s="8"/>
      <c r="O2163" s="18"/>
      <c r="P2163" s="9"/>
      <c r="Q2163" s="9"/>
      <c r="R2163" s="85">
        <v>0</v>
      </c>
      <c r="S2163" s="10">
        <f t="shared" si="585"/>
        <v>550</v>
      </c>
    </row>
    <row r="2164" spans="2:20" customFormat="1" hidden="1" outlineLevel="1">
      <c r="B2164" s="13" t="s">
        <v>150</v>
      </c>
      <c r="C2164" s="7" t="str">
        <f t="shared" si="584"/>
        <v>ROLO HD 14 SOLUÇÃO CHASSIS WGH0H201CHAA06397</v>
      </c>
      <c r="D2164" s="8">
        <f t="shared" si="582"/>
        <v>46085</v>
      </c>
      <c r="E2164" s="22">
        <v>1138.5</v>
      </c>
      <c r="F2164" s="22">
        <v>1139.0999999999999</v>
      </c>
      <c r="G2164" s="15">
        <f t="shared" si="583"/>
        <v>0.59999999999990905</v>
      </c>
      <c r="H2164" s="16" t="s">
        <v>277</v>
      </c>
      <c r="I2164" s="10">
        <f t="shared" si="586"/>
        <v>550</v>
      </c>
      <c r="J2164" s="16"/>
      <c r="K2164" s="15">
        <v>1</v>
      </c>
      <c r="L2164" s="15">
        <v>45</v>
      </c>
      <c r="M2164" s="17">
        <v>46057</v>
      </c>
      <c r="N2164" s="8"/>
      <c r="O2164" s="18"/>
      <c r="P2164" s="9"/>
      <c r="Q2164" s="9"/>
      <c r="R2164" s="85">
        <v>0</v>
      </c>
      <c r="S2164" s="10">
        <f t="shared" si="585"/>
        <v>550</v>
      </c>
    </row>
    <row r="2165" spans="2:20" customFormat="1" hidden="1" outlineLevel="1">
      <c r="B2165" s="13" t="s">
        <v>150</v>
      </c>
      <c r="C2165" s="7" t="str">
        <f t="shared" si="584"/>
        <v>ROLO HD 14 SOLUÇÃO CHASSIS WGH0H201CHAA06397</v>
      </c>
      <c r="D2165" s="8">
        <f t="shared" si="582"/>
        <v>46086</v>
      </c>
      <c r="E2165" s="22">
        <v>1139.0999999999999</v>
      </c>
      <c r="F2165" s="22">
        <v>1145.8</v>
      </c>
      <c r="G2165" s="15">
        <f t="shared" ref="G2165:G2188" si="587">F2165-E2165</f>
        <v>6.7000000000000455</v>
      </c>
      <c r="H2165" s="16" t="s">
        <v>277</v>
      </c>
      <c r="I2165" s="10">
        <f t="shared" si="586"/>
        <v>550</v>
      </c>
      <c r="J2165" s="16"/>
      <c r="K2165" s="15">
        <v>1</v>
      </c>
      <c r="L2165" s="15"/>
      <c r="M2165" s="17"/>
      <c r="N2165" s="8"/>
      <c r="O2165" s="18"/>
      <c r="P2165" s="9"/>
      <c r="Q2165" s="9"/>
      <c r="R2165" s="85">
        <v>0</v>
      </c>
      <c r="S2165" s="10">
        <f t="shared" si="585"/>
        <v>550</v>
      </c>
    </row>
    <row r="2166" spans="2:20" customFormat="1" hidden="1" outlineLevel="1">
      <c r="B2166" s="13" t="s">
        <v>150</v>
      </c>
      <c r="C2166" s="7" t="str">
        <f t="shared" si="584"/>
        <v>ROLO HD 14 SOLUÇÃO CHASSIS WGH0H201CHAA06397</v>
      </c>
      <c r="D2166" s="114">
        <f t="shared" si="582"/>
        <v>46087</v>
      </c>
      <c r="E2166" s="22">
        <v>1145.9000000000001</v>
      </c>
      <c r="F2166" s="22">
        <v>1154.7</v>
      </c>
      <c r="G2166" s="15">
        <f t="shared" si="587"/>
        <v>8.7999999999999545</v>
      </c>
      <c r="H2166" s="16" t="s">
        <v>277</v>
      </c>
      <c r="I2166" s="10">
        <f t="shared" si="586"/>
        <v>550</v>
      </c>
      <c r="J2166" s="16"/>
      <c r="K2166" s="15">
        <v>1</v>
      </c>
      <c r="L2166" s="15">
        <v>40</v>
      </c>
      <c r="M2166" s="17">
        <v>46059</v>
      </c>
      <c r="N2166" s="8"/>
      <c r="O2166" s="18"/>
      <c r="P2166" s="9"/>
      <c r="Q2166" s="9"/>
      <c r="R2166" s="85">
        <v>0</v>
      </c>
      <c r="S2166" s="10">
        <f t="shared" si="585"/>
        <v>550</v>
      </c>
    </row>
    <row r="2167" spans="2:20" customFormat="1" hidden="1" outlineLevel="1">
      <c r="B2167" s="13" t="s">
        <v>150</v>
      </c>
      <c r="C2167" s="7" t="str">
        <f t="shared" si="584"/>
        <v>ROLO HD 14 SOLUÇÃO CHASSIS WGH0H201CHAA06397</v>
      </c>
      <c r="D2167" s="8">
        <f t="shared" si="582"/>
        <v>46088</v>
      </c>
      <c r="E2167" s="22">
        <v>1154.7</v>
      </c>
      <c r="F2167" s="22">
        <v>1158.8</v>
      </c>
      <c r="G2167" s="15">
        <f t="shared" si="587"/>
        <v>4.0999999999999091</v>
      </c>
      <c r="H2167" s="16" t="s">
        <v>277</v>
      </c>
      <c r="I2167" s="10">
        <f t="shared" si="586"/>
        <v>550</v>
      </c>
      <c r="J2167" s="16"/>
      <c r="K2167" s="15">
        <v>1</v>
      </c>
      <c r="L2167" s="15">
        <v>30.148</v>
      </c>
      <c r="M2167" s="17">
        <v>46060</v>
      </c>
      <c r="N2167" s="8"/>
      <c r="O2167" s="18"/>
      <c r="P2167" s="9"/>
      <c r="Q2167" s="9"/>
      <c r="R2167" s="85">
        <v>0</v>
      </c>
      <c r="S2167" s="10">
        <f t="shared" si="585"/>
        <v>550</v>
      </c>
    </row>
    <row r="2168" spans="2:20" customFormat="1" hidden="1" outlineLevel="1">
      <c r="B2168" s="13" t="s">
        <v>150</v>
      </c>
      <c r="C2168" s="7" t="str">
        <f t="shared" si="584"/>
        <v>ROLO HD 14 SOLUÇÃO CHASSIS WGH0H201CHAA06397</v>
      </c>
      <c r="D2168" s="8">
        <f t="shared" si="582"/>
        <v>46089</v>
      </c>
      <c r="E2168" s="22"/>
      <c r="F2168" s="22"/>
      <c r="G2168" s="15">
        <f t="shared" si="587"/>
        <v>0</v>
      </c>
      <c r="H2168" s="16" t="s">
        <v>277</v>
      </c>
      <c r="I2168" s="10">
        <f t="shared" si="586"/>
        <v>550</v>
      </c>
      <c r="J2168" s="16" t="s">
        <v>16</v>
      </c>
      <c r="K2168" s="15"/>
      <c r="L2168" s="15"/>
      <c r="M2168" s="17"/>
      <c r="N2168" s="8"/>
      <c r="O2168" s="18"/>
      <c r="P2168" s="9"/>
      <c r="Q2168" s="9"/>
      <c r="R2168" s="85">
        <v>0</v>
      </c>
      <c r="S2168" s="10">
        <f t="shared" si="585"/>
        <v>550</v>
      </c>
    </row>
    <row r="2169" spans="2:20" customFormat="1" hidden="1" outlineLevel="1">
      <c r="B2169" s="13" t="s">
        <v>150</v>
      </c>
      <c r="C2169" s="7" t="str">
        <f t="shared" si="584"/>
        <v>ROLO HD 14 SOLUÇÃO CHASSIS WGH0H201CHAA06397</v>
      </c>
      <c r="D2169" s="8">
        <f t="shared" si="582"/>
        <v>46090</v>
      </c>
      <c r="E2169" s="22">
        <v>1158.8</v>
      </c>
      <c r="F2169" s="22">
        <v>1161.4000000000001</v>
      </c>
      <c r="G2169" s="15">
        <f t="shared" si="587"/>
        <v>2.6000000000001364</v>
      </c>
      <c r="H2169" s="16" t="s">
        <v>277</v>
      </c>
      <c r="I2169" s="10">
        <f t="shared" si="586"/>
        <v>550</v>
      </c>
      <c r="J2169" s="16"/>
      <c r="K2169" s="15">
        <v>1</v>
      </c>
      <c r="L2169" s="15"/>
      <c r="M2169" s="17"/>
      <c r="N2169" s="8"/>
      <c r="O2169" s="18"/>
      <c r="P2169" s="9"/>
      <c r="Q2169" s="9"/>
      <c r="R2169" s="85">
        <v>0</v>
      </c>
      <c r="S2169" s="10">
        <f t="shared" si="585"/>
        <v>550</v>
      </c>
    </row>
    <row r="2170" spans="2:20" customFormat="1" hidden="1" outlineLevel="1">
      <c r="B2170" s="13" t="s">
        <v>150</v>
      </c>
      <c r="C2170" s="7" t="str">
        <f t="shared" si="584"/>
        <v>ROLO HD 14 SOLUÇÃO CHASSIS WGH0H201CHAA06397</v>
      </c>
      <c r="D2170" s="8">
        <f t="shared" si="582"/>
        <v>46091</v>
      </c>
      <c r="E2170" s="22">
        <v>1161.4000000000001</v>
      </c>
      <c r="F2170" s="22">
        <v>1164.4000000000001</v>
      </c>
      <c r="G2170" s="15">
        <f t="shared" si="587"/>
        <v>3</v>
      </c>
      <c r="H2170" s="16" t="s">
        <v>277</v>
      </c>
      <c r="I2170" s="10">
        <f t="shared" si="586"/>
        <v>550</v>
      </c>
      <c r="J2170" s="16"/>
      <c r="K2170" s="15">
        <v>1</v>
      </c>
      <c r="L2170" s="15"/>
      <c r="M2170" s="17"/>
      <c r="N2170" s="8"/>
      <c r="O2170" s="18"/>
      <c r="P2170" s="9"/>
      <c r="Q2170" s="9"/>
      <c r="R2170" s="85">
        <v>0</v>
      </c>
      <c r="S2170" s="10">
        <f t="shared" si="585"/>
        <v>550</v>
      </c>
    </row>
    <row r="2171" spans="2:20" customFormat="1" hidden="1" outlineLevel="1">
      <c r="B2171" s="13" t="s">
        <v>150</v>
      </c>
      <c r="C2171" s="7" t="str">
        <f t="shared" si="584"/>
        <v>ROLO HD 14 SOLUÇÃO CHASSIS WGH0H201CHAA06397</v>
      </c>
      <c r="D2171" s="8">
        <f t="shared" si="582"/>
        <v>46092</v>
      </c>
      <c r="E2171" s="22">
        <v>1164.4000000000001</v>
      </c>
      <c r="F2171" s="22">
        <v>1168.8</v>
      </c>
      <c r="G2171" s="15">
        <f t="shared" si="587"/>
        <v>4.3999999999998636</v>
      </c>
      <c r="H2171" s="16" t="s">
        <v>277</v>
      </c>
      <c r="I2171" s="10">
        <f t="shared" si="586"/>
        <v>550</v>
      </c>
      <c r="J2171" s="16"/>
      <c r="K2171" s="15"/>
      <c r="L2171" s="15"/>
      <c r="M2171" s="17"/>
      <c r="N2171" s="8"/>
      <c r="O2171" s="18"/>
      <c r="P2171" s="9"/>
      <c r="Q2171" s="9"/>
      <c r="R2171" s="85">
        <v>0</v>
      </c>
      <c r="S2171" s="10">
        <f t="shared" si="585"/>
        <v>550</v>
      </c>
    </row>
    <row r="2172" spans="2:20" customFormat="1" hidden="1" outlineLevel="1">
      <c r="B2172" s="13" t="s">
        <v>150</v>
      </c>
      <c r="C2172" s="7" t="str">
        <f t="shared" si="584"/>
        <v>ROLO HD 14 SOLUÇÃO CHASSIS WGH0H201CHAA06397</v>
      </c>
      <c r="D2172" s="8">
        <f t="shared" si="582"/>
        <v>46093</v>
      </c>
      <c r="E2172" s="22"/>
      <c r="F2172" s="22"/>
      <c r="G2172" s="15">
        <f t="shared" si="587"/>
        <v>0</v>
      </c>
      <c r="H2172" s="16" t="s">
        <v>277</v>
      </c>
      <c r="I2172" s="10">
        <f t="shared" si="586"/>
        <v>550</v>
      </c>
      <c r="J2172" s="16" t="s">
        <v>16</v>
      </c>
      <c r="K2172" s="15"/>
      <c r="L2172" s="15"/>
      <c r="M2172" s="17"/>
      <c r="N2172" s="80"/>
      <c r="O2172" s="18"/>
      <c r="P2172" s="9"/>
      <c r="Q2172" s="9"/>
      <c r="R2172" s="85">
        <v>0</v>
      </c>
      <c r="S2172" s="10">
        <f t="shared" si="585"/>
        <v>550</v>
      </c>
    </row>
    <row r="2173" spans="2:20" customFormat="1" hidden="1" outlineLevel="1">
      <c r="B2173" s="13" t="s">
        <v>150</v>
      </c>
      <c r="C2173" s="7" t="str">
        <f t="shared" si="584"/>
        <v>ROLO HD 14 SOLUÇÃO CHASSIS WGH0H201CHAA06397</v>
      </c>
      <c r="D2173" s="8">
        <f t="shared" si="582"/>
        <v>46094</v>
      </c>
      <c r="E2173" s="22">
        <v>1169.0999999999999</v>
      </c>
      <c r="F2173" s="22">
        <v>1172.5999999999999</v>
      </c>
      <c r="G2173" s="15">
        <f t="shared" si="587"/>
        <v>3.5</v>
      </c>
      <c r="H2173" s="16" t="s">
        <v>287</v>
      </c>
      <c r="I2173" s="10">
        <f t="shared" si="586"/>
        <v>550</v>
      </c>
      <c r="J2173" s="16"/>
      <c r="K2173" s="15">
        <v>1</v>
      </c>
      <c r="L2173" s="15"/>
      <c r="M2173" s="17"/>
      <c r="N2173" s="8"/>
      <c r="O2173" s="18"/>
      <c r="P2173" s="9"/>
      <c r="Q2173" s="9"/>
      <c r="R2173" s="85">
        <v>0</v>
      </c>
      <c r="S2173" s="10">
        <f t="shared" si="585"/>
        <v>550</v>
      </c>
    </row>
    <row r="2174" spans="2:20" customFormat="1" hidden="1" outlineLevel="1">
      <c r="B2174" s="13" t="s">
        <v>150</v>
      </c>
      <c r="C2174" s="7" t="str">
        <f t="shared" si="584"/>
        <v>ROLO HD 14 SOLUÇÃO CHASSIS WGH0H201CHAA06397</v>
      </c>
      <c r="D2174" s="8">
        <f t="shared" si="582"/>
        <v>46095</v>
      </c>
      <c r="E2174" s="22"/>
      <c r="F2174" s="22"/>
      <c r="G2174" s="15">
        <f t="shared" si="587"/>
        <v>0</v>
      </c>
      <c r="H2174" s="16" t="s">
        <v>287</v>
      </c>
      <c r="I2174" s="10">
        <f t="shared" si="586"/>
        <v>550</v>
      </c>
      <c r="J2174" s="16" t="s">
        <v>16</v>
      </c>
      <c r="K2174" s="15"/>
      <c r="L2174" s="15"/>
      <c r="M2174" s="17"/>
      <c r="N2174" s="8"/>
      <c r="O2174" s="18"/>
      <c r="P2174" s="9"/>
      <c r="Q2174" s="9"/>
      <c r="R2174" s="85">
        <v>0</v>
      </c>
      <c r="S2174" s="10">
        <f t="shared" si="585"/>
        <v>550</v>
      </c>
    </row>
    <row r="2175" spans="2:20" customFormat="1" hidden="1" outlineLevel="1">
      <c r="B2175" s="13" t="s">
        <v>150</v>
      </c>
      <c r="C2175" s="7" t="str">
        <f t="shared" si="584"/>
        <v>ROLO HD 14 SOLUÇÃO CHASSIS WGH0H201CHAA06397</v>
      </c>
      <c r="D2175" s="8">
        <f t="shared" si="582"/>
        <v>46096</v>
      </c>
      <c r="E2175" s="22"/>
      <c r="F2175" s="22"/>
      <c r="G2175" s="15">
        <f t="shared" si="587"/>
        <v>0</v>
      </c>
      <c r="H2175" s="16" t="s">
        <v>287</v>
      </c>
      <c r="I2175" s="10">
        <f t="shared" si="586"/>
        <v>550</v>
      </c>
      <c r="J2175" s="16" t="s">
        <v>16</v>
      </c>
      <c r="K2175" s="15"/>
      <c r="L2175" s="15"/>
      <c r="M2175" s="17"/>
      <c r="N2175" s="80"/>
      <c r="O2175" s="18"/>
      <c r="P2175" s="9"/>
      <c r="Q2175" s="9"/>
      <c r="R2175" s="85">
        <v>0</v>
      </c>
      <c r="S2175" s="10">
        <f t="shared" si="585"/>
        <v>550</v>
      </c>
    </row>
    <row r="2176" spans="2:20" customFormat="1" hidden="1" outlineLevel="1">
      <c r="B2176" s="13" t="s">
        <v>150</v>
      </c>
      <c r="C2176" s="7" t="str">
        <f t="shared" si="584"/>
        <v>ROLO HD 14 SOLUÇÃO CHASSIS WGH0H201CHAA06397</v>
      </c>
      <c r="D2176" s="8">
        <f t="shared" si="582"/>
        <v>46097</v>
      </c>
      <c r="E2176" s="22"/>
      <c r="F2176" s="22"/>
      <c r="G2176" s="15">
        <f t="shared" si="587"/>
        <v>0</v>
      </c>
      <c r="H2176" s="16" t="s">
        <v>287</v>
      </c>
      <c r="I2176" s="10">
        <f t="shared" si="586"/>
        <v>550</v>
      </c>
      <c r="J2176" s="16" t="s">
        <v>16</v>
      </c>
      <c r="K2176" s="15"/>
      <c r="L2176" s="15"/>
      <c r="M2176" s="17"/>
      <c r="N2176" s="80"/>
      <c r="O2176" s="18"/>
      <c r="P2176" s="9"/>
      <c r="Q2176" s="9"/>
      <c r="R2176" s="85">
        <v>0</v>
      </c>
      <c r="S2176" s="10">
        <f t="shared" si="585"/>
        <v>550</v>
      </c>
      <c r="T2176" s="76"/>
    </row>
    <row r="2177" spans="2:19" customFormat="1" hidden="1" outlineLevel="1">
      <c r="B2177" s="13" t="s">
        <v>150</v>
      </c>
      <c r="C2177" s="7" t="str">
        <f t="shared" si="584"/>
        <v>ROLO HD 14 SOLUÇÃO CHASSIS WGH0H201CHAA06397</v>
      </c>
      <c r="D2177" s="8">
        <f t="shared" si="582"/>
        <v>46098</v>
      </c>
      <c r="E2177" s="22"/>
      <c r="F2177" s="22"/>
      <c r="G2177" s="15">
        <f t="shared" si="587"/>
        <v>0</v>
      </c>
      <c r="H2177" s="16" t="s">
        <v>287</v>
      </c>
      <c r="I2177" s="10">
        <f t="shared" si="586"/>
        <v>550</v>
      </c>
      <c r="J2177" s="16" t="s">
        <v>16</v>
      </c>
      <c r="K2177" s="15"/>
      <c r="L2177" s="15"/>
      <c r="M2177" s="17"/>
      <c r="N2177" s="80"/>
      <c r="O2177" s="18"/>
      <c r="P2177" s="9"/>
      <c r="Q2177" s="9"/>
      <c r="R2177" s="85">
        <v>0</v>
      </c>
      <c r="S2177" s="10">
        <f t="shared" si="585"/>
        <v>550</v>
      </c>
    </row>
    <row r="2178" spans="2:19" customFormat="1" hidden="1" outlineLevel="1">
      <c r="B2178" s="13" t="s">
        <v>150</v>
      </c>
      <c r="C2178" s="7" t="str">
        <f t="shared" si="584"/>
        <v>ROLO HD 14 SOLUÇÃO CHASSIS WGH0H201CHAA06397</v>
      </c>
      <c r="D2178" s="8">
        <f t="shared" si="582"/>
        <v>46099</v>
      </c>
      <c r="E2178" s="22"/>
      <c r="F2178" s="22"/>
      <c r="G2178" s="15">
        <f t="shared" si="587"/>
        <v>0</v>
      </c>
      <c r="H2178" s="16" t="s">
        <v>287</v>
      </c>
      <c r="I2178" s="10">
        <f t="shared" si="586"/>
        <v>550</v>
      </c>
      <c r="J2178" s="16" t="s">
        <v>16</v>
      </c>
      <c r="K2178" s="15"/>
      <c r="L2178" s="15"/>
      <c r="M2178" s="17"/>
      <c r="N2178" s="80"/>
      <c r="O2178" s="18"/>
      <c r="P2178" s="9"/>
      <c r="Q2178" s="9"/>
      <c r="R2178" s="85">
        <v>0</v>
      </c>
      <c r="S2178" s="10">
        <f t="shared" si="585"/>
        <v>550</v>
      </c>
    </row>
    <row r="2179" spans="2:19" customFormat="1" hidden="1" outlineLevel="1">
      <c r="B2179" s="13" t="s">
        <v>150</v>
      </c>
      <c r="C2179" s="7" t="str">
        <f t="shared" si="584"/>
        <v>ROLO HD 14 SOLUÇÃO CHASSIS WGH0H201CHAA06397</v>
      </c>
      <c r="D2179" s="8">
        <f t="shared" si="582"/>
        <v>46100</v>
      </c>
      <c r="E2179" s="22"/>
      <c r="F2179" s="22"/>
      <c r="G2179" s="15">
        <f t="shared" si="587"/>
        <v>0</v>
      </c>
      <c r="H2179" s="16" t="s">
        <v>287</v>
      </c>
      <c r="I2179" s="10">
        <f t="shared" si="586"/>
        <v>550</v>
      </c>
      <c r="J2179" s="16" t="s">
        <v>16</v>
      </c>
      <c r="K2179" s="15"/>
      <c r="L2179" s="15"/>
      <c r="M2179" s="17"/>
      <c r="N2179" s="8"/>
      <c r="O2179" s="18"/>
      <c r="P2179" s="9"/>
      <c r="Q2179" s="9"/>
      <c r="R2179" s="85">
        <v>0</v>
      </c>
      <c r="S2179" s="10">
        <f t="shared" si="585"/>
        <v>550</v>
      </c>
    </row>
    <row r="2180" spans="2:19" customFormat="1" hidden="1" outlineLevel="1">
      <c r="B2180" s="13" t="s">
        <v>150</v>
      </c>
      <c r="C2180" s="7" t="str">
        <f t="shared" si="584"/>
        <v>ROLO HD 14 SOLUÇÃO CHASSIS WGH0H201CHAA06397</v>
      </c>
      <c r="D2180" s="8">
        <f t="shared" si="582"/>
        <v>46101</v>
      </c>
      <c r="E2180" s="22">
        <v>1172.5999999999999</v>
      </c>
      <c r="F2180" s="22">
        <v>1179.8</v>
      </c>
      <c r="G2180" s="15">
        <f t="shared" si="587"/>
        <v>7.2000000000000455</v>
      </c>
      <c r="H2180" s="16" t="s">
        <v>287</v>
      </c>
      <c r="I2180" s="10">
        <f t="shared" si="586"/>
        <v>550</v>
      </c>
      <c r="J2180" s="16"/>
      <c r="K2180" s="15">
        <v>1</v>
      </c>
      <c r="L2180" s="15"/>
      <c r="M2180" s="17"/>
      <c r="N2180" s="8"/>
      <c r="O2180" s="18"/>
      <c r="P2180" s="9"/>
      <c r="Q2180" s="9"/>
      <c r="R2180" s="85">
        <v>0</v>
      </c>
      <c r="S2180" s="10">
        <f t="shared" si="585"/>
        <v>550</v>
      </c>
    </row>
    <row r="2181" spans="2:19" customFormat="1" hidden="1" outlineLevel="1">
      <c r="B2181" s="13" t="s">
        <v>150</v>
      </c>
      <c r="C2181" s="7" t="str">
        <f t="shared" si="584"/>
        <v>ROLO HD 14 SOLUÇÃO CHASSIS WGH0H201CHAA06397</v>
      </c>
      <c r="D2181" s="8">
        <f t="shared" si="582"/>
        <v>46102</v>
      </c>
      <c r="E2181" s="22"/>
      <c r="F2181" s="22"/>
      <c r="G2181" s="15">
        <f t="shared" si="587"/>
        <v>0</v>
      </c>
      <c r="H2181" s="16" t="s">
        <v>287</v>
      </c>
      <c r="I2181" s="10">
        <f t="shared" si="586"/>
        <v>550</v>
      </c>
      <c r="J2181" s="16" t="s">
        <v>16</v>
      </c>
      <c r="K2181" s="15"/>
      <c r="L2181" s="15"/>
      <c r="M2181" s="17"/>
      <c r="N2181" s="8"/>
      <c r="O2181" s="18"/>
      <c r="P2181" s="9"/>
      <c r="Q2181" s="9"/>
      <c r="R2181" s="85">
        <v>0</v>
      </c>
      <c r="S2181" s="10">
        <f t="shared" si="585"/>
        <v>550</v>
      </c>
    </row>
    <row r="2182" spans="2:19" customFormat="1" hidden="1" outlineLevel="1">
      <c r="B2182" s="13" t="s">
        <v>150</v>
      </c>
      <c r="C2182" s="7" t="str">
        <f t="shared" si="584"/>
        <v>ROLO HD 14 SOLUÇÃO CHASSIS WGH0H201CHAA06397</v>
      </c>
      <c r="D2182" s="8">
        <f t="shared" si="582"/>
        <v>46103</v>
      </c>
      <c r="E2182" s="22"/>
      <c r="F2182" s="22"/>
      <c r="G2182" s="15">
        <f t="shared" si="587"/>
        <v>0</v>
      </c>
      <c r="H2182" s="16" t="s">
        <v>287</v>
      </c>
      <c r="I2182" s="10">
        <f t="shared" si="586"/>
        <v>550</v>
      </c>
      <c r="J2182" s="16" t="s">
        <v>16</v>
      </c>
      <c r="K2182" s="15"/>
      <c r="L2182" s="15"/>
      <c r="M2182" s="17"/>
      <c r="N2182" s="8"/>
      <c r="O2182" s="18"/>
      <c r="P2182" s="9"/>
      <c r="Q2182" s="9"/>
      <c r="R2182" s="85">
        <v>0</v>
      </c>
      <c r="S2182" s="10">
        <f t="shared" si="585"/>
        <v>550</v>
      </c>
    </row>
    <row r="2183" spans="2:19" customFormat="1" hidden="1" outlineLevel="1">
      <c r="B2183" s="13" t="s">
        <v>150</v>
      </c>
      <c r="C2183" s="7" t="str">
        <f t="shared" si="584"/>
        <v>ROLO HD 14 SOLUÇÃO CHASSIS WGH0H201CHAA06397</v>
      </c>
      <c r="D2183" s="8">
        <f t="shared" si="582"/>
        <v>46104</v>
      </c>
      <c r="E2183" s="22"/>
      <c r="F2183" s="22"/>
      <c r="G2183" s="15">
        <f t="shared" si="587"/>
        <v>0</v>
      </c>
      <c r="H2183" s="16" t="s">
        <v>287</v>
      </c>
      <c r="I2183" s="10">
        <f t="shared" si="586"/>
        <v>550</v>
      </c>
      <c r="J2183" s="16" t="s">
        <v>16</v>
      </c>
      <c r="K2183" s="15"/>
      <c r="L2183" s="15"/>
      <c r="M2183" s="17"/>
      <c r="N2183" s="8"/>
      <c r="O2183" s="18"/>
      <c r="P2183" s="9"/>
      <c r="Q2183" s="9"/>
      <c r="R2183" s="85">
        <v>0</v>
      </c>
      <c r="S2183" s="10">
        <f t="shared" si="585"/>
        <v>550</v>
      </c>
    </row>
    <row r="2184" spans="2:19" customFormat="1" hidden="1" outlineLevel="1">
      <c r="B2184" s="13" t="s">
        <v>150</v>
      </c>
      <c r="C2184" s="7" t="str">
        <f t="shared" si="584"/>
        <v>ROLO HD 14 SOLUÇÃO CHASSIS WGH0H201CHAA06397</v>
      </c>
      <c r="D2184" s="8">
        <f t="shared" si="582"/>
        <v>46105</v>
      </c>
      <c r="E2184" s="22"/>
      <c r="F2184" s="22"/>
      <c r="G2184" s="15">
        <f t="shared" si="587"/>
        <v>0</v>
      </c>
      <c r="H2184" s="16" t="s">
        <v>287</v>
      </c>
      <c r="I2184" s="10">
        <f t="shared" si="586"/>
        <v>550</v>
      </c>
      <c r="J2184" s="16" t="s">
        <v>16</v>
      </c>
      <c r="K2184" s="15"/>
      <c r="L2184" s="15"/>
      <c r="M2184" s="17"/>
      <c r="N2184" s="8"/>
      <c r="O2184" s="18"/>
      <c r="P2184" s="9"/>
      <c r="Q2184" s="9"/>
      <c r="R2184" s="85">
        <v>0</v>
      </c>
      <c r="S2184" s="10">
        <f t="shared" si="585"/>
        <v>550</v>
      </c>
    </row>
    <row r="2185" spans="2:19" customFormat="1" hidden="1" outlineLevel="1">
      <c r="B2185" s="13" t="s">
        <v>150</v>
      </c>
      <c r="C2185" s="7" t="str">
        <f t="shared" si="584"/>
        <v>ROLO HD 14 SOLUÇÃO CHASSIS WGH0H201CHAA06397</v>
      </c>
      <c r="D2185" s="8">
        <f t="shared" si="582"/>
        <v>46106</v>
      </c>
      <c r="E2185" s="22">
        <v>1180.7</v>
      </c>
      <c r="F2185" s="22">
        <v>1188</v>
      </c>
      <c r="G2185" s="15">
        <f t="shared" si="587"/>
        <v>7.2999999999999545</v>
      </c>
      <c r="H2185" s="16" t="s">
        <v>287</v>
      </c>
      <c r="I2185" s="10">
        <f t="shared" si="586"/>
        <v>550</v>
      </c>
      <c r="J2185" s="16"/>
      <c r="K2185" s="15">
        <v>1</v>
      </c>
      <c r="L2185" s="15"/>
      <c r="M2185" s="17"/>
      <c r="N2185" s="8"/>
      <c r="O2185" s="18"/>
      <c r="P2185" s="9"/>
      <c r="Q2185" s="9"/>
      <c r="R2185" s="85">
        <v>0</v>
      </c>
      <c r="S2185" s="10">
        <f t="shared" si="585"/>
        <v>550</v>
      </c>
    </row>
    <row r="2186" spans="2:19" customFormat="1" hidden="1" outlineLevel="1">
      <c r="B2186" s="13" t="s">
        <v>150</v>
      </c>
      <c r="C2186" s="7" t="str">
        <f t="shared" si="584"/>
        <v>ROLO HD 14 SOLUÇÃO CHASSIS WGH0H201CHAA06397</v>
      </c>
      <c r="D2186" s="8">
        <f t="shared" si="582"/>
        <v>46107</v>
      </c>
      <c r="E2186" s="22">
        <v>1188</v>
      </c>
      <c r="F2186" s="22">
        <v>1189.5</v>
      </c>
      <c r="G2186" s="15">
        <f t="shared" si="587"/>
        <v>1.5</v>
      </c>
      <c r="H2186" s="16" t="s">
        <v>287</v>
      </c>
      <c r="I2186" s="10">
        <f t="shared" si="586"/>
        <v>550</v>
      </c>
      <c r="J2186" s="16"/>
      <c r="K2186" s="15">
        <v>1</v>
      </c>
      <c r="L2186" s="15"/>
      <c r="M2186" s="17"/>
      <c r="N2186" s="8"/>
      <c r="O2186" s="18"/>
      <c r="P2186" s="9"/>
      <c r="Q2186" s="9"/>
      <c r="R2186" s="85">
        <v>0</v>
      </c>
      <c r="S2186" s="10">
        <f t="shared" si="585"/>
        <v>550</v>
      </c>
    </row>
    <row r="2187" spans="2:19" customFormat="1" hidden="1" outlineLevel="1">
      <c r="B2187" s="13" t="s">
        <v>150</v>
      </c>
      <c r="C2187" s="7" t="str">
        <f t="shared" si="584"/>
        <v>ROLO HD 14 SOLUÇÃO CHASSIS WGH0H201CHAA06397</v>
      </c>
      <c r="D2187" s="8">
        <f t="shared" si="582"/>
        <v>46108</v>
      </c>
      <c r="E2187" s="22"/>
      <c r="F2187" s="22"/>
      <c r="G2187" s="15">
        <f t="shared" si="587"/>
        <v>0</v>
      </c>
      <c r="H2187" s="16" t="s">
        <v>287</v>
      </c>
      <c r="I2187" s="10">
        <f t="shared" si="586"/>
        <v>550</v>
      </c>
      <c r="J2187" s="16" t="s">
        <v>16</v>
      </c>
      <c r="K2187" s="15"/>
      <c r="L2187" s="15"/>
      <c r="M2187" s="17"/>
      <c r="N2187" s="8"/>
      <c r="O2187" s="18"/>
      <c r="P2187" s="9"/>
      <c r="Q2187" s="9"/>
      <c r="R2187" s="85">
        <v>0</v>
      </c>
      <c r="S2187" s="10">
        <f t="shared" si="585"/>
        <v>550</v>
      </c>
    </row>
    <row r="2188" spans="2:19" customFormat="1" hidden="1" outlineLevel="1">
      <c r="B2188" s="13" t="s">
        <v>150</v>
      </c>
      <c r="C2188" s="7" t="str">
        <f t="shared" si="584"/>
        <v>ROLO HD 14 SOLUÇÃO CHASSIS WGH0H201CHAA06397</v>
      </c>
      <c r="D2188" s="8">
        <f t="shared" si="582"/>
        <v>46112</v>
      </c>
      <c r="E2188" s="22"/>
      <c r="F2188" s="22"/>
      <c r="G2188" s="15">
        <f t="shared" si="587"/>
        <v>0</v>
      </c>
      <c r="H2188" s="16" t="s">
        <v>287</v>
      </c>
      <c r="I2188" s="10">
        <f t="shared" si="586"/>
        <v>550</v>
      </c>
      <c r="J2188" s="16" t="s">
        <v>16</v>
      </c>
      <c r="K2188" s="15"/>
      <c r="L2188" s="15"/>
      <c r="M2188" s="17"/>
      <c r="N2188" s="8"/>
      <c r="O2188" s="18"/>
      <c r="P2188" s="9"/>
      <c r="Q2188" s="9"/>
      <c r="R2188" s="85">
        <v>0</v>
      </c>
      <c r="S2188" s="10">
        <f t="shared" si="585"/>
        <v>550</v>
      </c>
    </row>
    <row r="2189" spans="2:19" customFormat="1" collapsed="1">
      <c r="B2189" s="13" t="s">
        <v>150</v>
      </c>
      <c r="D2189" s="1"/>
      <c r="E2189" s="2"/>
      <c r="F2189" s="2"/>
      <c r="G2189" s="2"/>
      <c r="K2189" s="2"/>
      <c r="L2189" s="2"/>
      <c r="O2189" s="2"/>
      <c r="P2189" s="2"/>
      <c r="Q2189" s="2"/>
      <c r="R2189" s="2"/>
    </row>
    <row r="2190" spans="2:19" customFormat="1">
      <c r="B2190" s="13" t="s">
        <v>150</v>
      </c>
      <c r="C2190" s="3" t="s">
        <v>153</v>
      </c>
      <c r="D2190" s="3"/>
      <c r="E2190" s="4"/>
      <c r="F2190" s="4"/>
      <c r="G2190" s="4"/>
      <c r="H2190" s="3"/>
      <c r="I2190" s="3"/>
      <c r="J2190" s="3"/>
      <c r="K2190" s="4"/>
      <c r="L2190" s="4"/>
      <c r="M2190" s="135" t="str">
        <f>M$1</f>
        <v>BM JANEIRO 2026</v>
      </c>
      <c r="N2190" s="135"/>
      <c r="O2190" s="135"/>
      <c r="P2190" s="19" t="s">
        <v>10</v>
      </c>
      <c r="Q2190" s="136" t="s">
        <v>257</v>
      </c>
      <c r="R2190" s="136"/>
      <c r="S2190" s="136"/>
    </row>
    <row r="2191" spans="2:19" customFormat="1">
      <c r="B2191" s="14"/>
      <c r="C2191" s="5" t="s">
        <v>1</v>
      </c>
      <c r="D2191" s="5" t="s">
        <v>11</v>
      </c>
      <c r="E2191" s="6" t="s">
        <v>12</v>
      </c>
      <c r="F2191" s="6" t="s">
        <v>13</v>
      </c>
      <c r="G2191" s="6" t="s">
        <v>14</v>
      </c>
      <c r="H2191" s="5" t="s">
        <v>3</v>
      </c>
      <c r="I2191" s="6" t="s">
        <v>15</v>
      </c>
      <c r="J2191" s="6" t="s">
        <v>16</v>
      </c>
      <c r="K2191" s="6" t="s">
        <v>17</v>
      </c>
      <c r="L2191" s="6" t="s">
        <v>18</v>
      </c>
      <c r="M2191" s="5" t="s">
        <v>11</v>
      </c>
      <c r="N2191" s="5" t="s">
        <v>19</v>
      </c>
      <c r="O2191" s="6" t="s">
        <v>2</v>
      </c>
      <c r="P2191" s="6" t="s">
        <v>20</v>
      </c>
      <c r="Q2191" s="6" t="s">
        <v>21</v>
      </c>
      <c r="R2191" s="6" t="s">
        <v>22</v>
      </c>
      <c r="S2191" s="6" t="s">
        <v>23</v>
      </c>
    </row>
    <row r="2192" spans="2:19" customFormat="1" hidden="1" outlineLevel="1">
      <c r="B2192" s="11" t="s">
        <v>152</v>
      </c>
      <c r="C2192" s="7" t="str">
        <f>C$2190</f>
        <v>ESPARGIDOR VW 13180 PLACA NSV1G70 CHASSIS R035981</v>
      </c>
      <c r="D2192" s="8">
        <f t="shared" ref="D2192:D2219" si="588">D2130</f>
        <v>46082</v>
      </c>
      <c r="E2192" s="112"/>
      <c r="F2192" s="113"/>
      <c r="G2192" s="15">
        <f t="shared" ref="G2192:G2195" si="589">F2192-E2192</f>
        <v>0</v>
      </c>
      <c r="H2192" s="16" t="s">
        <v>272</v>
      </c>
      <c r="I2192" s="10">
        <f>P2192</f>
        <v>714.28571428571433</v>
      </c>
      <c r="J2192" s="16" t="s">
        <v>16</v>
      </c>
      <c r="K2192" s="15"/>
      <c r="L2192" s="15"/>
      <c r="M2192" s="17"/>
      <c r="N2192" s="9"/>
      <c r="O2192" s="9">
        <v>20000</v>
      </c>
      <c r="P2192" s="9">
        <f>O2192/28</f>
        <v>714.28571428571433</v>
      </c>
      <c r="Q2192" s="9"/>
      <c r="R2192" s="9"/>
      <c r="S2192" s="10">
        <f t="shared" ref="S2192:S2198" si="590">SUM(R2192+Q2192+I2192)</f>
        <v>714.28571428571433</v>
      </c>
    </row>
    <row r="2193" spans="2:19" customFormat="1" hidden="1" outlineLevel="1">
      <c r="B2193" s="12" t="s">
        <v>0</v>
      </c>
      <c r="C2193" s="7" t="str">
        <f t="shared" ref="C2193:C2219" si="591">C$2190</f>
        <v>ESPARGIDOR VW 13180 PLACA NSV1G70 CHASSIS R035981</v>
      </c>
      <c r="D2193" s="8">
        <f t="shared" si="588"/>
        <v>46083</v>
      </c>
      <c r="E2193" s="113">
        <v>169328</v>
      </c>
      <c r="F2193" s="113">
        <v>169348</v>
      </c>
      <c r="G2193" s="15">
        <f t="shared" si="589"/>
        <v>20</v>
      </c>
      <c r="H2193" s="16" t="s">
        <v>272</v>
      </c>
      <c r="I2193" s="10">
        <f>I2192</f>
        <v>714.28571428571433</v>
      </c>
      <c r="J2193" s="16"/>
      <c r="K2193" s="15">
        <v>1</v>
      </c>
      <c r="L2193" s="15"/>
      <c r="M2193" s="17"/>
      <c r="N2193" s="9"/>
      <c r="O2193" s="9"/>
      <c r="P2193" s="9"/>
      <c r="Q2193" s="9"/>
      <c r="R2193" s="9"/>
      <c r="S2193" s="10">
        <f t="shared" si="590"/>
        <v>714.28571428571433</v>
      </c>
    </row>
    <row r="2194" spans="2:19" customFormat="1" hidden="1" outlineLevel="1">
      <c r="B2194" s="13" t="s">
        <v>152</v>
      </c>
      <c r="C2194" s="7" t="str">
        <f t="shared" si="591"/>
        <v>ESPARGIDOR VW 13180 PLACA NSV1G70 CHASSIS R035981</v>
      </c>
      <c r="D2194" s="8">
        <f t="shared" si="588"/>
        <v>46084</v>
      </c>
      <c r="E2194" s="113">
        <v>169348</v>
      </c>
      <c r="F2194" s="113">
        <v>169350</v>
      </c>
      <c r="G2194" s="15">
        <f t="shared" si="589"/>
        <v>2</v>
      </c>
      <c r="H2194" s="16" t="s">
        <v>272</v>
      </c>
      <c r="I2194" s="10">
        <f t="shared" ref="I2194:I2219" si="592">I2193</f>
        <v>714.28571428571433</v>
      </c>
      <c r="J2194" s="16"/>
      <c r="K2194" s="15">
        <v>1</v>
      </c>
      <c r="L2194" s="15"/>
      <c r="M2194" s="17"/>
      <c r="N2194" s="9"/>
      <c r="O2194" s="9"/>
      <c r="P2194" s="9"/>
      <c r="Q2194" s="9"/>
      <c r="R2194" s="9"/>
      <c r="S2194" s="10">
        <f t="shared" si="590"/>
        <v>714.28571428571433</v>
      </c>
    </row>
    <row r="2195" spans="2:19" customFormat="1" hidden="1" outlineLevel="1">
      <c r="B2195" s="13" t="s">
        <v>152</v>
      </c>
      <c r="C2195" s="7" t="str">
        <f t="shared" si="591"/>
        <v>ESPARGIDOR VW 13180 PLACA NSV1G70 CHASSIS R035981</v>
      </c>
      <c r="D2195" s="8">
        <f t="shared" si="588"/>
        <v>46085</v>
      </c>
      <c r="E2195" s="113">
        <v>169350</v>
      </c>
      <c r="F2195" s="113">
        <v>169370</v>
      </c>
      <c r="G2195" s="15">
        <f t="shared" si="589"/>
        <v>20</v>
      </c>
      <c r="H2195" s="16" t="s">
        <v>272</v>
      </c>
      <c r="I2195" s="10">
        <f t="shared" si="592"/>
        <v>714.28571428571433</v>
      </c>
      <c r="J2195" s="16"/>
      <c r="K2195" s="15">
        <v>1</v>
      </c>
      <c r="L2195" s="15"/>
      <c r="M2195" s="17"/>
      <c r="N2195" s="9"/>
      <c r="O2195" s="9"/>
      <c r="P2195" s="9"/>
      <c r="Q2195" s="9"/>
      <c r="R2195" s="9"/>
      <c r="S2195" s="10">
        <f t="shared" si="590"/>
        <v>714.28571428571433</v>
      </c>
    </row>
    <row r="2196" spans="2:19" customFormat="1" hidden="1" outlineLevel="1">
      <c r="B2196" s="13" t="s">
        <v>152</v>
      </c>
      <c r="C2196" s="7" t="str">
        <f t="shared" si="591"/>
        <v>ESPARGIDOR VW 13180 PLACA NSV1G70 CHASSIS R035981</v>
      </c>
      <c r="D2196" s="8">
        <f t="shared" si="588"/>
        <v>46086</v>
      </c>
      <c r="E2196" s="113">
        <v>169370</v>
      </c>
      <c r="F2196" s="113">
        <v>169490</v>
      </c>
      <c r="G2196" s="15">
        <f t="shared" ref="G2196:G2219" si="593">F2196-E2196</f>
        <v>120</v>
      </c>
      <c r="H2196" s="16" t="s">
        <v>278</v>
      </c>
      <c r="I2196" s="10">
        <f t="shared" si="592"/>
        <v>714.28571428571433</v>
      </c>
      <c r="J2196" s="16"/>
      <c r="K2196" s="15">
        <v>1</v>
      </c>
      <c r="L2196" s="15"/>
      <c r="M2196" s="17"/>
      <c r="N2196" s="9"/>
      <c r="O2196" s="9"/>
      <c r="P2196" s="9"/>
      <c r="Q2196" s="9"/>
      <c r="R2196" s="9"/>
      <c r="S2196" s="10">
        <f t="shared" si="590"/>
        <v>714.28571428571433</v>
      </c>
    </row>
    <row r="2197" spans="2:19" customFormat="1" hidden="1" outlineLevel="1">
      <c r="B2197" s="13" t="s">
        <v>152</v>
      </c>
      <c r="C2197" s="7" t="str">
        <f t="shared" si="591"/>
        <v>ESPARGIDOR VW 13180 PLACA NSV1G70 CHASSIS R035981</v>
      </c>
      <c r="D2197" s="8">
        <f t="shared" si="588"/>
        <v>46087</v>
      </c>
      <c r="E2197" s="21"/>
      <c r="F2197" s="21"/>
      <c r="G2197" s="15">
        <f t="shared" si="593"/>
        <v>0</v>
      </c>
      <c r="H2197" s="16" t="s">
        <v>278</v>
      </c>
      <c r="I2197" s="10">
        <f t="shared" si="592"/>
        <v>714.28571428571433</v>
      </c>
      <c r="J2197" s="16" t="s">
        <v>16</v>
      </c>
      <c r="K2197" s="15"/>
      <c r="L2197" s="15"/>
      <c r="M2197" s="17"/>
      <c r="N2197" s="9"/>
      <c r="O2197" s="18"/>
      <c r="P2197" s="9"/>
      <c r="Q2197" s="9"/>
      <c r="R2197" s="9"/>
      <c r="S2197" s="10">
        <f t="shared" si="590"/>
        <v>714.28571428571433</v>
      </c>
    </row>
    <row r="2198" spans="2:19" customFormat="1" hidden="1" outlineLevel="1">
      <c r="B2198" s="13" t="s">
        <v>152</v>
      </c>
      <c r="C2198" s="7" t="str">
        <f t="shared" si="591"/>
        <v>ESPARGIDOR VW 13180 PLACA NSV1G70 CHASSIS R035981</v>
      </c>
      <c r="D2198" s="8">
        <f t="shared" si="588"/>
        <v>46088</v>
      </c>
      <c r="E2198" s="21"/>
      <c r="F2198" s="21"/>
      <c r="G2198" s="15">
        <f t="shared" si="593"/>
        <v>0</v>
      </c>
      <c r="H2198" s="16" t="s">
        <v>278</v>
      </c>
      <c r="I2198" s="10">
        <f t="shared" si="592"/>
        <v>714.28571428571433</v>
      </c>
      <c r="J2198" s="16" t="s">
        <v>16</v>
      </c>
      <c r="K2198" s="15"/>
      <c r="L2198" s="15"/>
      <c r="M2198" s="17"/>
      <c r="N2198" s="9"/>
      <c r="O2198" s="18"/>
      <c r="P2198" s="9"/>
      <c r="Q2198" s="9"/>
      <c r="R2198" s="9"/>
      <c r="S2198" s="10">
        <f t="shared" si="590"/>
        <v>714.28571428571433</v>
      </c>
    </row>
    <row r="2199" spans="2:19" customFormat="1" hidden="1" outlineLevel="1">
      <c r="B2199" s="13" t="s">
        <v>152</v>
      </c>
      <c r="C2199" s="7" t="str">
        <f t="shared" si="591"/>
        <v>ESPARGIDOR VW 13180 PLACA NSV1G70 CHASSIS R035981</v>
      </c>
      <c r="D2199" s="8">
        <f t="shared" si="588"/>
        <v>46089</v>
      </c>
      <c r="E2199" s="21"/>
      <c r="F2199" s="21"/>
      <c r="G2199" s="15">
        <f t="shared" si="593"/>
        <v>0</v>
      </c>
      <c r="H2199" s="16" t="s">
        <v>278</v>
      </c>
      <c r="I2199" s="10">
        <f t="shared" si="592"/>
        <v>714.28571428571433</v>
      </c>
      <c r="J2199" s="16" t="s">
        <v>16</v>
      </c>
      <c r="K2199" s="15"/>
      <c r="L2199" s="15"/>
      <c r="M2199" s="17"/>
      <c r="N2199" s="9"/>
      <c r="O2199" s="18">
        <f t="shared" ref="O2199:O2219" si="594">O2198</f>
        <v>0</v>
      </c>
      <c r="P2199" s="9"/>
      <c r="Q2199" s="9"/>
      <c r="R2199" s="9"/>
      <c r="S2199" s="10">
        <f t="shared" ref="S2199:S2219" si="595">SUM(R2199+Q2199+I2199)</f>
        <v>714.28571428571433</v>
      </c>
    </row>
    <row r="2200" spans="2:19" customFormat="1" hidden="1" outlineLevel="1">
      <c r="B2200" s="13" t="s">
        <v>152</v>
      </c>
      <c r="C2200" s="7" t="str">
        <f t="shared" si="591"/>
        <v>ESPARGIDOR VW 13180 PLACA NSV1G70 CHASSIS R035981</v>
      </c>
      <c r="D2200" s="8">
        <f t="shared" si="588"/>
        <v>46090</v>
      </c>
      <c r="E2200" s="21"/>
      <c r="F2200" s="21"/>
      <c r="G2200" s="15">
        <f t="shared" si="593"/>
        <v>0</v>
      </c>
      <c r="H2200" s="16" t="s">
        <v>278</v>
      </c>
      <c r="I2200" s="10">
        <f t="shared" si="592"/>
        <v>714.28571428571433</v>
      </c>
      <c r="J2200" s="16" t="s">
        <v>16</v>
      </c>
      <c r="K2200" s="15"/>
      <c r="L2200" s="15"/>
      <c r="M2200" s="17"/>
      <c r="N2200" s="9"/>
      <c r="O2200" s="18">
        <f t="shared" si="594"/>
        <v>0</v>
      </c>
      <c r="P2200" s="9"/>
      <c r="Q2200" s="9"/>
      <c r="R2200" s="9"/>
      <c r="S2200" s="10">
        <f t="shared" si="595"/>
        <v>714.28571428571433</v>
      </c>
    </row>
    <row r="2201" spans="2:19" customFormat="1" hidden="1" outlineLevel="1">
      <c r="B2201" s="13" t="s">
        <v>152</v>
      </c>
      <c r="C2201" s="7" t="str">
        <f t="shared" si="591"/>
        <v>ESPARGIDOR VW 13180 PLACA NSV1G70 CHASSIS R035981</v>
      </c>
      <c r="D2201" s="8">
        <f t="shared" si="588"/>
        <v>46091</v>
      </c>
      <c r="E2201" s="21"/>
      <c r="F2201" s="21"/>
      <c r="G2201" s="15">
        <f t="shared" si="593"/>
        <v>0</v>
      </c>
      <c r="H2201" s="16" t="s">
        <v>278</v>
      </c>
      <c r="I2201" s="10">
        <f t="shared" si="592"/>
        <v>714.28571428571433</v>
      </c>
      <c r="J2201" s="16" t="s">
        <v>16</v>
      </c>
      <c r="K2201" s="15"/>
      <c r="L2201" s="15"/>
      <c r="M2201" s="17"/>
      <c r="N2201" s="9"/>
      <c r="O2201" s="18">
        <f t="shared" si="594"/>
        <v>0</v>
      </c>
      <c r="P2201" s="9"/>
      <c r="Q2201" s="9"/>
      <c r="R2201" s="9"/>
      <c r="S2201" s="10">
        <f t="shared" si="595"/>
        <v>714.28571428571433</v>
      </c>
    </row>
    <row r="2202" spans="2:19" customFormat="1" hidden="1" outlineLevel="1">
      <c r="B2202" s="13" t="s">
        <v>152</v>
      </c>
      <c r="C2202" s="7" t="str">
        <f t="shared" si="591"/>
        <v>ESPARGIDOR VW 13180 PLACA NSV1G70 CHASSIS R035981</v>
      </c>
      <c r="D2202" s="8">
        <f t="shared" si="588"/>
        <v>46092</v>
      </c>
      <c r="E2202" s="21"/>
      <c r="F2202" s="21"/>
      <c r="G2202" s="15">
        <f t="shared" si="593"/>
        <v>0</v>
      </c>
      <c r="H2202" s="16" t="s">
        <v>278</v>
      </c>
      <c r="I2202" s="10">
        <f t="shared" si="592"/>
        <v>714.28571428571433</v>
      </c>
      <c r="J2202" s="16" t="s">
        <v>16</v>
      </c>
      <c r="K2202" s="15"/>
      <c r="L2202" s="15"/>
      <c r="M2202" s="17"/>
      <c r="N2202" s="9"/>
      <c r="O2202" s="18">
        <f t="shared" si="594"/>
        <v>0</v>
      </c>
      <c r="P2202" s="9"/>
      <c r="Q2202" s="9"/>
      <c r="R2202" s="9"/>
      <c r="S2202" s="10">
        <f t="shared" si="595"/>
        <v>714.28571428571433</v>
      </c>
    </row>
    <row r="2203" spans="2:19" customFormat="1" hidden="1" outlineLevel="1">
      <c r="B2203" s="13" t="s">
        <v>152</v>
      </c>
      <c r="C2203" s="7" t="str">
        <f t="shared" si="591"/>
        <v>ESPARGIDOR VW 13180 PLACA NSV1G70 CHASSIS R035981</v>
      </c>
      <c r="D2203" s="8">
        <f t="shared" si="588"/>
        <v>46093</v>
      </c>
      <c r="E2203" s="21"/>
      <c r="F2203" s="21"/>
      <c r="G2203" s="15">
        <f t="shared" si="593"/>
        <v>0</v>
      </c>
      <c r="H2203" s="16" t="s">
        <v>278</v>
      </c>
      <c r="I2203" s="10">
        <f t="shared" si="592"/>
        <v>714.28571428571433</v>
      </c>
      <c r="J2203" s="16" t="s">
        <v>16</v>
      </c>
      <c r="K2203" s="15"/>
      <c r="L2203" s="15"/>
      <c r="M2203" s="17"/>
      <c r="N2203" s="9"/>
      <c r="O2203" s="18">
        <f t="shared" si="594"/>
        <v>0</v>
      </c>
      <c r="P2203" s="9"/>
      <c r="Q2203" s="9"/>
      <c r="R2203" s="9"/>
      <c r="S2203" s="10">
        <f t="shared" si="595"/>
        <v>714.28571428571433</v>
      </c>
    </row>
    <row r="2204" spans="2:19" customFormat="1" hidden="1" outlineLevel="1">
      <c r="B2204" s="13" t="s">
        <v>152</v>
      </c>
      <c r="C2204" s="7" t="str">
        <f t="shared" si="591"/>
        <v>ESPARGIDOR VW 13180 PLACA NSV1G70 CHASSIS R035981</v>
      </c>
      <c r="D2204" s="8">
        <f t="shared" si="588"/>
        <v>46094</v>
      </c>
      <c r="E2204" s="21"/>
      <c r="F2204" s="21"/>
      <c r="G2204" s="15">
        <f t="shared" si="593"/>
        <v>0</v>
      </c>
      <c r="H2204" s="16" t="s">
        <v>278</v>
      </c>
      <c r="I2204" s="10">
        <f t="shared" si="592"/>
        <v>714.28571428571433</v>
      </c>
      <c r="J2204" s="16" t="s">
        <v>16</v>
      </c>
      <c r="K2204" s="15"/>
      <c r="L2204" s="15"/>
      <c r="M2204" s="17"/>
      <c r="N2204" s="9"/>
      <c r="O2204" s="18">
        <f t="shared" si="594"/>
        <v>0</v>
      </c>
      <c r="P2204" s="9"/>
      <c r="Q2204" s="9"/>
      <c r="R2204" s="9"/>
      <c r="S2204" s="10">
        <f t="shared" si="595"/>
        <v>714.28571428571433</v>
      </c>
    </row>
    <row r="2205" spans="2:19" customFormat="1" hidden="1" outlineLevel="1">
      <c r="B2205" s="13" t="s">
        <v>152</v>
      </c>
      <c r="C2205" s="7" t="str">
        <f t="shared" si="591"/>
        <v>ESPARGIDOR VW 13180 PLACA NSV1G70 CHASSIS R035981</v>
      </c>
      <c r="D2205" s="8">
        <f t="shared" si="588"/>
        <v>46095</v>
      </c>
      <c r="E2205" s="21"/>
      <c r="F2205" s="21"/>
      <c r="G2205" s="15">
        <f t="shared" si="593"/>
        <v>0</v>
      </c>
      <c r="H2205" s="16" t="s">
        <v>278</v>
      </c>
      <c r="I2205" s="10">
        <f t="shared" si="592"/>
        <v>714.28571428571433</v>
      </c>
      <c r="J2205" s="16" t="s">
        <v>16</v>
      </c>
      <c r="K2205" s="15"/>
      <c r="L2205" s="15"/>
      <c r="M2205" s="17"/>
      <c r="N2205" s="9"/>
      <c r="O2205" s="18">
        <f t="shared" si="594"/>
        <v>0</v>
      </c>
      <c r="P2205" s="9"/>
      <c r="Q2205" s="9"/>
      <c r="R2205" s="9"/>
      <c r="S2205" s="10">
        <f t="shared" si="595"/>
        <v>714.28571428571433</v>
      </c>
    </row>
    <row r="2206" spans="2:19" customFormat="1" hidden="1" outlineLevel="1">
      <c r="B2206" s="13" t="s">
        <v>152</v>
      </c>
      <c r="C2206" s="7" t="str">
        <f t="shared" si="591"/>
        <v>ESPARGIDOR VW 13180 PLACA NSV1G70 CHASSIS R035981</v>
      </c>
      <c r="D2206" s="8">
        <f t="shared" si="588"/>
        <v>46096</v>
      </c>
      <c r="E2206" s="21"/>
      <c r="F2206" s="21"/>
      <c r="G2206" s="15">
        <f t="shared" si="593"/>
        <v>0</v>
      </c>
      <c r="H2206" s="16" t="s">
        <v>278</v>
      </c>
      <c r="I2206" s="10">
        <f t="shared" si="592"/>
        <v>714.28571428571433</v>
      </c>
      <c r="J2206" s="16" t="s">
        <v>16</v>
      </c>
      <c r="K2206" s="15"/>
      <c r="L2206" s="15"/>
      <c r="M2206" s="17"/>
      <c r="N2206" s="9"/>
      <c r="O2206" s="18">
        <f t="shared" si="594"/>
        <v>0</v>
      </c>
      <c r="P2206" s="9"/>
      <c r="Q2206" s="9"/>
      <c r="R2206" s="9"/>
      <c r="S2206" s="10">
        <f t="shared" si="595"/>
        <v>714.28571428571433</v>
      </c>
    </row>
    <row r="2207" spans="2:19" customFormat="1" hidden="1" outlineLevel="1">
      <c r="B2207" s="13" t="s">
        <v>152</v>
      </c>
      <c r="C2207" s="7" t="str">
        <f t="shared" si="591"/>
        <v>ESPARGIDOR VW 13180 PLACA NSV1G70 CHASSIS R035981</v>
      </c>
      <c r="D2207" s="8">
        <f t="shared" si="588"/>
        <v>46097</v>
      </c>
      <c r="E2207" s="21"/>
      <c r="F2207" s="21"/>
      <c r="G2207" s="15">
        <f t="shared" si="593"/>
        <v>0</v>
      </c>
      <c r="H2207" s="16" t="s">
        <v>278</v>
      </c>
      <c r="I2207" s="10">
        <f t="shared" si="592"/>
        <v>714.28571428571433</v>
      </c>
      <c r="J2207" s="16" t="s">
        <v>16</v>
      </c>
      <c r="K2207" s="15"/>
      <c r="L2207" s="15"/>
      <c r="M2207" s="17"/>
      <c r="N2207" s="9"/>
      <c r="O2207" s="18">
        <f t="shared" si="594"/>
        <v>0</v>
      </c>
      <c r="P2207" s="9"/>
      <c r="Q2207" s="9"/>
      <c r="R2207" s="9"/>
      <c r="S2207" s="10">
        <f t="shared" si="595"/>
        <v>714.28571428571433</v>
      </c>
    </row>
    <row r="2208" spans="2:19" customFormat="1" hidden="1" outlineLevel="1">
      <c r="B2208" s="13" t="s">
        <v>152</v>
      </c>
      <c r="C2208" s="7" t="str">
        <f t="shared" si="591"/>
        <v>ESPARGIDOR VW 13180 PLACA NSV1G70 CHASSIS R035981</v>
      </c>
      <c r="D2208" s="8">
        <f t="shared" si="588"/>
        <v>46098</v>
      </c>
      <c r="E2208" s="21"/>
      <c r="F2208" s="21"/>
      <c r="G2208" s="15">
        <f t="shared" si="593"/>
        <v>0</v>
      </c>
      <c r="H2208" s="16" t="s">
        <v>278</v>
      </c>
      <c r="I2208" s="10">
        <f t="shared" si="592"/>
        <v>714.28571428571433</v>
      </c>
      <c r="J2208" s="16" t="s">
        <v>16</v>
      </c>
      <c r="K2208" s="15"/>
      <c r="L2208" s="15"/>
      <c r="M2208" s="17"/>
      <c r="N2208" s="9"/>
      <c r="O2208" s="18">
        <f t="shared" si="594"/>
        <v>0</v>
      </c>
      <c r="P2208" s="9"/>
      <c r="Q2208" s="9"/>
      <c r="R2208" s="9"/>
      <c r="S2208" s="10">
        <f t="shared" si="595"/>
        <v>714.28571428571433</v>
      </c>
    </row>
    <row r="2209" spans="2:19" customFormat="1" hidden="1" outlineLevel="1">
      <c r="B2209" s="13" t="s">
        <v>152</v>
      </c>
      <c r="C2209" s="7" t="str">
        <f t="shared" si="591"/>
        <v>ESPARGIDOR VW 13180 PLACA NSV1G70 CHASSIS R035981</v>
      </c>
      <c r="D2209" s="8">
        <f t="shared" si="588"/>
        <v>46099</v>
      </c>
      <c r="E2209" s="21"/>
      <c r="F2209" s="21"/>
      <c r="G2209" s="15">
        <f t="shared" si="593"/>
        <v>0</v>
      </c>
      <c r="H2209" s="16" t="s">
        <v>278</v>
      </c>
      <c r="I2209" s="10">
        <f t="shared" si="592"/>
        <v>714.28571428571433</v>
      </c>
      <c r="J2209" s="16" t="s">
        <v>16</v>
      </c>
      <c r="K2209" s="15"/>
      <c r="L2209" s="15"/>
      <c r="M2209" s="17"/>
      <c r="N2209" s="9"/>
      <c r="O2209" s="18">
        <f t="shared" si="594"/>
        <v>0</v>
      </c>
      <c r="P2209" s="9"/>
      <c r="Q2209" s="9"/>
      <c r="R2209" s="9"/>
      <c r="S2209" s="10">
        <f t="shared" si="595"/>
        <v>714.28571428571433</v>
      </c>
    </row>
    <row r="2210" spans="2:19" customFormat="1" hidden="1" outlineLevel="1">
      <c r="B2210" s="13" t="s">
        <v>152</v>
      </c>
      <c r="C2210" s="7" t="str">
        <f t="shared" si="591"/>
        <v>ESPARGIDOR VW 13180 PLACA NSV1G70 CHASSIS R035981</v>
      </c>
      <c r="D2210" s="8">
        <f t="shared" si="588"/>
        <v>46100</v>
      </c>
      <c r="E2210" s="21"/>
      <c r="F2210" s="21"/>
      <c r="G2210" s="15">
        <f t="shared" si="593"/>
        <v>0</v>
      </c>
      <c r="H2210" s="16" t="s">
        <v>278</v>
      </c>
      <c r="I2210" s="10">
        <f t="shared" si="592"/>
        <v>714.28571428571433</v>
      </c>
      <c r="J2210" s="16" t="s">
        <v>16</v>
      </c>
      <c r="K2210" s="15"/>
      <c r="L2210" s="15"/>
      <c r="M2210" s="17"/>
      <c r="N2210" s="9"/>
      <c r="O2210" s="18">
        <f t="shared" si="594"/>
        <v>0</v>
      </c>
      <c r="P2210" s="9"/>
      <c r="Q2210" s="9"/>
      <c r="R2210" s="9"/>
      <c r="S2210" s="10">
        <f t="shared" si="595"/>
        <v>714.28571428571433</v>
      </c>
    </row>
    <row r="2211" spans="2:19" customFormat="1" hidden="1" outlineLevel="1">
      <c r="B2211" s="13" t="s">
        <v>152</v>
      </c>
      <c r="C2211" s="7" t="str">
        <f t="shared" si="591"/>
        <v>ESPARGIDOR VW 13180 PLACA NSV1G70 CHASSIS R035981</v>
      </c>
      <c r="D2211" s="8">
        <f t="shared" si="588"/>
        <v>46101</v>
      </c>
      <c r="E2211" s="21"/>
      <c r="F2211" s="21"/>
      <c r="G2211" s="15">
        <f t="shared" si="593"/>
        <v>0</v>
      </c>
      <c r="H2211" s="16" t="s">
        <v>278</v>
      </c>
      <c r="I2211" s="10">
        <f t="shared" si="592"/>
        <v>714.28571428571433</v>
      </c>
      <c r="J2211" s="16" t="s">
        <v>16</v>
      </c>
      <c r="K2211" s="15"/>
      <c r="L2211" s="15"/>
      <c r="M2211" s="17"/>
      <c r="N2211" s="9"/>
      <c r="O2211" s="18">
        <f t="shared" si="594"/>
        <v>0</v>
      </c>
      <c r="P2211" s="9"/>
      <c r="Q2211" s="9"/>
      <c r="R2211" s="9"/>
      <c r="S2211" s="10">
        <f t="shared" si="595"/>
        <v>714.28571428571433</v>
      </c>
    </row>
    <row r="2212" spans="2:19" customFormat="1" hidden="1" outlineLevel="1">
      <c r="B2212" s="13" t="s">
        <v>152</v>
      </c>
      <c r="C2212" s="7" t="str">
        <f t="shared" si="591"/>
        <v>ESPARGIDOR VW 13180 PLACA NSV1G70 CHASSIS R035981</v>
      </c>
      <c r="D2212" s="8">
        <f t="shared" si="588"/>
        <v>46102</v>
      </c>
      <c r="E2212" s="73">
        <v>170487</v>
      </c>
      <c r="F2212" s="15">
        <v>170497</v>
      </c>
      <c r="G2212" s="15">
        <f t="shared" si="593"/>
        <v>10</v>
      </c>
      <c r="H2212" s="16" t="s">
        <v>338</v>
      </c>
      <c r="I2212" s="10">
        <f t="shared" si="592"/>
        <v>714.28571428571433</v>
      </c>
      <c r="J2212" s="16"/>
      <c r="K2212" s="15">
        <v>1</v>
      </c>
      <c r="L2212" s="15"/>
      <c r="M2212" s="17"/>
      <c r="N2212" s="9"/>
      <c r="O2212" s="18">
        <f t="shared" si="594"/>
        <v>0</v>
      </c>
      <c r="P2212" s="9"/>
      <c r="Q2212" s="9"/>
      <c r="R2212" s="9"/>
      <c r="S2212" s="10">
        <f t="shared" si="595"/>
        <v>714.28571428571433</v>
      </c>
    </row>
    <row r="2213" spans="2:19" customFormat="1" hidden="1" outlineLevel="1">
      <c r="B2213" s="13" t="s">
        <v>152</v>
      </c>
      <c r="C2213" s="7" t="str">
        <f t="shared" si="591"/>
        <v>ESPARGIDOR VW 13180 PLACA NSV1G70 CHASSIS R035981</v>
      </c>
      <c r="D2213" s="8">
        <f t="shared" si="588"/>
        <v>46103</v>
      </c>
      <c r="E2213" s="73"/>
      <c r="F2213" s="15"/>
      <c r="G2213" s="15">
        <f t="shared" si="593"/>
        <v>0</v>
      </c>
      <c r="H2213" s="16" t="s">
        <v>278</v>
      </c>
      <c r="I2213" s="10">
        <f t="shared" si="592"/>
        <v>714.28571428571433</v>
      </c>
      <c r="J2213" s="16" t="s">
        <v>16</v>
      </c>
      <c r="K2213" s="15"/>
      <c r="L2213" s="15"/>
      <c r="M2213" s="17"/>
      <c r="N2213" s="9"/>
      <c r="O2213" s="18">
        <f t="shared" si="594"/>
        <v>0</v>
      </c>
      <c r="P2213" s="9"/>
      <c r="Q2213" s="9"/>
      <c r="R2213" s="9"/>
      <c r="S2213" s="10">
        <f t="shared" si="595"/>
        <v>714.28571428571433</v>
      </c>
    </row>
    <row r="2214" spans="2:19" customFormat="1" hidden="1" outlineLevel="1">
      <c r="B2214" s="13" t="s">
        <v>152</v>
      </c>
      <c r="C2214" s="7" t="str">
        <f t="shared" si="591"/>
        <v>ESPARGIDOR VW 13180 PLACA NSV1G70 CHASSIS R035981</v>
      </c>
      <c r="D2214" s="8">
        <f t="shared" si="588"/>
        <v>46104</v>
      </c>
      <c r="E2214" s="73"/>
      <c r="F2214" s="15"/>
      <c r="G2214" s="15">
        <f t="shared" si="593"/>
        <v>0</v>
      </c>
      <c r="H2214" s="16" t="s">
        <v>278</v>
      </c>
      <c r="I2214" s="10">
        <f t="shared" si="592"/>
        <v>714.28571428571433</v>
      </c>
      <c r="J2214" s="16" t="s">
        <v>16</v>
      </c>
      <c r="K2214" s="15"/>
      <c r="L2214" s="15"/>
      <c r="M2214" s="17"/>
      <c r="N2214" s="9"/>
      <c r="O2214" s="18">
        <f t="shared" si="594"/>
        <v>0</v>
      </c>
      <c r="P2214" s="9"/>
      <c r="Q2214" s="9"/>
      <c r="R2214" s="9"/>
      <c r="S2214" s="10">
        <f t="shared" si="595"/>
        <v>714.28571428571433</v>
      </c>
    </row>
    <row r="2215" spans="2:19" customFormat="1" hidden="1" outlineLevel="1">
      <c r="B2215" s="13" t="s">
        <v>152</v>
      </c>
      <c r="C2215" s="7" t="str">
        <f t="shared" si="591"/>
        <v>ESPARGIDOR VW 13180 PLACA NSV1G70 CHASSIS R035981</v>
      </c>
      <c r="D2215" s="8">
        <f t="shared" si="588"/>
        <v>46105</v>
      </c>
      <c r="E2215" s="73"/>
      <c r="F2215" s="15"/>
      <c r="G2215" s="15">
        <f t="shared" si="593"/>
        <v>0</v>
      </c>
      <c r="H2215" s="16" t="s">
        <v>278</v>
      </c>
      <c r="I2215" s="10">
        <f t="shared" si="592"/>
        <v>714.28571428571433</v>
      </c>
      <c r="J2215" s="16" t="s">
        <v>16</v>
      </c>
      <c r="K2215" s="15"/>
      <c r="L2215" s="15"/>
      <c r="M2215" s="17"/>
      <c r="N2215" s="9"/>
      <c r="O2215" s="18">
        <f t="shared" si="594"/>
        <v>0</v>
      </c>
      <c r="P2215" s="9"/>
      <c r="Q2215" s="9"/>
      <c r="R2215" s="9"/>
      <c r="S2215" s="10">
        <f t="shared" si="595"/>
        <v>714.28571428571433</v>
      </c>
    </row>
    <row r="2216" spans="2:19" customFormat="1" hidden="1" outlineLevel="1">
      <c r="B2216" s="13" t="s">
        <v>152</v>
      </c>
      <c r="C2216" s="7" t="str">
        <f t="shared" si="591"/>
        <v>ESPARGIDOR VW 13180 PLACA NSV1G70 CHASSIS R035981</v>
      </c>
      <c r="D2216" s="8">
        <f t="shared" si="588"/>
        <v>46106</v>
      </c>
      <c r="E2216" s="73"/>
      <c r="F2216" s="15"/>
      <c r="G2216" s="15">
        <f t="shared" si="593"/>
        <v>0</v>
      </c>
      <c r="H2216" s="16" t="s">
        <v>278</v>
      </c>
      <c r="I2216" s="10">
        <f t="shared" si="592"/>
        <v>714.28571428571433</v>
      </c>
      <c r="J2216" s="16" t="s">
        <v>16</v>
      </c>
      <c r="K2216" s="15"/>
      <c r="L2216" s="15"/>
      <c r="M2216" s="17"/>
      <c r="N2216" s="9"/>
      <c r="O2216" s="18">
        <f t="shared" si="594"/>
        <v>0</v>
      </c>
      <c r="P2216" s="9"/>
      <c r="Q2216" s="9"/>
      <c r="R2216" s="9"/>
      <c r="S2216" s="10">
        <f t="shared" si="595"/>
        <v>714.28571428571433</v>
      </c>
    </row>
    <row r="2217" spans="2:19" customFormat="1" hidden="1" outlineLevel="1">
      <c r="B2217" s="13" t="s">
        <v>152</v>
      </c>
      <c r="C2217" s="7" t="str">
        <f t="shared" si="591"/>
        <v>ESPARGIDOR VW 13180 PLACA NSV1G70 CHASSIS R035981</v>
      </c>
      <c r="D2217" s="8">
        <f t="shared" si="588"/>
        <v>46107</v>
      </c>
      <c r="E2217" s="73"/>
      <c r="F2217" s="15"/>
      <c r="G2217" s="15">
        <f t="shared" si="593"/>
        <v>0</v>
      </c>
      <c r="H2217" s="16" t="s">
        <v>278</v>
      </c>
      <c r="I2217" s="10">
        <f t="shared" si="592"/>
        <v>714.28571428571433</v>
      </c>
      <c r="J2217" s="16" t="s">
        <v>16</v>
      </c>
      <c r="K2217" s="15"/>
      <c r="L2217" s="15"/>
      <c r="M2217" s="17"/>
      <c r="N2217" s="9"/>
      <c r="O2217" s="18">
        <f t="shared" si="594"/>
        <v>0</v>
      </c>
      <c r="P2217" s="9"/>
      <c r="Q2217" s="9"/>
      <c r="R2217" s="9"/>
      <c r="S2217" s="10">
        <f t="shared" si="595"/>
        <v>714.28571428571433</v>
      </c>
    </row>
    <row r="2218" spans="2:19" customFormat="1" hidden="1" outlineLevel="1">
      <c r="B2218" s="13" t="s">
        <v>152</v>
      </c>
      <c r="C2218" s="7" t="str">
        <f t="shared" si="591"/>
        <v>ESPARGIDOR VW 13180 PLACA NSV1G70 CHASSIS R035981</v>
      </c>
      <c r="D2218" s="8">
        <f t="shared" si="588"/>
        <v>46108</v>
      </c>
      <c r="E2218" s="73">
        <v>170515</v>
      </c>
      <c r="F2218" s="15">
        <v>170655</v>
      </c>
      <c r="G2218" s="15">
        <f t="shared" si="593"/>
        <v>140</v>
      </c>
      <c r="H2218" s="16" t="s">
        <v>278</v>
      </c>
      <c r="I2218" s="10">
        <f t="shared" si="592"/>
        <v>714.28571428571433</v>
      </c>
      <c r="J2218" s="16"/>
      <c r="K2218" s="15">
        <v>1</v>
      </c>
      <c r="L2218" s="15">
        <v>62</v>
      </c>
      <c r="M2218" s="17"/>
      <c r="N2218" s="9"/>
      <c r="O2218" s="18">
        <f t="shared" si="594"/>
        <v>0</v>
      </c>
      <c r="P2218" s="9"/>
      <c r="Q2218" s="9"/>
      <c r="R2218" s="9"/>
      <c r="S2218" s="10">
        <f t="shared" si="595"/>
        <v>714.28571428571433</v>
      </c>
    </row>
    <row r="2219" spans="2:19" customFormat="1" hidden="1" outlineLevel="1">
      <c r="B2219" s="13" t="s">
        <v>152</v>
      </c>
      <c r="C2219" s="7" t="str">
        <f t="shared" si="591"/>
        <v>ESPARGIDOR VW 13180 PLACA NSV1G70 CHASSIS R035981</v>
      </c>
      <c r="D2219" s="8">
        <f t="shared" si="588"/>
        <v>46112</v>
      </c>
      <c r="E2219" s="73">
        <v>170655</v>
      </c>
      <c r="F2219" s="15">
        <v>170720</v>
      </c>
      <c r="G2219" s="15">
        <f t="shared" si="593"/>
        <v>65</v>
      </c>
      <c r="H2219" s="16" t="s">
        <v>278</v>
      </c>
      <c r="I2219" s="10">
        <f t="shared" si="592"/>
        <v>714.28571428571433</v>
      </c>
      <c r="J2219" s="16"/>
      <c r="K2219" s="15">
        <v>1</v>
      </c>
      <c r="L2219" s="15"/>
      <c r="M2219" s="17"/>
      <c r="N2219" s="9"/>
      <c r="O2219" s="18">
        <f t="shared" si="594"/>
        <v>0</v>
      </c>
      <c r="P2219" s="9"/>
      <c r="Q2219" s="9"/>
      <c r="R2219" s="9"/>
      <c r="S2219" s="10">
        <f t="shared" si="595"/>
        <v>714.28571428571433</v>
      </c>
    </row>
    <row r="2220" spans="2:19" customFormat="1" collapsed="1">
      <c r="B2220" s="13" t="s">
        <v>152</v>
      </c>
      <c r="D2220" s="1"/>
      <c r="E2220" s="2"/>
      <c r="F2220" s="2"/>
      <c r="G2220" s="2"/>
      <c r="K2220" s="2"/>
      <c r="L2220" s="2"/>
      <c r="O2220" s="2"/>
      <c r="P2220" s="2"/>
      <c r="Q2220" s="2"/>
      <c r="R2220" s="2"/>
    </row>
    <row r="2221" spans="2:19" customFormat="1">
      <c r="B2221" s="13" t="s">
        <v>152</v>
      </c>
      <c r="C2221" s="3" t="s">
        <v>155</v>
      </c>
      <c r="D2221" s="3"/>
      <c r="E2221" s="4"/>
      <c r="F2221" s="4"/>
      <c r="G2221" s="4"/>
      <c r="H2221" s="3"/>
      <c r="I2221" s="3"/>
      <c r="J2221" s="3"/>
      <c r="K2221" s="4"/>
      <c r="L2221" s="4"/>
      <c r="M2221" s="135" t="str">
        <f>M$1</f>
        <v>BM JANEIRO 2026</v>
      </c>
      <c r="N2221" s="135"/>
      <c r="O2221" s="135"/>
      <c r="P2221" s="19" t="s">
        <v>10</v>
      </c>
      <c r="Q2221" s="136" t="s">
        <v>197</v>
      </c>
      <c r="R2221" s="136"/>
      <c r="S2221" s="136"/>
    </row>
    <row r="2222" spans="2:19" customFormat="1">
      <c r="B2222" s="14"/>
      <c r="C2222" s="5" t="s">
        <v>1</v>
      </c>
      <c r="D2222" s="5" t="s">
        <v>11</v>
      </c>
      <c r="E2222" s="6" t="s">
        <v>12</v>
      </c>
      <c r="F2222" s="6" t="s">
        <v>13</v>
      </c>
      <c r="G2222" s="6" t="s">
        <v>14</v>
      </c>
      <c r="H2222" s="5" t="s">
        <v>3</v>
      </c>
      <c r="I2222" s="6" t="s">
        <v>15</v>
      </c>
      <c r="J2222" s="6" t="s">
        <v>16</v>
      </c>
      <c r="K2222" s="6" t="s">
        <v>17</v>
      </c>
      <c r="L2222" s="6" t="s">
        <v>18</v>
      </c>
      <c r="M2222" s="5" t="s">
        <v>11</v>
      </c>
      <c r="N2222" s="5" t="s">
        <v>19</v>
      </c>
      <c r="O2222" s="6" t="s">
        <v>2</v>
      </c>
      <c r="P2222" s="6" t="s">
        <v>20</v>
      </c>
      <c r="Q2222" s="6" t="s">
        <v>21</v>
      </c>
      <c r="R2222" s="6" t="s">
        <v>22</v>
      </c>
      <c r="S2222" s="6" t="s">
        <v>23</v>
      </c>
    </row>
    <row r="2223" spans="2:19" customFormat="1" hidden="1" outlineLevel="1">
      <c r="B2223" s="11" t="s">
        <v>154</v>
      </c>
      <c r="C2223" s="7" t="str">
        <f>C$2221</f>
        <v>MOTO NIVELADORA JOHN DEERE CHASSIS DM00042</v>
      </c>
      <c r="D2223" s="8">
        <f t="shared" ref="D2223:D2250" si="596">D2161</f>
        <v>46082</v>
      </c>
      <c r="E2223" s="15"/>
      <c r="F2223" s="15"/>
      <c r="G2223" s="15">
        <f t="shared" ref="G2223:G2226" si="597">F2223-E2223</f>
        <v>0</v>
      </c>
      <c r="H2223" s="16" t="s">
        <v>203</v>
      </c>
      <c r="I2223" s="10">
        <f>P2223</f>
        <v>1000</v>
      </c>
      <c r="J2223" s="16" t="s">
        <v>16</v>
      </c>
      <c r="K2223" s="15"/>
      <c r="L2223" s="15"/>
      <c r="M2223" s="17"/>
      <c r="N2223" s="9"/>
      <c r="O2223" s="9">
        <v>28000</v>
      </c>
      <c r="P2223" s="9">
        <f>O2223/28</f>
        <v>1000</v>
      </c>
      <c r="Q2223" s="9"/>
      <c r="R2223" s="72"/>
      <c r="S2223" s="10">
        <f t="shared" ref="S2223:S2250" si="598">SUM(R2223+Q2223+I2223)</f>
        <v>1000</v>
      </c>
    </row>
    <row r="2224" spans="2:19" customFormat="1" hidden="1" outlineLevel="1">
      <c r="B2224" s="12" t="s">
        <v>0</v>
      </c>
      <c r="C2224" s="7" t="str">
        <f t="shared" ref="C2224:C2250" si="599">C$2221</f>
        <v>MOTO NIVELADORA JOHN DEERE CHASSIS DM00042</v>
      </c>
      <c r="D2224" s="8">
        <f t="shared" si="596"/>
        <v>46083</v>
      </c>
      <c r="E2224" s="15"/>
      <c r="F2224" s="15"/>
      <c r="G2224" s="15">
        <f t="shared" si="597"/>
        <v>0</v>
      </c>
      <c r="H2224" s="16" t="s">
        <v>203</v>
      </c>
      <c r="I2224" s="10">
        <f>I2223</f>
        <v>1000</v>
      </c>
      <c r="J2224" s="16" t="s">
        <v>16</v>
      </c>
      <c r="K2224" s="15"/>
      <c r="L2224" s="15"/>
      <c r="M2224" s="17"/>
      <c r="N2224" s="9"/>
      <c r="O2224" s="9"/>
      <c r="P2224" s="9"/>
      <c r="Q2224" s="9"/>
      <c r="R2224" s="72"/>
      <c r="S2224" s="10">
        <f t="shared" si="598"/>
        <v>1000</v>
      </c>
    </row>
    <row r="2225" spans="2:19" customFormat="1" hidden="1" outlineLevel="1">
      <c r="B2225" s="13" t="s">
        <v>154</v>
      </c>
      <c r="C2225" s="7" t="str">
        <f t="shared" si="599"/>
        <v>MOTO NIVELADORA JOHN DEERE CHASSIS DM00042</v>
      </c>
      <c r="D2225" s="8">
        <f t="shared" si="596"/>
        <v>46084</v>
      </c>
      <c r="E2225" s="15"/>
      <c r="F2225" s="15"/>
      <c r="G2225" s="15">
        <f t="shared" si="597"/>
        <v>0</v>
      </c>
      <c r="H2225" s="16" t="s">
        <v>203</v>
      </c>
      <c r="I2225" s="10">
        <f t="shared" ref="I2225:I2250" si="600">I2224</f>
        <v>1000</v>
      </c>
      <c r="J2225" s="16" t="s">
        <v>16</v>
      </c>
      <c r="K2225" s="15"/>
      <c r="L2225" s="15"/>
      <c r="M2225" s="17"/>
      <c r="N2225" s="9"/>
      <c r="O2225" s="9"/>
      <c r="P2225" s="9"/>
      <c r="Q2225" s="9"/>
      <c r="R2225" s="72"/>
      <c r="S2225" s="10">
        <f t="shared" si="598"/>
        <v>1000</v>
      </c>
    </row>
    <row r="2226" spans="2:19" customFormat="1" hidden="1" outlineLevel="1">
      <c r="B2226" s="13" t="s">
        <v>154</v>
      </c>
      <c r="C2226" s="7" t="str">
        <f t="shared" si="599"/>
        <v>MOTO NIVELADORA JOHN DEERE CHASSIS DM00042</v>
      </c>
      <c r="D2226" s="8">
        <f t="shared" si="596"/>
        <v>46085</v>
      </c>
      <c r="E2226" s="15">
        <v>2700</v>
      </c>
      <c r="F2226" s="15">
        <v>2704</v>
      </c>
      <c r="G2226" s="15">
        <f t="shared" si="597"/>
        <v>4</v>
      </c>
      <c r="H2226" s="16" t="s">
        <v>203</v>
      </c>
      <c r="I2226" s="10">
        <f t="shared" si="600"/>
        <v>1000</v>
      </c>
      <c r="J2226" s="16"/>
      <c r="K2226" s="15">
        <v>1</v>
      </c>
      <c r="L2226" s="15"/>
      <c r="M2226" s="17"/>
      <c r="N2226" s="9"/>
      <c r="O2226" s="9"/>
      <c r="P2226" s="9"/>
      <c r="Q2226" s="9"/>
      <c r="R2226" s="72"/>
      <c r="S2226" s="10">
        <f t="shared" si="598"/>
        <v>1000</v>
      </c>
    </row>
    <row r="2227" spans="2:19" customFormat="1" hidden="1" outlineLevel="1">
      <c r="B2227" s="13" t="s">
        <v>154</v>
      </c>
      <c r="C2227" s="7" t="str">
        <f t="shared" si="599"/>
        <v>MOTO NIVELADORA JOHN DEERE CHASSIS DM00042</v>
      </c>
      <c r="D2227" s="8">
        <f t="shared" si="596"/>
        <v>46086</v>
      </c>
      <c r="E2227" s="15"/>
      <c r="F2227" s="15"/>
      <c r="G2227" s="15">
        <f t="shared" ref="G2227:G2250" si="601">F2227-E2227</f>
        <v>0</v>
      </c>
      <c r="H2227" s="16" t="s">
        <v>203</v>
      </c>
      <c r="I2227" s="10">
        <f t="shared" si="600"/>
        <v>1000</v>
      </c>
      <c r="J2227" s="16" t="s">
        <v>16</v>
      </c>
      <c r="K2227" s="15"/>
      <c r="L2227" s="15"/>
      <c r="M2227" s="17"/>
      <c r="N2227" s="9"/>
      <c r="O2227" s="9"/>
      <c r="P2227" s="9"/>
      <c r="Q2227" s="9"/>
      <c r="R2227" s="72"/>
      <c r="S2227" s="10">
        <f t="shared" si="598"/>
        <v>1000</v>
      </c>
    </row>
    <row r="2228" spans="2:19" customFormat="1" hidden="1" outlineLevel="1">
      <c r="B2228" s="13" t="s">
        <v>154</v>
      </c>
      <c r="C2228" s="7" t="str">
        <f t="shared" si="599"/>
        <v>MOTO NIVELADORA JOHN DEERE CHASSIS DM00042</v>
      </c>
      <c r="D2228" s="114">
        <f t="shared" si="596"/>
        <v>46087</v>
      </c>
      <c r="E2228" s="15">
        <v>2716</v>
      </c>
      <c r="F2228" s="15">
        <v>2721</v>
      </c>
      <c r="G2228" s="15">
        <f t="shared" si="601"/>
        <v>5</v>
      </c>
      <c r="H2228" s="16" t="s">
        <v>203</v>
      </c>
      <c r="I2228" s="10">
        <f t="shared" si="600"/>
        <v>1000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72"/>
      <c r="S2228" s="10">
        <f t="shared" si="598"/>
        <v>1000</v>
      </c>
    </row>
    <row r="2229" spans="2:19" customFormat="1" hidden="1" outlineLevel="1">
      <c r="B2229" s="13" t="s">
        <v>154</v>
      </c>
      <c r="C2229" s="7" t="str">
        <f t="shared" si="599"/>
        <v>MOTO NIVELADORA JOHN DEERE CHASSIS DM00042</v>
      </c>
      <c r="D2229" s="8">
        <f t="shared" si="596"/>
        <v>46088</v>
      </c>
      <c r="E2229" s="15"/>
      <c r="F2229" s="15"/>
      <c r="G2229" s="15">
        <f t="shared" si="601"/>
        <v>0</v>
      </c>
      <c r="H2229" s="16" t="s">
        <v>203</v>
      </c>
      <c r="I2229" s="10">
        <f t="shared" si="600"/>
        <v>1000</v>
      </c>
      <c r="J2229" s="16" t="s">
        <v>16</v>
      </c>
      <c r="K2229" s="15"/>
      <c r="L2229" s="15"/>
      <c r="M2229" s="17"/>
      <c r="N2229" s="9"/>
      <c r="O2229" s="9"/>
      <c r="P2229" s="9"/>
      <c r="Q2229" s="9"/>
      <c r="R2229" s="72"/>
      <c r="S2229" s="10">
        <f t="shared" si="598"/>
        <v>1000</v>
      </c>
    </row>
    <row r="2230" spans="2:19" customFormat="1" hidden="1" outlineLevel="1">
      <c r="B2230" s="13" t="s">
        <v>154</v>
      </c>
      <c r="C2230" s="7" t="str">
        <f t="shared" si="599"/>
        <v>MOTO NIVELADORA JOHN DEERE CHASSIS DM00042</v>
      </c>
      <c r="D2230" s="8">
        <f t="shared" si="596"/>
        <v>46089</v>
      </c>
      <c r="E2230" s="15"/>
      <c r="F2230" s="15"/>
      <c r="G2230" s="15">
        <f t="shared" si="601"/>
        <v>0</v>
      </c>
      <c r="H2230" s="16" t="s">
        <v>203</v>
      </c>
      <c r="I2230" s="10">
        <f t="shared" si="600"/>
        <v>1000</v>
      </c>
      <c r="J2230" s="16" t="s">
        <v>16</v>
      </c>
      <c r="K2230" s="15"/>
      <c r="L2230" s="15"/>
      <c r="M2230" s="17"/>
      <c r="N2230" s="9"/>
      <c r="O2230" s="9"/>
      <c r="P2230" s="9"/>
      <c r="Q2230" s="9"/>
      <c r="R2230" s="72"/>
      <c r="S2230" s="10">
        <f t="shared" si="598"/>
        <v>1000</v>
      </c>
    </row>
    <row r="2231" spans="2:19" customFormat="1" hidden="1" outlineLevel="1">
      <c r="B2231" s="13" t="s">
        <v>154</v>
      </c>
      <c r="C2231" s="7" t="str">
        <f t="shared" si="599"/>
        <v>MOTO NIVELADORA JOHN DEERE CHASSIS DM00042</v>
      </c>
      <c r="D2231" s="8">
        <f t="shared" si="596"/>
        <v>46090</v>
      </c>
      <c r="E2231" s="15">
        <v>2709</v>
      </c>
      <c r="F2231" s="15">
        <v>2716</v>
      </c>
      <c r="G2231" s="15">
        <f t="shared" si="601"/>
        <v>7</v>
      </c>
      <c r="H2231" s="16" t="s">
        <v>203</v>
      </c>
      <c r="I2231" s="10">
        <f t="shared" si="600"/>
        <v>1000</v>
      </c>
      <c r="J2231" s="16"/>
      <c r="K2231" s="15">
        <v>1</v>
      </c>
      <c r="L2231" s="15"/>
      <c r="M2231" s="17"/>
      <c r="N2231" s="9"/>
      <c r="O2231" s="9"/>
      <c r="P2231" s="9"/>
      <c r="Q2231" s="9"/>
      <c r="R2231" s="72"/>
      <c r="S2231" s="10">
        <f t="shared" si="598"/>
        <v>1000</v>
      </c>
    </row>
    <row r="2232" spans="2:19" customFormat="1" hidden="1" outlineLevel="1">
      <c r="B2232" s="13" t="s">
        <v>154</v>
      </c>
      <c r="C2232" s="7" t="str">
        <f t="shared" si="599"/>
        <v>MOTO NIVELADORA JOHN DEERE CHASSIS DM00042</v>
      </c>
      <c r="D2232" s="8">
        <f t="shared" si="596"/>
        <v>46091</v>
      </c>
      <c r="E2232" s="15"/>
      <c r="F2232" s="15"/>
      <c r="G2232" s="15">
        <f t="shared" si="601"/>
        <v>0</v>
      </c>
      <c r="H2232" s="16" t="s">
        <v>203</v>
      </c>
      <c r="I2232" s="10">
        <f t="shared" si="600"/>
        <v>1000</v>
      </c>
      <c r="J2232" s="16" t="s">
        <v>16</v>
      </c>
      <c r="K2232" s="15"/>
      <c r="L2232" s="15"/>
      <c r="M2232" s="17"/>
      <c r="N2232" s="9"/>
      <c r="O2232" s="9"/>
      <c r="P2232" s="9"/>
      <c r="Q2232" s="9"/>
      <c r="R2232" s="72"/>
      <c r="S2232" s="10">
        <f t="shared" si="598"/>
        <v>1000</v>
      </c>
    </row>
    <row r="2233" spans="2:19" customFormat="1" hidden="1" outlineLevel="1">
      <c r="B2233" s="13" t="s">
        <v>154</v>
      </c>
      <c r="C2233" s="7" t="str">
        <f t="shared" si="599"/>
        <v>MOTO NIVELADORA JOHN DEERE CHASSIS DM00042</v>
      </c>
      <c r="D2233" s="8">
        <f t="shared" si="596"/>
        <v>46092</v>
      </c>
      <c r="E2233" s="15">
        <v>2725</v>
      </c>
      <c r="F2233" s="15">
        <v>2727</v>
      </c>
      <c r="G2233" s="15">
        <f t="shared" si="601"/>
        <v>2</v>
      </c>
      <c r="H2233" s="16" t="s">
        <v>203</v>
      </c>
      <c r="I2233" s="10">
        <f t="shared" si="600"/>
        <v>1000</v>
      </c>
      <c r="J2233" s="16"/>
      <c r="K2233" s="15">
        <v>1</v>
      </c>
      <c r="L2233" s="15"/>
      <c r="M2233" s="17"/>
      <c r="N2233" s="9"/>
      <c r="O2233" s="9"/>
      <c r="P2233" s="9"/>
      <c r="Q2233" s="9"/>
      <c r="R2233" s="72"/>
      <c r="S2233" s="10">
        <f t="shared" si="598"/>
        <v>1000</v>
      </c>
    </row>
    <row r="2234" spans="2:19" customFormat="1" hidden="1" outlineLevel="1">
      <c r="B2234" s="13" t="s">
        <v>154</v>
      </c>
      <c r="C2234" s="7" t="str">
        <f t="shared" si="599"/>
        <v>MOTO NIVELADORA JOHN DEERE CHASSIS DM00042</v>
      </c>
      <c r="D2234" s="8">
        <f t="shared" si="596"/>
        <v>46093</v>
      </c>
      <c r="E2234" s="15"/>
      <c r="F2234" s="15"/>
      <c r="G2234" s="15">
        <f t="shared" si="601"/>
        <v>0</v>
      </c>
      <c r="H2234" s="16" t="s">
        <v>203</v>
      </c>
      <c r="I2234" s="10">
        <f t="shared" si="600"/>
        <v>1000</v>
      </c>
      <c r="J2234" s="16" t="s">
        <v>16</v>
      </c>
      <c r="K2234" s="15"/>
      <c r="L2234" s="15"/>
      <c r="M2234" s="17"/>
      <c r="N2234" s="9"/>
      <c r="O2234" s="9"/>
      <c r="P2234" s="9"/>
      <c r="Q2234" s="9"/>
      <c r="R2234" s="72"/>
      <c r="S2234" s="10">
        <f t="shared" si="598"/>
        <v>1000</v>
      </c>
    </row>
    <row r="2235" spans="2:19" customFormat="1" hidden="1" outlineLevel="1">
      <c r="B2235" s="13" t="s">
        <v>154</v>
      </c>
      <c r="C2235" s="7" t="str">
        <f t="shared" si="599"/>
        <v>MOTO NIVELADORA JOHN DEERE CHASSIS DM00042</v>
      </c>
      <c r="D2235" s="8">
        <f t="shared" si="596"/>
        <v>46094</v>
      </c>
      <c r="E2235" s="15"/>
      <c r="F2235" s="15"/>
      <c r="G2235" s="15">
        <f t="shared" si="601"/>
        <v>0</v>
      </c>
      <c r="H2235" s="16" t="s">
        <v>203</v>
      </c>
      <c r="I2235" s="10">
        <f t="shared" si="600"/>
        <v>1000</v>
      </c>
      <c r="J2235" s="16" t="s">
        <v>16</v>
      </c>
      <c r="K2235" s="15"/>
      <c r="L2235" s="15"/>
      <c r="M2235" s="17"/>
      <c r="N2235" s="9"/>
      <c r="O2235" s="18"/>
      <c r="P2235" s="9"/>
      <c r="Q2235" s="9"/>
      <c r="R2235" s="72"/>
      <c r="S2235" s="10">
        <f t="shared" si="598"/>
        <v>1000</v>
      </c>
    </row>
    <row r="2236" spans="2:19" customFormat="1" hidden="1" outlineLevel="1">
      <c r="B2236" s="13" t="s">
        <v>154</v>
      </c>
      <c r="C2236" s="7" t="str">
        <f t="shared" si="599"/>
        <v>MOTO NIVELADORA JOHN DEERE CHASSIS DM00042</v>
      </c>
      <c r="D2236" s="8">
        <f t="shared" si="596"/>
        <v>46095</v>
      </c>
      <c r="E2236" s="15"/>
      <c r="F2236" s="15"/>
      <c r="G2236" s="15">
        <f t="shared" si="601"/>
        <v>0</v>
      </c>
      <c r="H2236" s="16" t="s">
        <v>203</v>
      </c>
      <c r="I2236" s="10">
        <f t="shared" si="600"/>
        <v>1000</v>
      </c>
      <c r="J2236" s="16" t="s">
        <v>16</v>
      </c>
      <c r="K2236" s="15"/>
      <c r="L2236" s="15"/>
      <c r="M2236" s="17"/>
      <c r="N2236" s="9"/>
      <c r="O2236" s="18"/>
      <c r="P2236" s="9"/>
      <c r="Q2236" s="9"/>
      <c r="R2236" s="72"/>
      <c r="S2236" s="10">
        <f t="shared" si="598"/>
        <v>1000</v>
      </c>
    </row>
    <row r="2237" spans="2:19" customFormat="1" hidden="1" outlineLevel="1">
      <c r="B2237" s="13" t="s">
        <v>154</v>
      </c>
      <c r="C2237" s="7" t="str">
        <f t="shared" si="599"/>
        <v>MOTO NIVELADORA JOHN DEERE CHASSIS DM00042</v>
      </c>
      <c r="D2237" s="8">
        <f t="shared" si="596"/>
        <v>46096</v>
      </c>
      <c r="E2237" s="15"/>
      <c r="F2237" s="15"/>
      <c r="G2237" s="15">
        <f t="shared" si="601"/>
        <v>0</v>
      </c>
      <c r="H2237" s="16" t="s">
        <v>203</v>
      </c>
      <c r="I2237" s="10">
        <f t="shared" si="600"/>
        <v>1000</v>
      </c>
      <c r="J2237" s="16" t="s">
        <v>16</v>
      </c>
      <c r="K2237" s="15"/>
      <c r="L2237" s="15"/>
      <c r="M2237" s="17"/>
      <c r="N2237" s="9"/>
      <c r="O2237" s="18"/>
      <c r="P2237" s="9"/>
      <c r="Q2237" s="9"/>
      <c r="R2237" s="72"/>
      <c r="S2237" s="10">
        <f t="shared" si="598"/>
        <v>1000</v>
      </c>
    </row>
    <row r="2238" spans="2:19" customFormat="1" hidden="1" outlineLevel="1">
      <c r="B2238" s="13" t="s">
        <v>154</v>
      </c>
      <c r="C2238" s="7" t="str">
        <f t="shared" si="599"/>
        <v>MOTO NIVELADORA JOHN DEERE CHASSIS DM00042</v>
      </c>
      <c r="D2238" s="8">
        <f t="shared" si="596"/>
        <v>46097</v>
      </c>
      <c r="E2238" s="15"/>
      <c r="F2238" s="15"/>
      <c r="G2238" s="15">
        <f t="shared" si="601"/>
        <v>0</v>
      </c>
      <c r="H2238" s="16" t="s">
        <v>203</v>
      </c>
      <c r="I2238" s="10">
        <f t="shared" si="600"/>
        <v>1000</v>
      </c>
      <c r="J2238" s="16" t="s">
        <v>16</v>
      </c>
      <c r="K2238" s="15"/>
      <c r="L2238" s="15"/>
      <c r="M2238" s="17"/>
      <c r="N2238" s="9"/>
      <c r="O2238" s="18"/>
      <c r="P2238" s="9"/>
      <c r="Q2238" s="9"/>
      <c r="R2238" s="72"/>
      <c r="S2238" s="10">
        <f t="shared" si="598"/>
        <v>1000</v>
      </c>
    </row>
    <row r="2239" spans="2:19" customFormat="1" hidden="1" outlineLevel="1">
      <c r="B2239" s="13" t="s">
        <v>154</v>
      </c>
      <c r="C2239" s="7" t="str">
        <f t="shared" si="599"/>
        <v>MOTO NIVELADORA JOHN DEERE CHASSIS DM00042</v>
      </c>
      <c r="D2239" s="8">
        <f t="shared" si="596"/>
        <v>46098</v>
      </c>
      <c r="E2239" s="15"/>
      <c r="F2239" s="15"/>
      <c r="G2239" s="15">
        <f t="shared" si="601"/>
        <v>0</v>
      </c>
      <c r="H2239" s="16" t="s">
        <v>203</v>
      </c>
      <c r="I2239" s="10">
        <f t="shared" si="600"/>
        <v>1000</v>
      </c>
      <c r="J2239" s="16" t="s">
        <v>16</v>
      </c>
      <c r="K2239" s="15"/>
      <c r="L2239" s="15"/>
      <c r="M2239" s="17"/>
      <c r="N2239" s="9"/>
      <c r="O2239" s="18"/>
      <c r="P2239" s="9"/>
      <c r="Q2239" s="9"/>
      <c r="R2239" s="72"/>
      <c r="S2239" s="10">
        <f t="shared" si="598"/>
        <v>1000</v>
      </c>
    </row>
    <row r="2240" spans="2:19" customFormat="1" hidden="1" outlineLevel="1">
      <c r="B2240" s="13" t="s">
        <v>154</v>
      </c>
      <c r="C2240" s="7" t="str">
        <f t="shared" si="599"/>
        <v>MOTO NIVELADORA JOHN DEERE CHASSIS DM00042</v>
      </c>
      <c r="D2240" s="8">
        <f t="shared" si="596"/>
        <v>46099</v>
      </c>
      <c r="E2240" s="15"/>
      <c r="F2240" s="15"/>
      <c r="G2240" s="15">
        <f t="shared" si="601"/>
        <v>0</v>
      </c>
      <c r="H2240" s="16" t="s">
        <v>203</v>
      </c>
      <c r="I2240" s="10">
        <f t="shared" si="600"/>
        <v>1000</v>
      </c>
      <c r="J2240" s="16" t="s">
        <v>16</v>
      </c>
      <c r="K2240" s="15"/>
      <c r="L2240" s="15"/>
      <c r="M2240" s="17"/>
      <c r="N2240" s="9"/>
      <c r="O2240" s="18"/>
      <c r="P2240" s="9"/>
      <c r="Q2240" s="9"/>
      <c r="R2240" s="72"/>
      <c r="S2240" s="10">
        <f t="shared" si="598"/>
        <v>1000</v>
      </c>
    </row>
    <row r="2241" spans="2:19" customFormat="1" hidden="1" outlineLevel="1">
      <c r="B2241" s="13" t="s">
        <v>154</v>
      </c>
      <c r="C2241" s="7" t="str">
        <f t="shared" si="599"/>
        <v>MOTO NIVELADORA JOHN DEERE CHASSIS DM00042</v>
      </c>
      <c r="D2241" s="8">
        <f t="shared" si="596"/>
        <v>46100</v>
      </c>
      <c r="E2241" s="15">
        <v>2727</v>
      </c>
      <c r="F2241" s="15">
        <v>2736</v>
      </c>
      <c r="G2241" s="15">
        <f t="shared" si="601"/>
        <v>9</v>
      </c>
      <c r="H2241" s="16" t="s">
        <v>203</v>
      </c>
      <c r="I2241" s="10">
        <f t="shared" si="600"/>
        <v>1000</v>
      </c>
      <c r="J2241" s="16"/>
      <c r="K2241" s="15">
        <v>1</v>
      </c>
      <c r="L2241" s="15"/>
      <c r="M2241" s="17"/>
      <c r="N2241" s="9"/>
      <c r="O2241" s="18">
        <f t="shared" ref="O2241:O2250" si="602">O2240</f>
        <v>0</v>
      </c>
      <c r="P2241" s="9"/>
      <c r="Q2241" s="9"/>
      <c r="R2241" s="72"/>
      <c r="S2241" s="10">
        <f t="shared" si="598"/>
        <v>1000</v>
      </c>
    </row>
    <row r="2242" spans="2:19" customFormat="1" hidden="1" outlineLevel="1">
      <c r="B2242" s="13" t="s">
        <v>154</v>
      </c>
      <c r="C2242" s="7" t="str">
        <f t="shared" si="599"/>
        <v>MOTO NIVELADORA JOHN DEERE CHASSIS DM00042</v>
      </c>
      <c r="D2242" s="8">
        <f t="shared" si="596"/>
        <v>46101</v>
      </c>
      <c r="E2242" s="15">
        <v>2736</v>
      </c>
      <c r="F2242" s="15">
        <v>2744</v>
      </c>
      <c r="G2242" s="15">
        <f t="shared" si="601"/>
        <v>8</v>
      </c>
      <c r="H2242" s="16" t="s">
        <v>203</v>
      </c>
      <c r="I2242" s="10">
        <f t="shared" si="600"/>
        <v>1000</v>
      </c>
      <c r="J2242" s="16"/>
      <c r="K2242" s="15">
        <v>1</v>
      </c>
      <c r="L2242" s="15"/>
      <c r="M2242" s="17"/>
      <c r="N2242" s="9"/>
      <c r="O2242" s="18">
        <f t="shared" si="602"/>
        <v>0</v>
      </c>
      <c r="P2242" s="9"/>
      <c r="Q2242" s="9"/>
      <c r="R2242" s="72"/>
      <c r="S2242" s="10">
        <f t="shared" si="598"/>
        <v>1000</v>
      </c>
    </row>
    <row r="2243" spans="2:19" customFormat="1" hidden="1" outlineLevel="1">
      <c r="B2243" s="13" t="s">
        <v>154</v>
      </c>
      <c r="C2243" s="7" t="str">
        <f t="shared" si="599"/>
        <v>MOTO NIVELADORA JOHN DEERE CHASSIS DM00042</v>
      </c>
      <c r="D2243" s="8">
        <f t="shared" si="596"/>
        <v>46102</v>
      </c>
      <c r="E2243" s="15"/>
      <c r="F2243" s="15"/>
      <c r="G2243" s="15">
        <f t="shared" si="601"/>
        <v>0</v>
      </c>
      <c r="H2243" s="16" t="s">
        <v>203</v>
      </c>
      <c r="I2243" s="10">
        <f>I2242</f>
        <v>1000</v>
      </c>
      <c r="J2243" s="16" t="s">
        <v>16</v>
      </c>
      <c r="K2243" s="15"/>
      <c r="L2243" s="15"/>
      <c r="M2243" s="17"/>
      <c r="N2243" s="9"/>
      <c r="O2243" s="18">
        <f t="shared" si="602"/>
        <v>0</v>
      </c>
      <c r="P2243" s="9"/>
      <c r="Q2243" s="9"/>
      <c r="R2243" s="72"/>
      <c r="S2243" s="10">
        <f t="shared" si="598"/>
        <v>1000</v>
      </c>
    </row>
    <row r="2244" spans="2:19" customFormat="1" hidden="1" outlineLevel="1">
      <c r="B2244" s="13" t="s">
        <v>154</v>
      </c>
      <c r="C2244" s="7" t="str">
        <f t="shared" si="599"/>
        <v>MOTO NIVELADORA JOHN DEERE CHASSIS DM00042</v>
      </c>
      <c r="D2244" s="8">
        <f t="shared" si="596"/>
        <v>46103</v>
      </c>
      <c r="E2244" s="15"/>
      <c r="F2244" s="15"/>
      <c r="G2244" s="15">
        <f t="shared" si="601"/>
        <v>0</v>
      </c>
      <c r="H2244" s="16" t="s">
        <v>203</v>
      </c>
      <c r="I2244" s="10">
        <f t="shared" si="600"/>
        <v>1000</v>
      </c>
      <c r="J2244" s="16" t="s">
        <v>16</v>
      </c>
      <c r="K2244" s="15"/>
      <c r="L2244" s="15"/>
      <c r="M2244" s="17"/>
      <c r="N2244" s="9"/>
      <c r="O2244" s="18">
        <f t="shared" si="602"/>
        <v>0</v>
      </c>
      <c r="P2244" s="9"/>
      <c r="Q2244" s="9"/>
      <c r="R2244" s="72"/>
      <c r="S2244" s="10">
        <f t="shared" si="598"/>
        <v>1000</v>
      </c>
    </row>
    <row r="2245" spans="2:19" customFormat="1" hidden="1" outlineLevel="1">
      <c r="B2245" s="13" t="s">
        <v>154</v>
      </c>
      <c r="C2245" s="7" t="str">
        <f t="shared" si="599"/>
        <v>MOTO NIVELADORA JOHN DEERE CHASSIS DM00042</v>
      </c>
      <c r="D2245" s="8">
        <f t="shared" si="596"/>
        <v>46104</v>
      </c>
      <c r="E2245" s="15"/>
      <c r="F2245" s="15"/>
      <c r="G2245" s="15">
        <f t="shared" si="601"/>
        <v>0</v>
      </c>
      <c r="H2245" s="16" t="s">
        <v>203</v>
      </c>
      <c r="I2245" s="10">
        <f t="shared" si="600"/>
        <v>1000</v>
      </c>
      <c r="J2245" s="16" t="s">
        <v>16</v>
      </c>
      <c r="K2245" s="15"/>
      <c r="L2245" s="15"/>
      <c r="M2245" s="17"/>
      <c r="N2245" s="9"/>
      <c r="O2245" s="18">
        <f t="shared" si="602"/>
        <v>0</v>
      </c>
      <c r="P2245" s="9"/>
      <c r="Q2245" s="9"/>
      <c r="R2245" s="72"/>
      <c r="S2245" s="10">
        <f t="shared" si="598"/>
        <v>1000</v>
      </c>
    </row>
    <row r="2246" spans="2:19" customFormat="1" hidden="1" outlineLevel="1">
      <c r="B2246" s="13" t="s">
        <v>154</v>
      </c>
      <c r="C2246" s="7" t="str">
        <f t="shared" si="599"/>
        <v>MOTO NIVELADORA JOHN DEERE CHASSIS DM00042</v>
      </c>
      <c r="D2246" s="8">
        <f t="shared" si="596"/>
        <v>46105</v>
      </c>
      <c r="E2246" s="15"/>
      <c r="F2246" s="15"/>
      <c r="G2246" s="15">
        <f t="shared" si="601"/>
        <v>0</v>
      </c>
      <c r="H2246" s="16" t="s">
        <v>203</v>
      </c>
      <c r="I2246" s="10">
        <f t="shared" si="600"/>
        <v>1000</v>
      </c>
      <c r="J2246" s="16" t="s">
        <v>16</v>
      </c>
      <c r="K2246" s="15"/>
      <c r="L2246" s="15"/>
      <c r="M2246" s="17"/>
      <c r="N2246" s="9"/>
      <c r="O2246" s="18">
        <f t="shared" si="602"/>
        <v>0</v>
      </c>
      <c r="P2246" s="9"/>
      <c r="Q2246" s="9"/>
      <c r="R2246" s="72"/>
      <c r="S2246" s="10">
        <f t="shared" si="598"/>
        <v>1000</v>
      </c>
    </row>
    <row r="2247" spans="2:19" customFormat="1" hidden="1" outlineLevel="1">
      <c r="B2247" s="13" t="s">
        <v>154</v>
      </c>
      <c r="C2247" s="7" t="str">
        <f t="shared" si="599"/>
        <v>MOTO NIVELADORA JOHN DEERE CHASSIS DM00042</v>
      </c>
      <c r="D2247" s="8">
        <f t="shared" si="596"/>
        <v>46106</v>
      </c>
      <c r="E2247" s="15"/>
      <c r="F2247" s="15"/>
      <c r="G2247" s="15">
        <f t="shared" si="601"/>
        <v>0</v>
      </c>
      <c r="H2247" s="16" t="s">
        <v>203</v>
      </c>
      <c r="I2247" s="10">
        <f t="shared" si="600"/>
        <v>1000</v>
      </c>
      <c r="J2247" s="16" t="s">
        <v>16</v>
      </c>
      <c r="K2247" s="15"/>
      <c r="L2247" s="15"/>
      <c r="M2247" s="17"/>
      <c r="N2247" s="9"/>
      <c r="O2247" s="18">
        <f t="shared" si="602"/>
        <v>0</v>
      </c>
      <c r="P2247" s="9"/>
      <c r="Q2247" s="9"/>
      <c r="R2247" s="72"/>
      <c r="S2247" s="10">
        <f t="shared" si="598"/>
        <v>1000</v>
      </c>
    </row>
    <row r="2248" spans="2:19" customFormat="1" hidden="1" outlineLevel="1">
      <c r="B2248" s="13" t="s">
        <v>154</v>
      </c>
      <c r="C2248" s="7" t="str">
        <f t="shared" si="599"/>
        <v>MOTO NIVELADORA JOHN DEERE CHASSIS DM00042</v>
      </c>
      <c r="D2248" s="8">
        <f t="shared" si="596"/>
        <v>46107</v>
      </c>
      <c r="E2248" s="15"/>
      <c r="F2248" s="15"/>
      <c r="G2248" s="15">
        <f t="shared" si="601"/>
        <v>0</v>
      </c>
      <c r="H2248" s="16" t="s">
        <v>203</v>
      </c>
      <c r="I2248" s="10">
        <f>I2245</f>
        <v>1000</v>
      </c>
      <c r="J2248" s="16" t="s">
        <v>16</v>
      </c>
      <c r="K2248" s="15"/>
      <c r="L2248" s="15"/>
      <c r="M2248" s="17"/>
      <c r="N2248" s="9"/>
      <c r="O2248" s="18">
        <f t="shared" si="602"/>
        <v>0</v>
      </c>
      <c r="P2248" s="9"/>
      <c r="Q2248" s="9"/>
      <c r="R2248" s="72"/>
      <c r="S2248" s="10">
        <f t="shared" si="598"/>
        <v>1000</v>
      </c>
    </row>
    <row r="2249" spans="2:19" customFormat="1" hidden="1" outlineLevel="1">
      <c r="B2249" s="13" t="s">
        <v>154</v>
      </c>
      <c r="C2249" s="7" t="str">
        <f t="shared" si="599"/>
        <v>MOTO NIVELADORA JOHN DEERE CHASSIS DM00042</v>
      </c>
      <c r="D2249" s="8">
        <f t="shared" si="596"/>
        <v>46108</v>
      </c>
      <c r="E2249" s="15"/>
      <c r="F2249" s="15"/>
      <c r="G2249" s="15">
        <f t="shared" si="601"/>
        <v>0</v>
      </c>
      <c r="H2249" s="16" t="s">
        <v>203</v>
      </c>
      <c r="I2249" s="10">
        <f t="shared" si="600"/>
        <v>1000</v>
      </c>
      <c r="J2249" s="16" t="s">
        <v>16</v>
      </c>
      <c r="K2249" s="15"/>
      <c r="L2249" s="15"/>
      <c r="M2249" s="17"/>
      <c r="N2249" s="9"/>
      <c r="O2249" s="18">
        <f t="shared" si="602"/>
        <v>0</v>
      </c>
      <c r="P2249" s="9"/>
      <c r="Q2249" s="9"/>
      <c r="R2249" s="72"/>
      <c r="S2249" s="10">
        <f t="shared" si="598"/>
        <v>1000</v>
      </c>
    </row>
    <row r="2250" spans="2:19" customFormat="1" hidden="1" outlineLevel="1">
      <c r="B2250" s="13" t="s">
        <v>154</v>
      </c>
      <c r="C2250" s="7" t="str">
        <f t="shared" si="599"/>
        <v>MOTO NIVELADORA JOHN DEERE CHASSIS DM00042</v>
      </c>
      <c r="D2250" s="8">
        <f t="shared" si="596"/>
        <v>46112</v>
      </c>
      <c r="E2250" s="15"/>
      <c r="F2250" s="15"/>
      <c r="G2250" s="15">
        <f t="shared" si="601"/>
        <v>0</v>
      </c>
      <c r="H2250" s="16" t="s">
        <v>203</v>
      </c>
      <c r="I2250" s="10">
        <f t="shared" si="600"/>
        <v>1000</v>
      </c>
      <c r="J2250" s="16" t="s">
        <v>16</v>
      </c>
      <c r="K2250" s="15"/>
      <c r="L2250" s="15"/>
      <c r="M2250" s="17"/>
      <c r="N2250" s="9"/>
      <c r="O2250" s="18">
        <f t="shared" si="602"/>
        <v>0</v>
      </c>
      <c r="P2250" s="9"/>
      <c r="Q2250" s="9"/>
      <c r="R2250" s="72"/>
      <c r="S2250" s="10">
        <f t="shared" si="598"/>
        <v>1000</v>
      </c>
    </row>
    <row r="2251" spans="2:19" customFormat="1" collapsed="1">
      <c r="B2251" s="13" t="s">
        <v>154</v>
      </c>
      <c r="D2251" s="1"/>
      <c r="E2251" s="2"/>
      <c r="F2251" s="2"/>
      <c r="G2251" s="2"/>
      <c r="K2251" s="2"/>
      <c r="L2251" s="2"/>
      <c r="O2251" s="2"/>
      <c r="P2251" s="2"/>
      <c r="Q2251" s="2"/>
      <c r="R2251" s="2"/>
    </row>
    <row r="2252" spans="2:19" customFormat="1">
      <c r="B2252" s="13" t="s">
        <v>154</v>
      </c>
      <c r="C2252" s="3" t="s">
        <v>157</v>
      </c>
      <c r="D2252" s="3"/>
      <c r="E2252" s="4"/>
      <c r="F2252" s="4"/>
      <c r="G2252" s="4"/>
      <c r="H2252" s="3"/>
      <c r="I2252" s="3"/>
      <c r="J2252" s="3"/>
      <c r="K2252" s="4"/>
      <c r="L2252" s="4"/>
      <c r="M2252" s="135" t="str">
        <f>M$1</f>
        <v>BM JANEIRO 2026</v>
      </c>
      <c r="N2252" s="135"/>
      <c r="O2252" s="135"/>
      <c r="P2252" s="19" t="s">
        <v>10</v>
      </c>
      <c r="Q2252" s="136" t="s">
        <v>190</v>
      </c>
      <c r="R2252" s="136"/>
      <c r="S2252" s="136"/>
    </row>
    <row r="2253" spans="2:19" customFormat="1">
      <c r="B2253" s="14"/>
      <c r="C2253" s="5" t="s">
        <v>1</v>
      </c>
      <c r="D2253" s="5" t="s">
        <v>11</v>
      </c>
      <c r="E2253" s="6" t="s">
        <v>12</v>
      </c>
      <c r="F2253" s="6" t="s">
        <v>13</v>
      </c>
      <c r="G2253" s="6" t="s">
        <v>14</v>
      </c>
      <c r="H2253" s="5" t="s">
        <v>3</v>
      </c>
      <c r="I2253" s="6" t="s">
        <v>15</v>
      </c>
      <c r="J2253" s="6" t="s">
        <v>16</v>
      </c>
      <c r="K2253" s="6" t="s">
        <v>17</v>
      </c>
      <c r="L2253" s="6" t="s">
        <v>18</v>
      </c>
      <c r="M2253" s="5" t="s">
        <v>11</v>
      </c>
      <c r="N2253" s="5" t="s">
        <v>19</v>
      </c>
      <c r="O2253" s="6" t="s">
        <v>2</v>
      </c>
      <c r="P2253" s="6" t="s">
        <v>20</v>
      </c>
      <c r="Q2253" s="6" t="s">
        <v>21</v>
      </c>
      <c r="R2253" s="6" t="s">
        <v>22</v>
      </c>
      <c r="S2253" s="6" t="s">
        <v>23</v>
      </c>
    </row>
    <row r="2254" spans="2:19" customFormat="1" hidden="1" outlineLevel="1">
      <c r="B2254" s="11" t="s">
        <v>156</v>
      </c>
      <c r="C2254" s="7" t="str">
        <f>C$2252</f>
        <v>MOTO NIVELADORA JOHN DEERE CHASSIS DM 00039</v>
      </c>
      <c r="D2254" s="8">
        <f t="shared" ref="D2254:D2281" si="603">D2192</f>
        <v>46082</v>
      </c>
      <c r="E2254" s="15"/>
      <c r="F2254" s="15"/>
      <c r="G2254" s="15">
        <f t="shared" ref="G2254:G2257" si="604">F2254-E2254</f>
        <v>0</v>
      </c>
      <c r="H2254" s="16" t="s">
        <v>6</v>
      </c>
      <c r="I2254" s="10">
        <f>P2254</f>
        <v>1000</v>
      </c>
      <c r="J2254" s="16" t="s">
        <v>201</v>
      </c>
      <c r="K2254" s="15"/>
      <c r="L2254" s="15"/>
      <c r="M2254" s="17"/>
      <c r="N2254" s="9"/>
      <c r="O2254" s="9">
        <v>28000</v>
      </c>
      <c r="P2254" s="9">
        <f>O2254/28</f>
        <v>1000</v>
      </c>
      <c r="Q2254" s="9"/>
      <c r="R2254" s="72"/>
      <c r="S2254" s="10">
        <f>SUM(R2254+Q2254+I2254)</f>
        <v>1000</v>
      </c>
    </row>
    <row r="2255" spans="2:19" customFormat="1" hidden="1" outlineLevel="1">
      <c r="B2255" s="12" t="s">
        <v>0</v>
      </c>
      <c r="C2255" s="7" t="str">
        <f t="shared" ref="C2255:C2281" si="605">C$2252</f>
        <v>MOTO NIVELADORA JOHN DEERE CHASSIS DM 00039</v>
      </c>
      <c r="D2255" s="8">
        <f t="shared" si="603"/>
        <v>46083</v>
      </c>
      <c r="E2255" s="15"/>
      <c r="F2255" s="15"/>
      <c r="G2255" s="15">
        <f t="shared" si="604"/>
        <v>0</v>
      </c>
      <c r="H2255" s="16" t="s">
        <v>6</v>
      </c>
      <c r="I2255" s="10">
        <f>I2254</f>
        <v>1000</v>
      </c>
      <c r="J2255" s="16" t="s">
        <v>201</v>
      </c>
      <c r="K2255" s="15"/>
      <c r="L2255" s="15"/>
      <c r="M2255" s="17"/>
      <c r="N2255" s="9"/>
      <c r="O2255" s="9"/>
      <c r="P2255" s="9"/>
      <c r="Q2255" s="9"/>
      <c r="R2255" s="72"/>
      <c r="S2255" s="10">
        <f t="shared" ref="S2255:S2281" si="606">SUM(R2255+Q2255+I2255)</f>
        <v>1000</v>
      </c>
    </row>
    <row r="2256" spans="2:19" customFormat="1" hidden="1" outlineLevel="1">
      <c r="B2256" s="13" t="s">
        <v>156</v>
      </c>
      <c r="C2256" s="7" t="str">
        <f t="shared" si="605"/>
        <v>MOTO NIVELADORA JOHN DEERE CHASSIS DM 00039</v>
      </c>
      <c r="D2256" s="8">
        <f t="shared" si="603"/>
        <v>46084</v>
      </c>
      <c r="E2256" s="15"/>
      <c r="F2256" s="15"/>
      <c r="G2256" s="15">
        <f t="shared" si="604"/>
        <v>0</v>
      </c>
      <c r="H2256" s="16" t="s">
        <v>6</v>
      </c>
      <c r="I2256" s="10">
        <f t="shared" ref="I2256:I2281" si="607">I2255</f>
        <v>1000</v>
      </c>
      <c r="J2256" s="16" t="s">
        <v>201</v>
      </c>
      <c r="K2256" s="15"/>
      <c r="L2256" s="15"/>
      <c r="M2256" s="17"/>
      <c r="N2256" s="9"/>
      <c r="O2256" s="9"/>
      <c r="P2256" s="9"/>
      <c r="Q2256" s="9"/>
      <c r="R2256" s="72"/>
      <c r="S2256" s="10">
        <f t="shared" si="606"/>
        <v>1000</v>
      </c>
    </row>
    <row r="2257" spans="2:19" customFormat="1" hidden="1" outlineLevel="1">
      <c r="B2257" s="13" t="s">
        <v>156</v>
      </c>
      <c r="C2257" s="7" t="str">
        <f t="shared" si="605"/>
        <v>MOTO NIVELADORA JOHN DEERE CHASSIS DM 00039</v>
      </c>
      <c r="D2257" s="8">
        <f t="shared" si="603"/>
        <v>46085</v>
      </c>
      <c r="E2257" s="15"/>
      <c r="F2257" s="15"/>
      <c r="G2257" s="15">
        <f t="shared" si="604"/>
        <v>0</v>
      </c>
      <c r="H2257" s="16" t="s">
        <v>6</v>
      </c>
      <c r="I2257" s="10">
        <f t="shared" si="607"/>
        <v>1000</v>
      </c>
      <c r="J2257" s="16" t="s">
        <v>201</v>
      </c>
      <c r="K2257" s="15"/>
      <c r="L2257" s="15"/>
      <c r="M2257" s="17"/>
      <c r="N2257" s="9"/>
      <c r="O2257" s="9"/>
      <c r="P2257" s="9"/>
      <c r="Q2257" s="9"/>
      <c r="R2257" s="72"/>
      <c r="S2257" s="10">
        <f t="shared" si="606"/>
        <v>1000</v>
      </c>
    </row>
    <row r="2258" spans="2:19" customFormat="1" hidden="1" outlineLevel="1">
      <c r="B2258" s="13" t="s">
        <v>156</v>
      </c>
      <c r="C2258" s="7" t="str">
        <f t="shared" si="605"/>
        <v>MOTO NIVELADORA JOHN DEERE CHASSIS DM 00039</v>
      </c>
      <c r="D2258" s="8">
        <f t="shared" si="603"/>
        <v>46086</v>
      </c>
      <c r="E2258" s="15"/>
      <c r="F2258" s="15"/>
      <c r="G2258" s="15">
        <f t="shared" ref="G2258:G2281" si="608">F2258-E2258</f>
        <v>0</v>
      </c>
      <c r="H2258" s="16" t="s">
        <v>6</v>
      </c>
      <c r="I2258" s="10">
        <f t="shared" si="607"/>
        <v>1000</v>
      </c>
      <c r="J2258" s="16" t="s">
        <v>201</v>
      </c>
      <c r="K2258" s="15"/>
      <c r="L2258" s="15"/>
      <c r="M2258" s="17"/>
      <c r="N2258" s="9"/>
      <c r="O2258" s="9"/>
      <c r="P2258" s="9"/>
      <c r="Q2258" s="9"/>
      <c r="R2258" s="72"/>
      <c r="S2258" s="10">
        <f t="shared" si="606"/>
        <v>1000</v>
      </c>
    </row>
    <row r="2259" spans="2:19" customFormat="1" hidden="1" outlineLevel="1">
      <c r="B2259" s="13" t="s">
        <v>156</v>
      </c>
      <c r="C2259" s="7" t="str">
        <f t="shared" si="605"/>
        <v>MOTO NIVELADORA JOHN DEERE CHASSIS DM 00039</v>
      </c>
      <c r="D2259" s="8">
        <f t="shared" si="603"/>
        <v>46087</v>
      </c>
      <c r="E2259" s="15"/>
      <c r="F2259" s="15"/>
      <c r="G2259" s="15">
        <f t="shared" si="608"/>
        <v>0</v>
      </c>
      <c r="H2259" s="16" t="s">
        <v>6</v>
      </c>
      <c r="I2259" s="10">
        <f t="shared" si="607"/>
        <v>1000</v>
      </c>
      <c r="J2259" s="16" t="s">
        <v>201</v>
      </c>
      <c r="K2259" s="15"/>
      <c r="L2259" s="15"/>
      <c r="M2259" s="17"/>
      <c r="N2259" s="9"/>
      <c r="O2259" s="18"/>
      <c r="P2259" s="9"/>
      <c r="Q2259" s="9"/>
      <c r="R2259" s="72"/>
      <c r="S2259" s="10">
        <f t="shared" si="606"/>
        <v>1000</v>
      </c>
    </row>
    <row r="2260" spans="2:19" customFormat="1" hidden="1" outlineLevel="1">
      <c r="B2260" s="13" t="s">
        <v>156</v>
      </c>
      <c r="C2260" s="7" t="str">
        <f t="shared" si="605"/>
        <v>MOTO NIVELADORA JOHN DEERE CHASSIS DM 00039</v>
      </c>
      <c r="D2260" s="8">
        <f t="shared" si="603"/>
        <v>46088</v>
      </c>
      <c r="E2260" s="15"/>
      <c r="F2260" s="15"/>
      <c r="G2260" s="15">
        <f t="shared" si="608"/>
        <v>0</v>
      </c>
      <c r="H2260" s="16" t="s">
        <v>6</v>
      </c>
      <c r="I2260" s="10">
        <f t="shared" si="607"/>
        <v>1000</v>
      </c>
      <c r="J2260" s="16" t="s">
        <v>201</v>
      </c>
      <c r="K2260" s="15"/>
      <c r="L2260" s="15"/>
      <c r="M2260" s="17"/>
      <c r="N2260" s="9"/>
      <c r="O2260" s="18"/>
      <c r="P2260" s="9"/>
      <c r="Q2260" s="9"/>
      <c r="R2260" s="72"/>
      <c r="S2260" s="10">
        <f t="shared" si="606"/>
        <v>1000</v>
      </c>
    </row>
    <row r="2261" spans="2:19" customFormat="1" hidden="1" outlineLevel="1">
      <c r="B2261" s="13" t="s">
        <v>156</v>
      </c>
      <c r="C2261" s="7" t="str">
        <f t="shared" si="605"/>
        <v>MOTO NIVELADORA JOHN DEERE CHASSIS DM 00039</v>
      </c>
      <c r="D2261" s="8">
        <f t="shared" si="603"/>
        <v>46089</v>
      </c>
      <c r="E2261" s="15"/>
      <c r="F2261" s="15"/>
      <c r="G2261" s="15">
        <f t="shared" si="608"/>
        <v>0</v>
      </c>
      <c r="H2261" s="16" t="s">
        <v>6</v>
      </c>
      <c r="I2261" s="10">
        <f t="shared" si="607"/>
        <v>1000</v>
      </c>
      <c r="J2261" s="16" t="s">
        <v>201</v>
      </c>
      <c r="K2261" s="15"/>
      <c r="L2261" s="15"/>
      <c r="M2261" s="17"/>
      <c r="N2261" s="9"/>
      <c r="O2261" s="18"/>
      <c r="P2261" s="9"/>
      <c r="Q2261" s="9"/>
      <c r="R2261" s="72"/>
      <c r="S2261" s="10">
        <f t="shared" si="606"/>
        <v>1000</v>
      </c>
    </row>
    <row r="2262" spans="2:19" customFormat="1" hidden="1" outlineLevel="1">
      <c r="B2262" s="13" t="s">
        <v>156</v>
      </c>
      <c r="C2262" s="7" t="str">
        <f t="shared" si="605"/>
        <v>MOTO NIVELADORA JOHN DEERE CHASSIS DM 00039</v>
      </c>
      <c r="D2262" s="8">
        <f t="shared" si="603"/>
        <v>46090</v>
      </c>
      <c r="E2262" s="15"/>
      <c r="F2262" s="15"/>
      <c r="G2262" s="15">
        <f t="shared" si="608"/>
        <v>0</v>
      </c>
      <c r="H2262" s="16" t="s">
        <v>6</v>
      </c>
      <c r="I2262" s="10">
        <f t="shared" si="607"/>
        <v>1000</v>
      </c>
      <c r="J2262" s="16" t="s">
        <v>201</v>
      </c>
      <c r="K2262" s="15"/>
      <c r="L2262" s="15"/>
      <c r="M2262" s="17"/>
      <c r="N2262" s="9"/>
      <c r="O2262" s="18"/>
      <c r="P2262" s="9"/>
      <c r="Q2262" s="9"/>
      <c r="R2262" s="72"/>
      <c r="S2262" s="10">
        <f t="shared" si="606"/>
        <v>1000</v>
      </c>
    </row>
    <row r="2263" spans="2:19" customFormat="1" hidden="1" outlineLevel="1">
      <c r="B2263" s="13" t="s">
        <v>156</v>
      </c>
      <c r="C2263" s="7" t="str">
        <f t="shared" si="605"/>
        <v>MOTO NIVELADORA JOHN DEERE CHASSIS DM 00039</v>
      </c>
      <c r="D2263" s="8">
        <f t="shared" si="603"/>
        <v>46091</v>
      </c>
      <c r="E2263" s="15"/>
      <c r="F2263" s="15"/>
      <c r="G2263" s="15">
        <f t="shared" si="608"/>
        <v>0</v>
      </c>
      <c r="H2263" s="16" t="s">
        <v>6</v>
      </c>
      <c r="I2263" s="10">
        <f t="shared" si="607"/>
        <v>1000</v>
      </c>
      <c r="J2263" s="16" t="s">
        <v>201</v>
      </c>
      <c r="K2263" s="15"/>
      <c r="L2263" s="15"/>
      <c r="M2263" s="17"/>
      <c r="N2263" s="9"/>
      <c r="O2263" s="18"/>
      <c r="P2263" s="9"/>
      <c r="Q2263" s="9"/>
      <c r="R2263" s="72"/>
      <c r="S2263" s="10">
        <f t="shared" si="606"/>
        <v>1000</v>
      </c>
    </row>
    <row r="2264" spans="2:19" customFormat="1" hidden="1" outlineLevel="1">
      <c r="B2264" s="13" t="s">
        <v>156</v>
      </c>
      <c r="C2264" s="7" t="str">
        <f t="shared" si="605"/>
        <v>MOTO NIVELADORA JOHN DEERE CHASSIS DM 00039</v>
      </c>
      <c r="D2264" s="8">
        <f t="shared" si="603"/>
        <v>46092</v>
      </c>
      <c r="E2264" s="15"/>
      <c r="F2264" s="15"/>
      <c r="G2264" s="15">
        <f t="shared" si="608"/>
        <v>0</v>
      </c>
      <c r="H2264" s="16" t="s">
        <v>6</v>
      </c>
      <c r="I2264" s="10">
        <f t="shared" si="607"/>
        <v>1000</v>
      </c>
      <c r="J2264" s="16" t="s">
        <v>201</v>
      </c>
      <c r="K2264" s="15"/>
      <c r="L2264" s="15"/>
      <c r="M2264" s="17"/>
      <c r="N2264" s="9"/>
      <c r="O2264" s="18"/>
      <c r="P2264" s="9"/>
      <c r="Q2264" s="9"/>
      <c r="R2264" s="72"/>
      <c r="S2264" s="10">
        <f t="shared" si="606"/>
        <v>1000</v>
      </c>
    </row>
    <row r="2265" spans="2:19" customFormat="1" hidden="1" outlineLevel="1">
      <c r="B2265" s="13" t="s">
        <v>156</v>
      </c>
      <c r="C2265" s="7" t="str">
        <f t="shared" si="605"/>
        <v>MOTO NIVELADORA JOHN DEERE CHASSIS DM 00039</v>
      </c>
      <c r="D2265" s="8">
        <f t="shared" si="603"/>
        <v>46093</v>
      </c>
      <c r="E2265" s="15"/>
      <c r="F2265" s="15"/>
      <c r="G2265" s="15">
        <f t="shared" si="608"/>
        <v>0</v>
      </c>
      <c r="H2265" s="16" t="s">
        <v>6</v>
      </c>
      <c r="I2265" s="10">
        <f t="shared" si="607"/>
        <v>1000</v>
      </c>
      <c r="J2265" s="16" t="s">
        <v>201</v>
      </c>
      <c r="K2265" s="15"/>
      <c r="L2265" s="15"/>
      <c r="M2265" s="17"/>
      <c r="N2265" s="9"/>
      <c r="O2265" s="18">
        <f t="shared" ref="O2265:O2281" si="609">O2264</f>
        <v>0</v>
      </c>
      <c r="P2265" s="9"/>
      <c r="Q2265" s="9"/>
      <c r="R2265" s="72"/>
      <c r="S2265" s="10">
        <f t="shared" si="606"/>
        <v>1000</v>
      </c>
    </row>
    <row r="2266" spans="2:19" customFormat="1" hidden="1" outlineLevel="1">
      <c r="B2266" s="13" t="s">
        <v>156</v>
      </c>
      <c r="C2266" s="7" t="str">
        <f t="shared" si="605"/>
        <v>MOTO NIVELADORA JOHN DEERE CHASSIS DM 00039</v>
      </c>
      <c r="D2266" s="8">
        <f t="shared" si="603"/>
        <v>46094</v>
      </c>
      <c r="E2266" s="15"/>
      <c r="F2266" s="15"/>
      <c r="G2266" s="15">
        <f t="shared" si="608"/>
        <v>0</v>
      </c>
      <c r="H2266" s="16" t="s">
        <v>6</v>
      </c>
      <c r="I2266" s="10">
        <f t="shared" si="607"/>
        <v>1000</v>
      </c>
      <c r="J2266" s="16" t="s">
        <v>201</v>
      </c>
      <c r="K2266" s="15"/>
      <c r="L2266" s="15"/>
      <c r="M2266" s="17"/>
      <c r="N2266" s="9"/>
      <c r="O2266" s="18">
        <f t="shared" si="609"/>
        <v>0</v>
      </c>
      <c r="P2266" s="9"/>
      <c r="Q2266" s="9"/>
      <c r="R2266" s="72"/>
      <c r="S2266" s="10">
        <f t="shared" si="606"/>
        <v>1000</v>
      </c>
    </row>
    <row r="2267" spans="2:19" customFormat="1" hidden="1" outlineLevel="1">
      <c r="B2267" s="13" t="s">
        <v>156</v>
      </c>
      <c r="C2267" s="7" t="str">
        <f t="shared" si="605"/>
        <v>MOTO NIVELADORA JOHN DEERE CHASSIS DM 00039</v>
      </c>
      <c r="D2267" s="8">
        <f t="shared" si="603"/>
        <v>46095</v>
      </c>
      <c r="E2267" s="15"/>
      <c r="F2267" s="15"/>
      <c r="G2267" s="15">
        <f t="shared" si="608"/>
        <v>0</v>
      </c>
      <c r="H2267" s="16" t="s">
        <v>6</v>
      </c>
      <c r="I2267" s="10">
        <f t="shared" si="607"/>
        <v>1000</v>
      </c>
      <c r="J2267" s="16" t="s">
        <v>201</v>
      </c>
      <c r="K2267" s="15"/>
      <c r="L2267" s="15"/>
      <c r="M2267" s="17"/>
      <c r="N2267" s="9"/>
      <c r="O2267" s="18">
        <f t="shared" si="609"/>
        <v>0</v>
      </c>
      <c r="P2267" s="9"/>
      <c r="Q2267" s="9"/>
      <c r="R2267" s="72"/>
      <c r="S2267" s="10">
        <f t="shared" si="606"/>
        <v>1000</v>
      </c>
    </row>
    <row r="2268" spans="2:19" customFormat="1" hidden="1" outlineLevel="1">
      <c r="B2268" s="13" t="s">
        <v>156</v>
      </c>
      <c r="C2268" s="7" t="str">
        <f t="shared" si="605"/>
        <v>MOTO NIVELADORA JOHN DEERE CHASSIS DM 00039</v>
      </c>
      <c r="D2268" s="8">
        <f t="shared" si="603"/>
        <v>46096</v>
      </c>
      <c r="E2268" s="15"/>
      <c r="F2268" s="15"/>
      <c r="G2268" s="15">
        <f t="shared" si="608"/>
        <v>0</v>
      </c>
      <c r="H2268" s="16" t="s">
        <v>6</v>
      </c>
      <c r="I2268" s="10">
        <f t="shared" si="607"/>
        <v>1000</v>
      </c>
      <c r="J2268" s="16" t="s">
        <v>201</v>
      </c>
      <c r="K2268" s="15"/>
      <c r="L2268" s="15"/>
      <c r="M2268" s="17"/>
      <c r="N2268" s="9"/>
      <c r="O2268" s="18">
        <f t="shared" si="609"/>
        <v>0</v>
      </c>
      <c r="P2268" s="9"/>
      <c r="Q2268" s="9"/>
      <c r="R2268" s="72"/>
      <c r="S2268" s="10">
        <f t="shared" si="606"/>
        <v>1000</v>
      </c>
    </row>
    <row r="2269" spans="2:19" customFormat="1" hidden="1" outlineLevel="1">
      <c r="B2269" s="13" t="s">
        <v>156</v>
      </c>
      <c r="C2269" s="7" t="str">
        <f t="shared" si="605"/>
        <v>MOTO NIVELADORA JOHN DEERE CHASSIS DM 00039</v>
      </c>
      <c r="D2269" s="8">
        <f t="shared" si="603"/>
        <v>46097</v>
      </c>
      <c r="E2269" s="15"/>
      <c r="F2269" s="15"/>
      <c r="G2269" s="15">
        <f t="shared" si="608"/>
        <v>0</v>
      </c>
      <c r="H2269" s="16" t="s">
        <v>6</v>
      </c>
      <c r="I2269" s="10">
        <f t="shared" si="607"/>
        <v>1000</v>
      </c>
      <c r="J2269" s="16" t="s">
        <v>201</v>
      </c>
      <c r="K2269" s="15"/>
      <c r="L2269" s="15"/>
      <c r="M2269" s="17"/>
      <c r="N2269" s="9"/>
      <c r="O2269" s="18">
        <f t="shared" si="609"/>
        <v>0</v>
      </c>
      <c r="P2269" s="9"/>
      <c r="Q2269" s="9"/>
      <c r="R2269" s="72"/>
      <c r="S2269" s="10">
        <f t="shared" si="606"/>
        <v>1000</v>
      </c>
    </row>
    <row r="2270" spans="2:19" customFormat="1" hidden="1" outlineLevel="1">
      <c r="B2270" s="13" t="s">
        <v>156</v>
      </c>
      <c r="C2270" s="7" t="str">
        <f t="shared" si="605"/>
        <v>MOTO NIVELADORA JOHN DEERE CHASSIS DM 00039</v>
      </c>
      <c r="D2270" s="8">
        <f t="shared" si="603"/>
        <v>46098</v>
      </c>
      <c r="E2270" s="15"/>
      <c r="F2270" s="15"/>
      <c r="G2270" s="15">
        <f t="shared" si="608"/>
        <v>0</v>
      </c>
      <c r="H2270" s="16" t="s">
        <v>6</v>
      </c>
      <c r="I2270" s="10">
        <f t="shared" si="607"/>
        <v>1000</v>
      </c>
      <c r="J2270" s="16" t="s">
        <v>201</v>
      </c>
      <c r="K2270" s="15"/>
      <c r="L2270" s="15"/>
      <c r="M2270" s="17"/>
      <c r="N2270" s="9"/>
      <c r="O2270" s="18">
        <f t="shared" si="609"/>
        <v>0</v>
      </c>
      <c r="P2270" s="9"/>
      <c r="Q2270" s="9"/>
      <c r="R2270" s="72"/>
      <c r="S2270" s="10">
        <f t="shared" si="606"/>
        <v>1000</v>
      </c>
    </row>
    <row r="2271" spans="2:19" customFormat="1" hidden="1" outlineLevel="1">
      <c r="B2271" s="13" t="s">
        <v>156</v>
      </c>
      <c r="C2271" s="7" t="str">
        <f t="shared" si="605"/>
        <v>MOTO NIVELADORA JOHN DEERE CHASSIS DM 00039</v>
      </c>
      <c r="D2271" s="8">
        <f t="shared" si="603"/>
        <v>46099</v>
      </c>
      <c r="E2271" s="15"/>
      <c r="F2271" s="15"/>
      <c r="G2271" s="15">
        <f t="shared" si="608"/>
        <v>0</v>
      </c>
      <c r="H2271" s="16" t="s">
        <v>6</v>
      </c>
      <c r="I2271" s="10">
        <f t="shared" si="607"/>
        <v>1000</v>
      </c>
      <c r="J2271" s="16" t="s">
        <v>201</v>
      </c>
      <c r="K2271" s="15"/>
      <c r="L2271" s="15"/>
      <c r="M2271" s="17"/>
      <c r="N2271" s="9"/>
      <c r="O2271" s="18">
        <f t="shared" si="609"/>
        <v>0</v>
      </c>
      <c r="P2271" s="9"/>
      <c r="Q2271" s="9"/>
      <c r="R2271" s="72"/>
      <c r="S2271" s="10">
        <f t="shared" si="606"/>
        <v>1000</v>
      </c>
    </row>
    <row r="2272" spans="2:19" customFormat="1" hidden="1" outlineLevel="1">
      <c r="B2272" s="13" t="s">
        <v>156</v>
      </c>
      <c r="C2272" s="7" t="str">
        <f t="shared" si="605"/>
        <v>MOTO NIVELADORA JOHN DEERE CHASSIS DM 00039</v>
      </c>
      <c r="D2272" s="8">
        <f t="shared" si="603"/>
        <v>46100</v>
      </c>
      <c r="E2272" s="15"/>
      <c r="F2272" s="15"/>
      <c r="G2272" s="15">
        <f t="shared" si="608"/>
        <v>0</v>
      </c>
      <c r="H2272" s="16" t="s">
        <v>6</v>
      </c>
      <c r="I2272" s="10">
        <f t="shared" si="607"/>
        <v>1000</v>
      </c>
      <c r="J2272" s="16" t="s">
        <v>201</v>
      </c>
      <c r="K2272" s="15"/>
      <c r="L2272" s="15"/>
      <c r="M2272" s="17"/>
      <c r="N2272" s="9"/>
      <c r="O2272" s="18">
        <f t="shared" si="609"/>
        <v>0</v>
      </c>
      <c r="P2272" s="9"/>
      <c r="Q2272" s="9"/>
      <c r="R2272" s="72"/>
      <c r="S2272" s="10">
        <f t="shared" si="606"/>
        <v>1000</v>
      </c>
    </row>
    <row r="2273" spans="2:19" customFormat="1" hidden="1" outlineLevel="1">
      <c r="B2273" s="13" t="s">
        <v>156</v>
      </c>
      <c r="C2273" s="7" t="str">
        <f t="shared" si="605"/>
        <v>MOTO NIVELADORA JOHN DEERE CHASSIS DM 00039</v>
      </c>
      <c r="D2273" s="8">
        <f t="shared" si="603"/>
        <v>46101</v>
      </c>
      <c r="E2273" s="15"/>
      <c r="F2273" s="15"/>
      <c r="G2273" s="15">
        <f t="shared" si="608"/>
        <v>0</v>
      </c>
      <c r="H2273" s="16" t="s">
        <v>6</v>
      </c>
      <c r="I2273" s="10">
        <f t="shared" si="607"/>
        <v>1000</v>
      </c>
      <c r="J2273" s="16" t="s">
        <v>201</v>
      </c>
      <c r="K2273" s="15"/>
      <c r="L2273" s="15"/>
      <c r="M2273" s="17"/>
      <c r="N2273" s="9"/>
      <c r="O2273" s="18">
        <f t="shared" si="609"/>
        <v>0</v>
      </c>
      <c r="P2273" s="9"/>
      <c r="Q2273" s="9"/>
      <c r="R2273" s="72"/>
      <c r="S2273" s="10">
        <f t="shared" si="606"/>
        <v>1000</v>
      </c>
    </row>
    <row r="2274" spans="2:19" customFormat="1" hidden="1" outlineLevel="1">
      <c r="B2274" s="13" t="s">
        <v>156</v>
      </c>
      <c r="C2274" s="7" t="str">
        <f t="shared" si="605"/>
        <v>MOTO NIVELADORA JOHN DEERE CHASSIS DM 00039</v>
      </c>
      <c r="D2274" s="8">
        <f t="shared" si="603"/>
        <v>46102</v>
      </c>
      <c r="E2274" s="15"/>
      <c r="F2274" s="15"/>
      <c r="G2274" s="15">
        <f t="shared" si="608"/>
        <v>0</v>
      </c>
      <c r="H2274" s="16" t="s">
        <v>6</v>
      </c>
      <c r="I2274" s="10">
        <f t="shared" si="607"/>
        <v>1000</v>
      </c>
      <c r="J2274" s="16" t="s">
        <v>201</v>
      </c>
      <c r="K2274" s="15"/>
      <c r="L2274" s="15"/>
      <c r="M2274" s="17"/>
      <c r="N2274" s="9"/>
      <c r="O2274" s="18">
        <f t="shared" si="609"/>
        <v>0</v>
      </c>
      <c r="P2274" s="9"/>
      <c r="Q2274" s="9"/>
      <c r="R2274" s="72"/>
      <c r="S2274" s="10">
        <f t="shared" si="606"/>
        <v>1000</v>
      </c>
    </row>
    <row r="2275" spans="2:19" customFormat="1" hidden="1" outlineLevel="1">
      <c r="B2275" s="13" t="s">
        <v>156</v>
      </c>
      <c r="C2275" s="7" t="str">
        <f t="shared" si="605"/>
        <v>MOTO NIVELADORA JOHN DEERE CHASSIS DM 00039</v>
      </c>
      <c r="D2275" s="8">
        <f t="shared" si="603"/>
        <v>46103</v>
      </c>
      <c r="E2275" s="15"/>
      <c r="F2275" s="15"/>
      <c r="G2275" s="15">
        <f t="shared" si="608"/>
        <v>0</v>
      </c>
      <c r="H2275" s="16" t="s">
        <v>6</v>
      </c>
      <c r="I2275" s="10">
        <f t="shared" si="607"/>
        <v>1000</v>
      </c>
      <c r="J2275" s="16" t="s">
        <v>201</v>
      </c>
      <c r="K2275" s="15"/>
      <c r="L2275" s="15"/>
      <c r="M2275" s="17"/>
      <c r="N2275" s="9"/>
      <c r="O2275" s="18">
        <f t="shared" si="609"/>
        <v>0</v>
      </c>
      <c r="P2275" s="9"/>
      <c r="Q2275" s="9"/>
      <c r="R2275" s="72"/>
      <c r="S2275" s="10">
        <f t="shared" si="606"/>
        <v>1000</v>
      </c>
    </row>
    <row r="2276" spans="2:19" customFormat="1" hidden="1" outlineLevel="1">
      <c r="B2276" s="13" t="s">
        <v>156</v>
      </c>
      <c r="C2276" s="7" t="str">
        <f t="shared" si="605"/>
        <v>MOTO NIVELADORA JOHN DEERE CHASSIS DM 00039</v>
      </c>
      <c r="D2276" s="8">
        <f t="shared" si="603"/>
        <v>46104</v>
      </c>
      <c r="E2276" s="15"/>
      <c r="F2276" s="15"/>
      <c r="G2276" s="15">
        <f t="shared" si="608"/>
        <v>0</v>
      </c>
      <c r="H2276" s="16" t="s">
        <v>6</v>
      </c>
      <c r="I2276" s="10">
        <f t="shared" si="607"/>
        <v>1000</v>
      </c>
      <c r="J2276" s="16" t="s">
        <v>201</v>
      </c>
      <c r="K2276" s="15"/>
      <c r="L2276" s="15"/>
      <c r="M2276" s="17"/>
      <c r="N2276" s="9"/>
      <c r="O2276" s="18">
        <f t="shared" si="609"/>
        <v>0</v>
      </c>
      <c r="P2276" s="9"/>
      <c r="Q2276" s="9"/>
      <c r="R2276" s="72"/>
      <c r="S2276" s="10">
        <f t="shared" si="606"/>
        <v>1000</v>
      </c>
    </row>
    <row r="2277" spans="2:19" customFormat="1" hidden="1" outlineLevel="1">
      <c r="B2277" s="13" t="s">
        <v>156</v>
      </c>
      <c r="C2277" s="7" t="str">
        <f t="shared" si="605"/>
        <v>MOTO NIVELADORA JOHN DEERE CHASSIS DM 00039</v>
      </c>
      <c r="D2277" s="8">
        <f t="shared" si="603"/>
        <v>46105</v>
      </c>
      <c r="E2277" s="15"/>
      <c r="F2277" s="15"/>
      <c r="G2277" s="15">
        <f t="shared" si="608"/>
        <v>0</v>
      </c>
      <c r="H2277" s="16" t="s">
        <v>6</v>
      </c>
      <c r="I2277" s="10">
        <f t="shared" si="607"/>
        <v>1000</v>
      </c>
      <c r="J2277" s="16" t="s">
        <v>201</v>
      </c>
      <c r="K2277" s="15"/>
      <c r="L2277" s="15"/>
      <c r="M2277" s="17"/>
      <c r="N2277" s="9"/>
      <c r="O2277" s="18">
        <f t="shared" si="609"/>
        <v>0</v>
      </c>
      <c r="P2277" s="9"/>
      <c r="Q2277" s="9"/>
      <c r="R2277" s="72"/>
      <c r="S2277" s="10">
        <f t="shared" si="606"/>
        <v>1000</v>
      </c>
    </row>
    <row r="2278" spans="2:19" customFormat="1" hidden="1" outlineLevel="1">
      <c r="B2278" s="13" t="s">
        <v>156</v>
      </c>
      <c r="C2278" s="7" t="str">
        <f t="shared" si="605"/>
        <v>MOTO NIVELADORA JOHN DEERE CHASSIS DM 00039</v>
      </c>
      <c r="D2278" s="8">
        <f t="shared" si="603"/>
        <v>46106</v>
      </c>
      <c r="E2278" s="15"/>
      <c r="F2278" s="15"/>
      <c r="G2278" s="15">
        <f t="shared" si="608"/>
        <v>0</v>
      </c>
      <c r="H2278" s="16" t="s">
        <v>6</v>
      </c>
      <c r="I2278" s="10">
        <f t="shared" si="607"/>
        <v>1000</v>
      </c>
      <c r="J2278" s="16" t="s">
        <v>201</v>
      </c>
      <c r="K2278" s="15"/>
      <c r="L2278" s="15"/>
      <c r="M2278" s="17"/>
      <c r="N2278" s="9"/>
      <c r="O2278" s="18">
        <f t="shared" si="609"/>
        <v>0</v>
      </c>
      <c r="P2278" s="9"/>
      <c r="Q2278" s="9"/>
      <c r="R2278" s="72"/>
      <c r="S2278" s="10">
        <f t="shared" si="606"/>
        <v>1000</v>
      </c>
    </row>
    <row r="2279" spans="2:19" customFormat="1" hidden="1" outlineLevel="1">
      <c r="B2279" s="13" t="s">
        <v>156</v>
      </c>
      <c r="C2279" s="7" t="str">
        <f t="shared" si="605"/>
        <v>MOTO NIVELADORA JOHN DEERE CHASSIS DM 00039</v>
      </c>
      <c r="D2279" s="8">
        <f t="shared" si="603"/>
        <v>46107</v>
      </c>
      <c r="E2279" s="15"/>
      <c r="F2279" s="15"/>
      <c r="G2279" s="15">
        <f t="shared" si="608"/>
        <v>0</v>
      </c>
      <c r="H2279" s="16" t="s">
        <v>6</v>
      </c>
      <c r="I2279" s="10">
        <f t="shared" si="607"/>
        <v>1000</v>
      </c>
      <c r="J2279" s="16" t="s">
        <v>201</v>
      </c>
      <c r="K2279" s="15"/>
      <c r="L2279" s="15"/>
      <c r="M2279" s="17"/>
      <c r="N2279" s="9"/>
      <c r="O2279" s="18">
        <f t="shared" si="609"/>
        <v>0</v>
      </c>
      <c r="P2279" s="9"/>
      <c r="Q2279" s="9"/>
      <c r="R2279" s="72"/>
      <c r="S2279" s="10">
        <f t="shared" si="606"/>
        <v>1000</v>
      </c>
    </row>
    <row r="2280" spans="2:19" customFormat="1" hidden="1" outlineLevel="1">
      <c r="B2280" s="13" t="s">
        <v>156</v>
      </c>
      <c r="C2280" s="7" t="str">
        <f t="shared" si="605"/>
        <v>MOTO NIVELADORA JOHN DEERE CHASSIS DM 00039</v>
      </c>
      <c r="D2280" s="8">
        <f t="shared" si="603"/>
        <v>46108</v>
      </c>
      <c r="E2280" s="15"/>
      <c r="F2280" s="15"/>
      <c r="G2280" s="15">
        <f t="shared" si="608"/>
        <v>0</v>
      </c>
      <c r="H2280" s="16" t="s">
        <v>6</v>
      </c>
      <c r="I2280" s="10">
        <f t="shared" si="607"/>
        <v>1000</v>
      </c>
      <c r="J2280" s="16" t="s">
        <v>201</v>
      </c>
      <c r="K2280" s="15"/>
      <c r="L2280" s="15"/>
      <c r="M2280" s="17"/>
      <c r="N2280" s="9"/>
      <c r="O2280" s="18">
        <f t="shared" si="609"/>
        <v>0</v>
      </c>
      <c r="P2280" s="9"/>
      <c r="Q2280" s="9"/>
      <c r="R2280" s="72"/>
      <c r="S2280" s="10">
        <f t="shared" si="606"/>
        <v>1000</v>
      </c>
    </row>
    <row r="2281" spans="2:19" customFormat="1" hidden="1" outlineLevel="1">
      <c r="B2281" s="13" t="s">
        <v>156</v>
      </c>
      <c r="C2281" s="7" t="str">
        <f t="shared" si="605"/>
        <v>MOTO NIVELADORA JOHN DEERE CHASSIS DM 00039</v>
      </c>
      <c r="D2281" s="8">
        <f t="shared" si="603"/>
        <v>46112</v>
      </c>
      <c r="E2281" s="15"/>
      <c r="F2281" s="15"/>
      <c r="G2281" s="15">
        <f t="shared" si="608"/>
        <v>0</v>
      </c>
      <c r="H2281" s="16" t="s">
        <v>6</v>
      </c>
      <c r="I2281" s="10">
        <f t="shared" si="607"/>
        <v>1000</v>
      </c>
      <c r="J2281" s="16" t="s">
        <v>201</v>
      </c>
      <c r="K2281" s="15"/>
      <c r="L2281" s="15"/>
      <c r="M2281" s="17"/>
      <c r="N2281" s="9"/>
      <c r="O2281" s="18">
        <f t="shared" si="609"/>
        <v>0</v>
      </c>
      <c r="P2281" s="9"/>
      <c r="Q2281" s="9"/>
      <c r="R2281" s="72"/>
      <c r="S2281" s="10">
        <f t="shared" si="606"/>
        <v>1000</v>
      </c>
    </row>
    <row r="2282" spans="2:19" customFormat="1" collapsed="1">
      <c r="B2282" s="13" t="s">
        <v>156</v>
      </c>
      <c r="D2282" s="1"/>
      <c r="E2282" s="2"/>
      <c r="F2282" s="2"/>
      <c r="G2282" s="2"/>
      <c r="K2282" s="2"/>
      <c r="L2282" s="2"/>
      <c r="O2282" s="2"/>
      <c r="P2282" s="2"/>
      <c r="Q2282" s="2"/>
      <c r="R2282" s="2"/>
    </row>
    <row r="2283" spans="2:19" customFormat="1">
      <c r="B2283" s="13" t="s">
        <v>156</v>
      </c>
      <c r="C2283" s="3" t="s">
        <v>159</v>
      </c>
      <c r="D2283" s="3"/>
      <c r="E2283" s="4"/>
      <c r="F2283" s="4"/>
      <c r="G2283" s="4"/>
      <c r="H2283" s="3"/>
      <c r="I2283" s="3"/>
      <c r="J2283" s="3"/>
      <c r="K2283" s="4"/>
      <c r="L2283" s="4"/>
      <c r="M2283" s="135" t="str">
        <f>M$1</f>
        <v>BM JANEIRO 2026</v>
      </c>
      <c r="N2283" s="135"/>
      <c r="O2283" s="135"/>
      <c r="P2283" s="19" t="s">
        <v>10</v>
      </c>
      <c r="Q2283" s="136" t="s">
        <v>191</v>
      </c>
      <c r="R2283" s="136"/>
      <c r="S2283" s="136"/>
    </row>
    <row r="2284" spans="2:19" customFormat="1">
      <c r="B2284" s="14"/>
      <c r="C2284" s="5" t="s">
        <v>1</v>
      </c>
      <c r="D2284" s="5" t="s">
        <v>11</v>
      </c>
      <c r="E2284" s="6" t="s">
        <v>12</v>
      </c>
      <c r="F2284" s="6" t="s">
        <v>13</v>
      </c>
      <c r="G2284" s="6" t="s">
        <v>14</v>
      </c>
      <c r="H2284" s="5" t="s">
        <v>3</v>
      </c>
      <c r="I2284" s="6" t="s">
        <v>15</v>
      </c>
      <c r="J2284" s="6" t="s">
        <v>16</v>
      </c>
      <c r="K2284" s="6" t="s">
        <v>17</v>
      </c>
      <c r="L2284" s="6" t="s">
        <v>18</v>
      </c>
      <c r="M2284" s="5" t="s">
        <v>11</v>
      </c>
      <c r="N2284" s="5" t="s">
        <v>19</v>
      </c>
      <c r="O2284" s="6" t="s">
        <v>2</v>
      </c>
      <c r="P2284" s="6" t="s">
        <v>20</v>
      </c>
      <c r="Q2284" s="6" t="s">
        <v>21</v>
      </c>
      <c r="R2284" s="6" t="s">
        <v>22</v>
      </c>
      <c r="S2284" s="6" t="s">
        <v>23</v>
      </c>
    </row>
    <row r="2285" spans="2:19" customFormat="1" hidden="1" outlineLevel="1">
      <c r="B2285" s="68" t="s">
        <v>158</v>
      </c>
      <c r="C2285" s="7" t="str">
        <f>C$2283</f>
        <v>ROLO COMPACTADOR DYNAPAC MOD CA 250 CHASSIS 6592BR0048</v>
      </c>
      <c r="D2285" s="8">
        <f t="shared" ref="D2285:D2312" si="610">D2223</f>
        <v>46082</v>
      </c>
      <c r="E2285" s="15"/>
      <c r="F2285" s="15"/>
      <c r="G2285" s="15">
        <f>F2285-E2285</f>
        <v>0</v>
      </c>
      <c r="H2285" s="16" t="s">
        <v>6</v>
      </c>
      <c r="I2285" s="10">
        <f>P2285</f>
        <v>514.28571428571433</v>
      </c>
      <c r="J2285" s="16" t="s">
        <v>201</v>
      </c>
      <c r="K2285" s="15"/>
      <c r="L2285" s="15"/>
      <c r="M2285" s="17"/>
      <c r="N2285" s="8"/>
      <c r="O2285" s="9">
        <v>14400</v>
      </c>
      <c r="P2285" s="9">
        <f>O2285/28</f>
        <v>514.28571428571433</v>
      </c>
      <c r="Q2285" s="9"/>
      <c r="R2285" s="72"/>
      <c r="S2285" s="10">
        <f t="shared" ref="S2285:S2312" si="611">SUM(R2285+Q2285+I2285)</f>
        <v>514.28571428571433</v>
      </c>
    </row>
    <row r="2286" spans="2:19" customFormat="1" hidden="1" outlineLevel="1">
      <c r="B2286" s="12" t="s">
        <v>0</v>
      </c>
      <c r="C2286" s="7" t="str">
        <f t="shared" ref="C2286:C2312" si="612">C$2283</f>
        <v>ROLO COMPACTADOR DYNAPAC MOD CA 250 CHASSIS 6592BR0048</v>
      </c>
      <c r="D2286" s="8">
        <f t="shared" si="610"/>
        <v>46083</v>
      </c>
      <c r="E2286" s="15"/>
      <c r="F2286" s="15"/>
      <c r="G2286" s="15">
        <f t="shared" ref="G2286:G2312" si="613">F2286-E2286</f>
        <v>0</v>
      </c>
      <c r="H2286" s="16" t="s">
        <v>6</v>
      </c>
      <c r="I2286" s="10">
        <f>I2285</f>
        <v>514.28571428571433</v>
      </c>
      <c r="J2286" s="16" t="s">
        <v>201</v>
      </c>
      <c r="K2286" s="15"/>
      <c r="L2286" s="15"/>
      <c r="M2286" s="17"/>
      <c r="N2286" s="8"/>
      <c r="O2286" s="9"/>
      <c r="P2286" s="9"/>
      <c r="Q2286" s="9"/>
      <c r="R2286" s="72"/>
      <c r="S2286" s="10">
        <f t="shared" si="611"/>
        <v>514.28571428571433</v>
      </c>
    </row>
    <row r="2287" spans="2:19" customFormat="1" hidden="1" outlineLevel="1">
      <c r="B2287" s="13" t="s">
        <v>158</v>
      </c>
      <c r="C2287" s="7" t="str">
        <f t="shared" si="612"/>
        <v>ROLO COMPACTADOR DYNAPAC MOD CA 250 CHASSIS 6592BR0048</v>
      </c>
      <c r="D2287" s="8">
        <f t="shared" si="610"/>
        <v>46084</v>
      </c>
      <c r="E2287" s="15"/>
      <c r="F2287" s="15"/>
      <c r="G2287" s="15">
        <f t="shared" si="613"/>
        <v>0</v>
      </c>
      <c r="H2287" s="16" t="s">
        <v>6</v>
      </c>
      <c r="I2287" s="10">
        <f t="shared" ref="I2287:I2312" si="614">I2286</f>
        <v>514.28571428571433</v>
      </c>
      <c r="J2287" s="16" t="s">
        <v>201</v>
      </c>
      <c r="K2287" s="15"/>
      <c r="L2287" s="15"/>
      <c r="M2287" s="17"/>
      <c r="N2287" s="8"/>
      <c r="O2287" s="9"/>
      <c r="P2287" s="9"/>
      <c r="Q2287" s="9"/>
      <c r="R2287" s="72"/>
      <c r="S2287" s="10">
        <f t="shared" si="611"/>
        <v>514.28571428571433</v>
      </c>
    </row>
    <row r="2288" spans="2:19" customFormat="1" hidden="1" outlineLevel="1">
      <c r="B2288" s="13" t="s">
        <v>158</v>
      </c>
      <c r="C2288" s="7" t="str">
        <f t="shared" si="612"/>
        <v>ROLO COMPACTADOR DYNAPAC MOD CA 250 CHASSIS 6592BR0048</v>
      </c>
      <c r="D2288" s="8">
        <f t="shared" si="610"/>
        <v>46085</v>
      </c>
      <c r="E2288" s="15"/>
      <c r="F2288" s="15"/>
      <c r="G2288" s="15">
        <f t="shared" si="613"/>
        <v>0</v>
      </c>
      <c r="H2288" s="16" t="s">
        <v>6</v>
      </c>
      <c r="I2288" s="10">
        <f t="shared" si="614"/>
        <v>514.28571428571433</v>
      </c>
      <c r="J2288" s="16" t="s">
        <v>201</v>
      </c>
      <c r="K2288" s="15"/>
      <c r="L2288" s="15"/>
      <c r="M2288" s="17"/>
      <c r="N2288" s="8"/>
      <c r="O2288" s="9"/>
      <c r="P2288" s="9"/>
      <c r="Q2288" s="9"/>
      <c r="R2288" s="72"/>
      <c r="S2288" s="10">
        <f t="shared" si="611"/>
        <v>514.28571428571433</v>
      </c>
    </row>
    <row r="2289" spans="2:19" customFormat="1" hidden="1" outlineLevel="1">
      <c r="B2289" s="13" t="s">
        <v>158</v>
      </c>
      <c r="C2289" s="7" t="str">
        <f t="shared" si="612"/>
        <v>ROLO COMPACTADOR DYNAPAC MOD CA 250 CHASSIS 6592BR0048</v>
      </c>
      <c r="D2289" s="8">
        <f t="shared" si="610"/>
        <v>46086</v>
      </c>
      <c r="E2289" s="15"/>
      <c r="F2289" s="15"/>
      <c r="G2289" s="15">
        <f t="shared" si="613"/>
        <v>0</v>
      </c>
      <c r="H2289" s="16" t="s">
        <v>6</v>
      </c>
      <c r="I2289" s="10">
        <f t="shared" si="614"/>
        <v>514.28571428571433</v>
      </c>
      <c r="J2289" s="16" t="s">
        <v>201</v>
      </c>
      <c r="K2289" s="15"/>
      <c r="L2289" s="15"/>
      <c r="M2289" s="17"/>
      <c r="N2289" s="8"/>
      <c r="O2289" s="9"/>
      <c r="P2289" s="9"/>
      <c r="Q2289" s="9"/>
      <c r="R2289" s="72"/>
      <c r="S2289" s="10">
        <f t="shared" si="611"/>
        <v>514.28571428571433</v>
      </c>
    </row>
    <row r="2290" spans="2:19" customFormat="1" hidden="1" outlineLevel="1">
      <c r="B2290" s="13" t="s">
        <v>158</v>
      </c>
      <c r="C2290" s="7" t="str">
        <f t="shared" si="612"/>
        <v>ROLO COMPACTADOR DYNAPAC MOD CA 250 CHASSIS 6592BR0048</v>
      </c>
      <c r="D2290" s="8">
        <f t="shared" si="610"/>
        <v>46087</v>
      </c>
      <c r="E2290" s="15"/>
      <c r="F2290" s="15"/>
      <c r="G2290" s="15">
        <f t="shared" si="613"/>
        <v>0</v>
      </c>
      <c r="H2290" s="16" t="s">
        <v>6</v>
      </c>
      <c r="I2290" s="10">
        <f t="shared" si="614"/>
        <v>514.28571428571433</v>
      </c>
      <c r="J2290" s="16" t="s">
        <v>201</v>
      </c>
      <c r="K2290" s="15"/>
      <c r="L2290" s="15"/>
      <c r="M2290" s="17"/>
      <c r="N2290" s="8"/>
      <c r="O2290" s="9"/>
      <c r="P2290" s="9"/>
      <c r="Q2290" s="9"/>
      <c r="R2290" s="72"/>
      <c r="S2290" s="10">
        <f t="shared" si="611"/>
        <v>514.28571428571433</v>
      </c>
    </row>
    <row r="2291" spans="2:19" customFormat="1" hidden="1" outlineLevel="1">
      <c r="B2291" s="13" t="s">
        <v>158</v>
      </c>
      <c r="C2291" s="7" t="str">
        <f t="shared" si="612"/>
        <v>ROLO COMPACTADOR DYNAPAC MOD CA 250 CHASSIS 6592BR0048</v>
      </c>
      <c r="D2291" s="8">
        <f t="shared" si="610"/>
        <v>46088</v>
      </c>
      <c r="E2291" s="15"/>
      <c r="F2291" s="15"/>
      <c r="G2291" s="15">
        <f t="shared" si="613"/>
        <v>0</v>
      </c>
      <c r="H2291" s="16" t="s">
        <v>6</v>
      </c>
      <c r="I2291" s="10">
        <f t="shared" si="614"/>
        <v>514.28571428571433</v>
      </c>
      <c r="J2291" s="16" t="s">
        <v>201</v>
      </c>
      <c r="K2291" s="15"/>
      <c r="L2291" s="15"/>
      <c r="M2291" s="17"/>
      <c r="N2291" s="8"/>
      <c r="O2291" s="9"/>
      <c r="P2291" s="9"/>
      <c r="Q2291" s="9"/>
      <c r="R2291" s="72"/>
      <c r="S2291" s="10">
        <f t="shared" si="611"/>
        <v>514.28571428571433</v>
      </c>
    </row>
    <row r="2292" spans="2:19" customFormat="1" hidden="1" outlineLevel="1">
      <c r="B2292" s="13" t="s">
        <v>158</v>
      </c>
      <c r="C2292" s="7" t="str">
        <f t="shared" si="612"/>
        <v>ROLO COMPACTADOR DYNAPAC MOD CA 250 CHASSIS 6592BR0048</v>
      </c>
      <c r="D2292" s="8">
        <f t="shared" si="610"/>
        <v>46089</v>
      </c>
      <c r="E2292" s="15"/>
      <c r="F2292" s="15"/>
      <c r="G2292" s="15">
        <f t="shared" si="613"/>
        <v>0</v>
      </c>
      <c r="H2292" s="16" t="s">
        <v>6</v>
      </c>
      <c r="I2292" s="10">
        <f t="shared" si="614"/>
        <v>514.28571428571433</v>
      </c>
      <c r="J2292" s="16" t="s">
        <v>201</v>
      </c>
      <c r="K2292" s="15"/>
      <c r="L2292" s="15"/>
      <c r="M2292" s="17"/>
      <c r="N2292" s="8"/>
      <c r="O2292" s="18"/>
      <c r="P2292" s="9"/>
      <c r="Q2292" s="9"/>
      <c r="R2292" s="72"/>
      <c r="S2292" s="10">
        <f t="shared" si="611"/>
        <v>514.28571428571433</v>
      </c>
    </row>
    <row r="2293" spans="2:19" customFormat="1" hidden="1" outlineLevel="1">
      <c r="B2293" s="13" t="s">
        <v>158</v>
      </c>
      <c r="C2293" s="7" t="str">
        <f t="shared" si="612"/>
        <v>ROLO COMPACTADOR DYNAPAC MOD CA 250 CHASSIS 6592BR0048</v>
      </c>
      <c r="D2293" s="8">
        <f t="shared" si="610"/>
        <v>46090</v>
      </c>
      <c r="E2293" s="15"/>
      <c r="F2293" s="15"/>
      <c r="G2293" s="15">
        <f t="shared" si="613"/>
        <v>0</v>
      </c>
      <c r="H2293" s="16" t="s">
        <v>6</v>
      </c>
      <c r="I2293" s="10">
        <f t="shared" si="614"/>
        <v>514.28571428571433</v>
      </c>
      <c r="J2293" s="16" t="s">
        <v>201</v>
      </c>
      <c r="K2293" s="15"/>
      <c r="L2293" s="15"/>
      <c r="M2293" s="17"/>
      <c r="N2293" s="8"/>
      <c r="O2293" s="18"/>
      <c r="P2293" s="9"/>
      <c r="Q2293" s="9"/>
      <c r="R2293" s="72"/>
      <c r="S2293" s="10">
        <f t="shared" si="611"/>
        <v>514.28571428571433</v>
      </c>
    </row>
    <row r="2294" spans="2:19" customFormat="1" hidden="1" outlineLevel="1">
      <c r="B2294" s="13" t="s">
        <v>158</v>
      </c>
      <c r="C2294" s="7" t="str">
        <f t="shared" si="612"/>
        <v>ROLO COMPACTADOR DYNAPAC MOD CA 250 CHASSIS 6592BR0048</v>
      </c>
      <c r="D2294" s="8">
        <f t="shared" si="610"/>
        <v>46091</v>
      </c>
      <c r="E2294" s="15"/>
      <c r="F2294" s="15"/>
      <c r="G2294" s="15">
        <f t="shared" si="613"/>
        <v>0</v>
      </c>
      <c r="H2294" s="16" t="s">
        <v>6</v>
      </c>
      <c r="I2294" s="10">
        <f t="shared" si="614"/>
        <v>514.28571428571433</v>
      </c>
      <c r="J2294" s="16" t="s">
        <v>201</v>
      </c>
      <c r="K2294" s="15"/>
      <c r="L2294" s="15"/>
      <c r="M2294" s="17"/>
      <c r="N2294" s="8"/>
      <c r="O2294" s="18"/>
      <c r="P2294" s="9"/>
      <c r="Q2294" s="9"/>
      <c r="R2294" s="72"/>
      <c r="S2294" s="10">
        <f t="shared" si="611"/>
        <v>514.28571428571433</v>
      </c>
    </row>
    <row r="2295" spans="2:19" customFormat="1" hidden="1" outlineLevel="1">
      <c r="B2295" s="13" t="s">
        <v>158</v>
      </c>
      <c r="C2295" s="7" t="str">
        <f t="shared" si="612"/>
        <v>ROLO COMPACTADOR DYNAPAC MOD CA 250 CHASSIS 6592BR0048</v>
      </c>
      <c r="D2295" s="8">
        <f t="shared" si="610"/>
        <v>46092</v>
      </c>
      <c r="E2295" s="15"/>
      <c r="F2295" s="15"/>
      <c r="G2295" s="15">
        <f t="shared" si="613"/>
        <v>0</v>
      </c>
      <c r="H2295" s="16" t="s">
        <v>6</v>
      </c>
      <c r="I2295" s="10">
        <f t="shared" si="614"/>
        <v>514.28571428571433</v>
      </c>
      <c r="J2295" s="16" t="s">
        <v>201</v>
      </c>
      <c r="K2295" s="15"/>
      <c r="L2295" s="15"/>
      <c r="M2295" s="17"/>
      <c r="N2295" s="8"/>
      <c r="O2295" s="18"/>
      <c r="P2295" s="9"/>
      <c r="Q2295" s="9"/>
      <c r="R2295" s="72"/>
      <c r="S2295" s="10">
        <f t="shared" si="611"/>
        <v>514.28571428571433</v>
      </c>
    </row>
    <row r="2296" spans="2:19" customFormat="1" hidden="1" outlineLevel="1">
      <c r="B2296" s="13" t="s">
        <v>158</v>
      </c>
      <c r="C2296" s="7" t="str">
        <f t="shared" si="612"/>
        <v>ROLO COMPACTADOR DYNAPAC MOD CA 250 CHASSIS 6592BR0048</v>
      </c>
      <c r="D2296" s="8">
        <f t="shared" si="610"/>
        <v>46093</v>
      </c>
      <c r="E2296" s="15"/>
      <c r="F2296" s="15"/>
      <c r="G2296" s="15">
        <f>F2296-E2296</f>
        <v>0</v>
      </c>
      <c r="H2296" s="16" t="s">
        <v>6</v>
      </c>
      <c r="I2296" s="10">
        <f t="shared" si="614"/>
        <v>514.28571428571433</v>
      </c>
      <c r="J2296" s="16" t="s">
        <v>201</v>
      </c>
      <c r="K2296" s="15"/>
      <c r="L2296" s="15"/>
      <c r="M2296" s="17"/>
      <c r="N2296" s="8"/>
      <c r="O2296" s="18"/>
      <c r="P2296" s="9"/>
      <c r="Q2296" s="9"/>
      <c r="R2296" s="72"/>
      <c r="S2296" s="10">
        <f t="shared" si="611"/>
        <v>514.28571428571433</v>
      </c>
    </row>
    <row r="2297" spans="2:19" customFormat="1" hidden="1" outlineLevel="1">
      <c r="B2297" s="13" t="s">
        <v>158</v>
      </c>
      <c r="C2297" s="7" t="str">
        <f t="shared" si="612"/>
        <v>ROLO COMPACTADOR DYNAPAC MOD CA 250 CHASSIS 6592BR0048</v>
      </c>
      <c r="D2297" s="8">
        <f t="shared" si="610"/>
        <v>46094</v>
      </c>
      <c r="E2297" s="15"/>
      <c r="F2297" s="15"/>
      <c r="G2297" s="15">
        <f>F2297-E2297</f>
        <v>0</v>
      </c>
      <c r="H2297" s="16" t="s">
        <v>6</v>
      </c>
      <c r="I2297" s="10">
        <f t="shared" si="614"/>
        <v>514.28571428571433</v>
      </c>
      <c r="J2297" s="16" t="s">
        <v>201</v>
      </c>
      <c r="K2297" s="15"/>
      <c r="L2297" s="15"/>
      <c r="M2297" s="17"/>
      <c r="N2297" s="8"/>
      <c r="O2297" s="18"/>
      <c r="P2297" s="9"/>
      <c r="Q2297" s="9"/>
      <c r="R2297" s="72"/>
      <c r="S2297" s="10">
        <f t="shared" si="611"/>
        <v>514.28571428571433</v>
      </c>
    </row>
    <row r="2298" spans="2:19" customFormat="1" hidden="1" outlineLevel="1">
      <c r="B2298" s="13" t="s">
        <v>158</v>
      </c>
      <c r="C2298" s="7" t="str">
        <f t="shared" si="612"/>
        <v>ROLO COMPACTADOR DYNAPAC MOD CA 250 CHASSIS 6592BR0048</v>
      </c>
      <c r="D2298" s="8">
        <f t="shared" si="610"/>
        <v>46095</v>
      </c>
      <c r="E2298" s="15"/>
      <c r="F2298" s="15"/>
      <c r="G2298" s="15">
        <f t="shared" si="613"/>
        <v>0</v>
      </c>
      <c r="H2298" s="16" t="s">
        <v>6</v>
      </c>
      <c r="I2298" s="10">
        <f t="shared" si="614"/>
        <v>514.28571428571433</v>
      </c>
      <c r="J2298" s="16" t="s">
        <v>201</v>
      </c>
      <c r="K2298" s="15"/>
      <c r="L2298" s="15"/>
      <c r="M2298" s="17"/>
      <c r="N2298" s="8"/>
      <c r="O2298" s="18">
        <f t="shared" ref="O2298:O2312" si="615">O2297</f>
        <v>0</v>
      </c>
      <c r="P2298" s="9"/>
      <c r="Q2298" s="9"/>
      <c r="R2298" s="72"/>
      <c r="S2298" s="10">
        <f t="shared" si="611"/>
        <v>514.28571428571433</v>
      </c>
    </row>
    <row r="2299" spans="2:19" customFormat="1" hidden="1" outlineLevel="1">
      <c r="B2299" s="13" t="s">
        <v>158</v>
      </c>
      <c r="C2299" s="7" t="str">
        <f t="shared" si="612"/>
        <v>ROLO COMPACTADOR DYNAPAC MOD CA 250 CHASSIS 6592BR0048</v>
      </c>
      <c r="D2299" s="8">
        <f t="shared" si="610"/>
        <v>46096</v>
      </c>
      <c r="E2299" s="15"/>
      <c r="F2299" s="15"/>
      <c r="G2299" s="15">
        <f t="shared" si="613"/>
        <v>0</v>
      </c>
      <c r="H2299" s="16" t="s">
        <v>6</v>
      </c>
      <c r="I2299" s="10">
        <f t="shared" si="614"/>
        <v>514.28571428571433</v>
      </c>
      <c r="J2299" s="16" t="s">
        <v>201</v>
      </c>
      <c r="K2299" s="15"/>
      <c r="L2299" s="15"/>
      <c r="M2299" s="17"/>
      <c r="N2299" s="8"/>
      <c r="O2299" s="18">
        <f t="shared" si="615"/>
        <v>0</v>
      </c>
      <c r="P2299" s="9"/>
      <c r="Q2299" s="9"/>
      <c r="R2299" s="72"/>
      <c r="S2299" s="10">
        <f t="shared" si="611"/>
        <v>514.28571428571433</v>
      </c>
    </row>
    <row r="2300" spans="2:19" customFormat="1" hidden="1" outlineLevel="1">
      <c r="B2300" s="13" t="s">
        <v>158</v>
      </c>
      <c r="C2300" s="7" t="str">
        <f t="shared" si="612"/>
        <v>ROLO COMPACTADOR DYNAPAC MOD CA 250 CHASSIS 6592BR0048</v>
      </c>
      <c r="D2300" s="8">
        <f t="shared" si="610"/>
        <v>46097</v>
      </c>
      <c r="E2300" s="15"/>
      <c r="F2300" s="15"/>
      <c r="G2300" s="15">
        <f t="shared" si="613"/>
        <v>0</v>
      </c>
      <c r="H2300" s="16" t="s">
        <v>6</v>
      </c>
      <c r="I2300" s="10">
        <f t="shared" si="614"/>
        <v>514.28571428571433</v>
      </c>
      <c r="J2300" s="16" t="s">
        <v>201</v>
      </c>
      <c r="K2300" s="15"/>
      <c r="L2300" s="15"/>
      <c r="M2300" s="17"/>
      <c r="N2300" s="8"/>
      <c r="O2300" s="18">
        <f t="shared" si="615"/>
        <v>0</v>
      </c>
      <c r="P2300" s="9"/>
      <c r="Q2300" s="9"/>
      <c r="R2300" s="72"/>
      <c r="S2300" s="10">
        <f t="shared" si="611"/>
        <v>514.28571428571433</v>
      </c>
    </row>
    <row r="2301" spans="2:19" customFormat="1" hidden="1" outlineLevel="1">
      <c r="B2301" s="13" t="s">
        <v>158</v>
      </c>
      <c r="C2301" s="7" t="str">
        <f t="shared" si="612"/>
        <v>ROLO COMPACTADOR DYNAPAC MOD CA 250 CHASSIS 6592BR0048</v>
      </c>
      <c r="D2301" s="8">
        <f t="shared" si="610"/>
        <v>46098</v>
      </c>
      <c r="E2301" s="15"/>
      <c r="F2301" s="15"/>
      <c r="G2301" s="15">
        <f t="shared" si="613"/>
        <v>0</v>
      </c>
      <c r="H2301" s="16" t="s">
        <v>6</v>
      </c>
      <c r="I2301" s="10">
        <f t="shared" si="614"/>
        <v>514.28571428571433</v>
      </c>
      <c r="J2301" s="16" t="s">
        <v>201</v>
      </c>
      <c r="K2301" s="15"/>
      <c r="L2301" s="15"/>
      <c r="M2301" s="17"/>
      <c r="N2301" s="8"/>
      <c r="O2301" s="18">
        <f t="shared" si="615"/>
        <v>0</v>
      </c>
      <c r="P2301" s="9"/>
      <c r="Q2301" s="9"/>
      <c r="R2301" s="72"/>
      <c r="S2301" s="10">
        <f t="shared" si="611"/>
        <v>514.28571428571433</v>
      </c>
    </row>
    <row r="2302" spans="2:19" customFormat="1" hidden="1" outlineLevel="1">
      <c r="B2302" s="13" t="s">
        <v>158</v>
      </c>
      <c r="C2302" s="7" t="str">
        <f t="shared" si="612"/>
        <v>ROLO COMPACTADOR DYNAPAC MOD CA 250 CHASSIS 6592BR0048</v>
      </c>
      <c r="D2302" s="8">
        <f t="shared" si="610"/>
        <v>46099</v>
      </c>
      <c r="E2302" s="15"/>
      <c r="F2302" s="15"/>
      <c r="G2302" s="15">
        <f t="shared" si="613"/>
        <v>0</v>
      </c>
      <c r="H2302" s="16" t="s">
        <v>6</v>
      </c>
      <c r="I2302" s="10">
        <f t="shared" si="614"/>
        <v>514.28571428571433</v>
      </c>
      <c r="J2302" s="16" t="s">
        <v>201</v>
      </c>
      <c r="K2302" s="15"/>
      <c r="L2302" s="15"/>
      <c r="M2302" s="17"/>
      <c r="N2302" s="8"/>
      <c r="O2302" s="18">
        <f t="shared" si="615"/>
        <v>0</v>
      </c>
      <c r="P2302" s="9"/>
      <c r="Q2302" s="9"/>
      <c r="R2302" s="72"/>
      <c r="S2302" s="10">
        <f t="shared" si="611"/>
        <v>514.28571428571433</v>
      </c>
    </row>
    <row r="2303" spans="2:19" customFormat="1" hidden="1" outlineLevel="1">
      <c r="B2303" s="13" t="s">
        <v>158</v>
      </c>
      <c r="C2303" s="7" t="str">
        <f t="shared" si="612"/>
        <v>ROLO COMPACTADOR DYNAPAC MOD CA 250 CHASSIS 6592BR0048</v>
      </c>
      <c r="D2303" s="8">
        <f t="shared" si="610"/>
        <v>46100</v>
      </c>
      <c r="E2303" s="15"/>
      <c r="F2303" s="15"/>
      <c r="G2303" s="15">
        <f t="shared" si="613"/>
        <v>0</v>
      </c>
      <c r="H2303" s="16" t="s">
        <v>6</v>
      </c>
      <c r="I2303" s="10">
        <f t="shared" si="614"/>
        <v>514.28571428571433</v>
      </c>
      <c r="J2303" s="16" t="s">
        <v>201</v>
      </c>
      <c r="K2303" s="15"/>
      <c r="L2303" s="15"/>
      <c r="M2303" s="17"/>
      <c r="N2303" s="8"/>
      <c r="O2303" s="18">
        <f t="shared" si="615"/>
        <v>0</v>
      </c>
      <c r="P2303" s="9"/>
      <c r="Q2303" s="9"/>
      <c r="R2303" s="72"/>
      <c r="S2303" s="10">
        <f t="shared" si="611"/>
        <v>514.28571428571433</v>
      </c>
    </row>
    <row r="2304" spans="2:19" customFormat="1" hidden="1" outlineLevel="1">
      <c r="B2304" s="13" t="s">
        <v>158</v>
      </c>
      <c r="C2304" s="7" t="str">
        <f t="shared" si="612"/>
        <v>ROLO COMPACTADOR DYNAPAC MOD CA 250 CHASSIS 6592BR0048</v>
      </c>
      <c r="D2304" s="8">
        <f t="shared" si="610"/>
        <v>46101</v>
      </c>
      <c r="E2304" s="15"/>
      <c r="F2304" s="15"/>
      <c r="G2304" s="15">
        <f t="shared" si="613"/>
        <v>0</v>
      </c>
      <c r="H2304" s="16" t="s">
        <v>6</v>
      </c>
      <c r="I2304" s="10">
        <f t="shared" si="614"/>
        <v>514.28571428571433</v>
      </c>
      <c r="J2304" s="16" t="s">
        <v>201</v>
      </c>
      <c r="K2304" s="15"/>
      <c r="L2304" s="15"/>
      <c r="M2304" s="17"/>
      <c r="N2304" s="8"/>
      <c r="O2304" s="18">
        <f t="shared" si="615"/>
        <v>0</v>
      </c>
      <c r="P2304" s="9"/>
      <c r="Q2304" s="9"/>
      <c r="R2304" s="72"/>
      <c r="S2304" s="10">
        <f t="shared" si="611"/>
        <v>514.28571428571433</v>
      </c>
    </row>
    <row r="2305" spans="2:19" customFormat="1" hidden="1" outlineLevel="1">
      <c r="B2305" s="13" t="s">
        <v>158</v>
      </c>
      <c r="C2305" s="7" t="str">
        <f t="shared" si="612"/>
        <v>ROLO COMPACTADOR DYNAPAC MOD CA 250 CHASSIS 6592BR0048</v>
      </c>
      <c r="D2305" s="8">
        <f t="shared" si="610"/>
        <v>46102</v>
      </c>
      <c r="E2305" s="15"/>
      <c r="F2305" s="15"/>
      <c r="G2305" s="15">
        <f t="shared" si="613"/>
        <v>0</v>
      </c>
      <c r="H2305" s="16" t="s">
        <v>6</v>
      </c>
      <c r="I2305" s="10">
        <f t="shared" si="614"/>
        <v>514.28571428571433</v>
      </c>
      <c r="J2305" s="16" t="s">
        <v>201</v>
      </c>
      <c r="K2305" s="15"/>
      <c r="L2305" s="15"/>
      <c r="M2305" s="17"/>
      <c r="N2305" s="9"/>
      <c r="O2305" s="18">
        <f t="shared" si="615"/>
        <v>0</v>
      </c>
      <c r="P2305" s="9"/>
      <c r="Q2305" s="72"/>
      <c r="R2305" s="72"/>
      <c r="S2305" s="10">
        <f>SUM(R2305+Q2305+I2305)</f>
        <v>514.28571428571433</v>
      </c>
    </row>
    <row r="2306" spans="2:19" customFormat="1" hidden="1" outlineLevel="1">
      <c r="B2306" s="13" t="s">
        <v>158</v>
      </c>
      <c r="C2306" s="7" t="str">
        <f t="shared" si="612"/>
        <v>ROLO COMPACTADOR DYNAPAC MOD CA 250 CHASSIS 6592BR0048</v>
      </c>
      <c r="D2306" s="8">
        <f t="shared" si="610"/>
        <v>46103</v>
      </c>
      <c r="E2306" s="15"/>
      <c r="F2306" s="15"/>
      <c r="G2306" s="15">
        <f t="shared" si="613"/>
        <v>0</v>
      </c>
      <c r="H2306" s="16" t="s">
        <v>6</v>
      </c>
      <c r="I2306" s="10">
        <f t="shared" si="614"/>
        <v>514.28571428571433</v>
      </c>
      <c r="J2306" s="16" t="s">
        <v>201</v>
      </c>
      <c r="K2306" s="15"/>
      <c r="L2306" s="15"/>
      <c r="M2306" s="17"/>
      <c r="N2306" s="9"/>
      <c r="O2306" s="18">
        <f t="shared" si="615"/>
        <v>0</v>
      </c>
      <c r="P2306" s="9"/>
      <c r="Q2306" s="72"/>
      <c r="R2306" s="72"/>
      <c r="S2306" s="10">
        <f t="shared" si="611"/>
        <v>514.28571428571433</v>
      </c>
    </row>
    <row r="2307" spans="2:19" customFormat="1" hidden="1" outlineLevel="1">
      <c r="B2307" s="13" t="s">
        <v>158</v>
      </c>
      <c r="C2307" s="7" t="str">
        <f t="shared" si="612"/>
        <v>ROLO COMPACTADOR DYNAPAC MOD CA 250 CHASSIS 6592BR0048</v>
      </c>
      <c r="D2307" s="8">
        <f t="shared" si="610"/>
        <v>46104</v>
      </c>
      <c r="E2307" s="15"/>
      <c r="F2307" s="15"/>
      <c r="G2307" s="15">
        <f t="shared" si="613"/>
        <v>0</v>
      </c>
      <c r="H2307" s="16" t="s">
        <v>6</v>
      </c>
      <c r="I2307" s="10">
        <f t="shared" si="614"/>
        <v>514.28571428571433</v>
      </c>
      <c r="J2307" s="16" t="s">
        <v>201</v>
      </c>
      <c r="K2307" s="15"/>
      <c r="L2307" s="15"/>
      <c r="M2307" s="17"/>
      <c r="N2307" s="9"/>
      <c r="O2307" s="18">
        <f t="shared" si="615"/>
        <v>0</v>
      </c>
      <c r="P2307" s="9"/>
      <c r="Q2307" s="72"/>
      <c r="R2307" s="72"/>
      <c r="S2307" s="10">
        <f t="shared" si="611"/>
        <v>514.28571428571433</v>
      </c>
    </row>
    <row r="2308" spans="2:19" customFormat="1" hidden="1" outlineLevel="1">
      <c r="B2308" s="13" t="s">
        <v>158</v>
      </c>
      <c r="C2308" s="7" t="str">
        <f t="shared" si="612"/>
        <v>ROLO COMPACTADOR DYNAPAC MOD CA 250 CHASSIS 6592BR0048</v>
      </c>
      <c r="D2308" s="8">
        <f t="shared" si="610"/>
        <v>46105</v>
      </c>
      <c r="E2308" s="15"/>
      <c r="F2308" s="15"/>
      <c r="G2308" s="15">
        <f t="shared" si="613"/>
        <v>0</v>
      </c>
      <c r="H2308" s="16" t="s">
        <v>6</v>
      </c>
      <c r="I2308" s="10">
        <f t="shared" si="614"/>
        <v>514.28571428571433</v>
      </c>
      <c r="J2308" s="16" t="s">
        <v>201</v>
      </c>
      <c r="K2308" s="15"/>
      <c r="L2308" s="15"/>
      <c r="M2308" s="17"/>
      <c r="N2308" s="9"/>
      <c r="O2308" s="18">
        <f t="shared" si="615"/>
        <v>0</v>
      </c>
      <c r="P2308" s="9"/>
      <c r="Q2308" s="72"/>
      <c r="R2308" s="72"/>
      <c r="S2308" s="10">
        <f t="shared" si="611"/>
        <v>514.28571428571433</v>
      </c>
    </row>
    <row r="2309" spans="2:19" customFormat="1" hidden="1" outlineLevel="1">
      <c r="B2309" s="13" t="s">
        <v>158</v>
      </c>
      <c r="C2309" s="7" t="str">
        <f t="shared" si="612"/>
        <v>ROLO COMPACTADOR DYNAPAC MOD CA 250 CHASSIS 6592BR0048</v>
      </c>
      <c r="D2309" s="8">
        <f t="shared" si="610"/>
        <v>46106</v>
      </c>
      <c r="E2309" s="15"/>
      <c r="F2309" s="15"/>
      <c r="G2309" s="15">
        <f t="shared" si="613"/>
        <v>0</v>
      </c>
      <c r="H2309" s="16" t="s">
        <v>6</v>
      </c>
      <c r="I2309" s="10">
        <f t="shared" si="614"/>
        <v>514.28571428571433</v>
      </c>
      <c r="J2309" s="16" t="s">
        <v>201</v>
      </c>
      <c r="K2309" s="15"/>
      <c r="L2309" s="15"/>
      <c r="M2309" s="17"/>
      <c r="N2309" s="9"/>
      <c r="O2309" s="18">
        <f t="shared" si="615"/>
        <v>0</v>
      </c>
      <c r="P2309" s="9"/>
      <c r="Q2309" s="72"/>
      <c r="R2309" s="72"/>
      <c r="S2309" s="10">
        <f t="shared" si="611"/>
        <v>514.28571428571433</v>
      </c>
    </row>
    <row r="2310" spans="2:19" customFormat="1" hidden="1" outlineLevel="1">
      <c r="B2310" s="13" t="s">
        <v>158</v>
      </c>
      <c r="C2310" s="7" t="str">
        <f t="shared" si="612"/>
        <v>ROLO COMPACTADOR DYNAPAC MOD CA 250 CHASSIS 6592BR0048</v>
      </c>
      <c r="D2310" s="8">
        <f t="shared" si="610"/>
        <v>46107</v>
      </c>
      <c r="E2310" s="15"/>
      <c r="F2310" s="15"/>
      <c r="G2310" s="15">
        <f t="shared" si="613"/>
        <v>0</v>
      </c>
      <c r="H2310" s="16" t="s">
        <v>6</v>
      </c>
      <c r="I2310" s="10">
        <f t="shared" si="614"/>
        <v>514.28571428571433</v>
      </c>
      <c r="J2310" s="16" t="s">
        <v>201</v>
      </c>
      <c r="K2310" s="15"/>
      <c r="L2310" s="15"/>
      <c r="M2310" s="17"/>
      <c r="N2310" s="9"/>
      <c r="O2310" s="18">
        <f t="shared" si="615"/>
        <v>0</v>
      </c>
      <c r="P2310" s="9"/>
      <c r="Q2310" s="72"/>
      <c r="R2310" s="72"/>
      <c r="S2310" s="10">
        <f t="shared" si="611"/>
        <v>514.28571428571433</v>
      </c>
    </row>
    <row r="2311" spans="2:19" customFormat="1" hidden="1" outlineLevel="1">
      <c r="B2311" s="13" t="s">
        <v>158</v>
      </c>
      <c r="C2311" s="7" t="str">
        <f t="shared" si="612"/>
        <v>ROLO COMPACTADOR DYNAPAC MOD CA 250 CHASSIS 6592BR0048</v>
      </c>
      <c r="D2311" s="8">
        <f t="shared" si="610"/>
        <v>46108</v>
      </c>
      <c r="E2311" s="15"/>
      <c r="F2311" s="15"/>
      <c r="G2311" s="15">
        <f t="shared" si="613"/>
        <v>0</v>
      </c>
      <c r="H2311" s="16" t="s">
        <v>6</v>
      </c>
      <c r="I2311" s="10">
        <f t="shared" si="614"/>
        <v>514.28571428571433</v>
      </c>
      <c r="J2311" s="16" t="s">
        <v>201</v>
      </c>
      <c r="K2311" s="15"/>
      <c r="L2311" s="15"/>
      <c r="M2311" s="17"/>
      <c r="N2311" s="9"/>
      <c r="O2311" s="18">
        <f t="shared" si="615"/>
        <v>0</v>
      </c>
      <c r="P2311" s="9"/>
      <c r="Q2311" s="72"/>
      <c r="R2311" s="72"/>
      <c r="S2311" s="10">
        <f t="shared" si="611"/>
        <v>514.28571428571433</v>
      </c>
    </row>
    <row r="2312" spans="2:19" customFormat="1" hidden="1" outlineLevel="1">
      <c r="B2312" s="13" t="s">
        <v>158</v>
      </c>
      <c r="C2312" s="7" t="str">
        <f t="shared" si="612"/>
        <v>ROLO COMPACTADOR DYNAPAC MOD CA 250 CHASSIS 6592BR0048</v>
      </c>
      <c r="D2312" s="8">
        <f t="shared" si="610"/>
        <v>46112</v>
      </c>
      <c r="E2312" s="15"/>
      <c r="F2312" s="15"/>
      <c r="G2312" s="15">
        <f t="shared" si="613"/>
        <v>0</v>
      </c>
      <c r="H2312" s="16" t="s">
        <v>6</v>
      </c>
      <c r="I2312" s="10">
        <f t="shared" si="614"/>
        <v>514.28571428571433</v>
      </c>
      <c r="J2312" s="16" t="s">
        <v>201</v>
      </c>
      <c r="K2312" s="15"/>
      <c r="L2312" s="15"/>
      <c r="M2312" s="17"/>
      <c r="N2312" s="9"/>
      <c r="O2312" s="18">
        <f t="shared" si="615"/>
        <v>0</v>
      </c>
      <c r="P2312" s="9"/>
      <c r="Q2312" s="72"/>
      <c r="R2312" s="72"/>
      <c r="S2312" s="10">
        <f t="shared" si="611"/>
        <v>514.28571428571433</v>
      </c>
    </row>
    <row r="2313" spans="2:19" customFormat="1" collapsed="1">
      <c r="B2313" s="13" t="s">
        <v>158</v>
      </c>
      <c r="D2313" s="1"/>
      <c r="E2313" s="2"/>
      <c r="F2313" s="2"/>
      <c r="G2313" s="2"/>
      <c r="K2313" s="2"/>
      <c r="L2313" s="2"/>
      <c r="O2313" s="2"/>
      <c r="P2313" s="2"/>
      <c r="Q2313" s="2"/>
      <c r="R2313" s="2"/>
    </row>
    <row r="2314" spans="2:19" customFormat="1">
      <c r="B2314" s="13" t="s">
        <v>158</v>
      </c>
      <c r="C2314" s="3" t="s">
        <v>161</v>
      </c>
      <c r="D2314" s="3"/>
      <c r="E2314" s="4"/>
      <c r="F2314" s="4"/>
      <c r="G2314" s="4"/>
      <c r="H2314" s="3"/>
      <c r="I2314" s="3"/>
      <c r="J2314" s="3"/>
      <c r="K2314" s="4"/>
      <c r="L2314" s="4"/>
      <c r="M2314" s="135" t="str">
        <f>M$1</f>
        <v>BM JANEIRO 2026</v>
      </c>
      <c r="N2314" s="135"/>
      <c r="O2314" s="135"/>
      <c r="P2314" s="19" t="s">
        <v>10</v>
      </c>
      <c r="Q2314" s="136" t="s">
        <v>252</v>
      </c>
      <c r="R2314" s="136"/>
      <c r="S2314" s="136"/>
    </row>
    <row r="2315" spans="2:19" customFormat="1">
      <c r="B2315" s="14"/>
      <c r="C2315" s="5" t="s">
        <v>1</v>
      </c>
      <c r="D2315" s="5" t="s">
        <v>11</v>
      </c>
      <c r="E2315" s="6" t="s">
        <v>12</v>
      </c>
      <c r="F2315" s="6" t="s">
        <v>13</v>
      </c>
      <c r="G2315" s="6" t="s">
        <v>14</v>
      </c>
      <c r="H2315" s="5" t="s">
        <v>3</v>
      </c>
      <c r="I2315" s="6" t="s">
        <v>15</v>
      </c>
      <c r="J2315" s="6" t="s">
        <v>16</v>
      </c>
      <c r="K2315" s="6" t="s">
        <v>17</v>
      </c>
      <c r="L2315" s="6" t="s">
        <v>18</v>
      </c>
      <c r="M2315" s="5" t="s">
        <v>11</v>
      </c>
      <c r="N2315" s="5" t="s">
        <v>19</v>
      </c>
      <c r="O2315" s="6" t="s">
        <v>2</v>
      </c>
      <c r="P2315" s="6" t="s">
        <v>20</v>
      </c>
      <c r="Q2315" s="6" t="s">
        <v>21</v>
      </c>
      <c r="R2315" s="6" t="s">
        <v>22</v>
      </c>
      <c r="S2315" s="6" t="s">
        <v>23</v>
      </c>
    </row>
    <row r="2316" spans="2:19" customFormat="1" hidden="1" outlineLevel="1">
      <c r="B2316" s="123" t="s">
        <v>160</v>
      </c>
      <c r="C2316" s="7" t="str">
        <f>C$2314</f>
        <v>ROLO KIT PATA LIUGONG CHASSIS RR063382 ANO 2024</v>
      </c>
      <c r="D2316" s="8">
        <f t="shared" ref="D2316:D2343" si="616">D2254</f>
        <v>46082</v>
      </c>
      <c r="E2316" s="15"/>
      <c r="F2316" s="15"/>
      <c r="G2316" s="15">
        <f t="shared" ref="G2316:G2319" si="617">F2316-E2316</f>
        <v>0</v>
      </c>
      <c r="H2316" s="16" t="s">
        <v>7</v>
      </c>
      <c r="I2316" s="10">
        <f>P2316</f>
        <v>514.28571428571433</v>
      </c>
      <c r="J2316" s="16" t="s">
        <v>16</v>
      </c>
      <c r="K2316" s="15"/>
      <c r="L2316" s="15"/>
      <c r="M2316" s="17"/>
      <c r="N2316" s="9"/>
      <c r="O2316" s="9">
        <v>14400</v>
      </c>
      <c r="P2316" s="9">
        <f>O2316/28</f>
        <v>514.28571428571433</v>
      </c>
      <c r="Q2316" s="9"/>
      <c r="R2316" s="9"/>
      <c r="S2316" s="10">
        <f>SUM(R2316+Q2316+I2316)</f>
        <v>514.28571428571433</v>
      </c>
    </row>
    <row r="2317" spans="2:19" customFormat="1" hidden="1" outlineLevel="1">
      <c r="B2317" s="12" t="s">
        <v>0</v>
      </c>
      <c r="C2317" s="7" t="str">
        <f t="shared" ref="C2317:C2343" si="618">C$2314</f>
        <v>ROLO KIT PATA LIUGONG CHASSIS RR063382 ANO 2024</v>
      </c>
      <c r="D2317" s="8">
        <f t="shared" si="616"/>
        <v>46083</v>
      </c>
      <c r="E2317" s="15"/>
      <c r="F2317" s="15"/>
      <c r="G2317" s="15">
        <f t="shared" si="617"/>
        <v>0</v>
      </c>
      <c r="H2317" s="16" t="s">
        <v>7</v>
      </c>
      <c r="I2317" s="10">
        <f>I2316</f>
        <v>514.28571428571433</v>
      </c>
      <c r="J2317" s="16" t="s">
        <v>16</v>
      </c>
      <c r="K2317" s="15"/>
      <c r="L2317" s="15"/>
      <c r="M2317" s="17"/>
      <c r="N2317" s="9"/>
      <c r="O2317" s="9"/>
      <c r="P2317" s="9"/>
      <c r="Q2317" s="9"/>
      <c r="R2317" s="9"/>
      <c r="S2317" s="10">
        <f t="shared" ref="S2317:S2343" si="619">SUM(R2317+Q2317+I2317)</f>
        <v>514.28571428571433</v>
      </c>
    </row>
    <row r="2318" spans="2:19" customFormat="1" hidden="1" outlineLevel="1">
      <c r="B2318" s="13" t="s">
        <v>160</v>
      </c>
      <c r="C2318" s="7" t="str">
        <f t="shared" si="618"/>
        <v>ROLO KIT PATA LIUGONG CHASSIS RR063382 ANO 2024</v>
      </c>
      <c r="D2318" s="8">
        <f t="shared" si="616"/>
        <v>46084</v>
      </c>
      <c r="E2318" s="15"/>
      <c r="F2318" s="15"/>
      <c r="G2318" s="15">
        <f t="shared" si="617"/>
        <v>0</v>
      </c>
      <c r="H2318" s="16" t="s">
        <v>7</v>
      </c>
      <c r="I2318" s="10">
        <f t="shared" ref="I2318:I2343" si="620">I2317</f>
        <v>514.28571428571433</v>
      </c>
      <c r="J2318" s="16" t="s">
        <v>16</v>
      </c>
      <c r="K2318" s="15"/>
      <c r="L2318" s="15"/>
      <c r="M2318" s="17"/>
      <c r="N2318" s="9"/>
      <c r="O2318" s="9"/>
      <c r="P2318" s="9"/>
      <c r="Q2318" s="9"/>
      <c r="R2318" s="9"/>
      <c r="S2318" s="10">
        <f t="shared" si="619"/>
        <v>514.28571428571433</v>
      </c>
    </row>
    <row r="2319" spans="2:19" customFormat="1" hidden="1" outlineLevel="1">
      <c r="B2319" s="13" t="s">
        <v>160</v>
      </c>
      <c r="C2319" s="7" t="str">
        <f t="shared" si="618"/>
        <v>ROLO KIT PATA LIUGONG CHASSIS RR063382 ANO 2024</v>
      </c>
      <c r="D2319" s="8">
        <f t="shared" si="616"/>
        <v>46085</v>
      </c>
      <c r="E2319" s="15"/>
      <c r="F2319" s="15"/>
      <c r="G2319" s="15">
        <f t="shared" si="617"/>
        <v>0</v>
      </c>
      <c r="H2319" s="16" t="s">
        <v>7</v>
      </c>
      <c r="I2319" s="10">
        <f t="shared" si="620"/>
        <v>514.28571428571433</v>
      </c>
      <c r="J2319" s="16" t="s">
        <v>16</v>
      </c>
      <c r="K2319" s="15"/>
      <c r="L2319" s="15"/>
      <c r="M2319" s="17"/>
      <c r="N2319" s="9"/>
      <c r="O2319" s="9"/>
      <c r="P2319" s="9"/>
      <c r="Q2319" s="9"/>
      <c r="R2319" s="9"/>
      <c r="S2319" s="10">
        <f t="shared" si="619"/>
        <v>514.28571428571433</v>
      </c>
    </row>
    <row r="2320" spans="2:19" customFormat="1" hidden="1" outlineLevel="1">
      <c r="B2320" s="13" t="s">
        <v>160</v>
      </c>
      <c r="C2320" s="7" t="str">
        <f t="shared" si="618"/>
        <v>ROLO KIT PATA LIUGONG CHASSIS RR063382 ANO 2024</v>
      </c>
      <c r="D2320" s="8">
        <f t="shared" si="616"/>
        <v>46086</v>
      </c>
      <c r="E2320" s="15"/>
      <c r="F2320" s="15"/>
      <c r="G2320" s="15">
        <f t="shared" ref="G2320:G2343" si="621">F2320-E2320</f>
        <v>0</v>
      </c>
      <c r="H2320" s="16" t="s">
        <v>7</v>
      </c>
      <c r="I2320" s="10">
        <f t="shared" si="620"/>
        <v>514.28571428571433</v>
      </c>
      <c r="J2320" s="16" t="s">
        <v>16</v>
      </c>
      <c r="K2320" s="15"/>
      <c r="L2320" s="15"/>
      <c r="M2320" s="17"/>
      <c r="N2320" s="9"/>
      <c r="O2320" s="9"/>
      <c r="P2320" s="9"/>
      <c r="Q2320" s="9"/>
      <c r="R2320" s="9"/>
      <c r="S2320" s="10">
        <f t="shared" si="619"/>
        <v>514.28571428571433</v>
      </c>
    </row>
    <row r="2321" spans="2:19" customFormat="1" hidden="1" outlineLevel="1">
      <c r="B2321" s="13" t="s">
        <v>160</v>
      </c>
      <c r="C2321" s="7" t="str">
        <f t="shared" si="618"/>
        <v>ROLO KIT PATA LIUGONG CHASSIS RR063382 ANO 2024</v>
      </c>
      <c r="D2321" s="8">
        <f t="shared" si="616"/>
        <v>46087</v>
      </c>
      <c r="E2321" s="15"/>
      <c r="F2321" s="15"/>
      <c r="G2321" s="15">
        <f t="shared" si="621"/>
        <v>0</v>
      </c>
      <c r="H2321" s="16" t="s">
        <v>7</v>
      </c>
      <c r="I2321" s="10">
        <f t="shared" si="620"/>
        <v>514.28571428571433</v>
      </c>
      <c r="J2321" s="16" t="s">
        <v>16</v>
      </c>
      <c r="K2321" s="15"/>
      <c r="L2321" s="15"/>
      <c r="M2321" s="17"/>
      <c r="N2321" s="9"/>
      <c r="O2321" s="9"/>
      <c r="P2321" s="9"/>
      <c r="Q2321" s="9"/>
      <c r="R2321" s="9"/>
      <c r="S2321" s="10">
        <f t="shared" si="619"/>
        <v>514.28571428571433</v>
      </c>
    </row>
    <row r="2322" spans="2:19" customFormat="1" hidden="1" outlineLevel="1">
      <c r="B2322" s="13" t="s">
        <v>160</v>
      </c>
      <c r="C2322" s="7" t="str">
        <f t="shared" si="618"/>
        <v>ROLO KIT PATA LIUGONG CHASSIS RR063382 ANO 2024</v>
      </c>
      <c r="D2322" s="8">
        <f t="shared" si="616"/>
        <v>46088</v>
      </c>
      <c r="E2322" s="15"/>
      <c r="F2322" s="15"/>
      <c r="G2322" s="15">
        <f t="shared" si="621"/>
        <v>0</v>
      </c>
      <c r="H2322" s="16" t="s">
        <v>7</v>
      </c>
      <c r="I2322" s="10">
        <f t="shared" si="620"/>
        <v>514.28571428571433</v>
      </c>
      <c r="J2322" s="16" t="s">
        <v>16</v>
      </c>
      <c r="K2322" s="15"/>
      <c r="L2322" s="15"/>
      <c r="M2322" s="17"/>
      <c r="N2322" s="9"/>
      <c r="O2322" s="18"/>
      <c r="P2322" s="9"/>
      <c r="Q2322" s="9"/>
      <c r="R2322" s="9"/>
      <c r="S2322" s="10">
        <f t="shared" si="619"/>
        <v>514.28571428571433</v>
      </c>
    </row>
    <row r="2323" spans="2:19" customFormat="1" hidden="1" outlineLevel="1">
      <c r="B2323" s="13" t="s">
        <v>160</v>
      </c>
      <c r="C2323" s="7" t="str">
        <f t="shared" si="618"/>
        <v>ROLO KIT PATA LIUGONG CHASSIS RR063382 ANO 2024</v>
      </c>
      <c r="D2323" s="8">
        <f t="shared" si="616"/>
        <v>46089</v>
      </c>
      <c r="E2323" s="15"/>
      <c r="F2323" s="15"/>
      <c r="G2323" s="15">
        <f t="shared" si="621"/>
        <v>0</v>
      </c>
      <c r="H2323" s="16" t="s">
        <v>7</v>
      </c>
      <c r="I2323" s="10">
        <f t="shared" si="620"/>
        <v>514.28571428571433</v>
      </c>
      <c r="J2323" s="16" t="s">
        <v>16</v>
      </c>
      <c r="K2323" s="15"/>
      <c r="L2323" s="15"/>
      <c r="M2323" s="17"/>
      <c r="N2323" s="9"/>
      <c r="O2323" s="18"/>
      <c r="P2323" s="9"/>
      <c r="Q2323" s="9"/>
      <c r="R2323" s="9"/>
      <c r="S2323" s="10">
        <f t="shared" si="619"/>
        <v>514.28571428571433</v>
      </c>
    </row>
    <row r="2324" spans="2:19" customFormat="1" hidden="1" outlineLevel="1">
      <c r="B2324" s="13" t="s">
        <v>160</v>
      </c>
      <c r="C2324" s="7" t="str">
        <f t="shared" si="618"/>
        <v>ROLO KIT PATA LIUGONG CHASSIS RR063382 ANO 2024</v>
      </c>
      <c r="D2324" s="8">
        <f t="shared" si="616"/>
        <v>46090</v>
      </c>
      <c r="E2324" s="15"/>
      <c r="F2324" s="15"/>
      <c r="G2324" s="15">
        <f t="shared" si="621"/>
        <v>0</v>
      </c>
      <c r="H2324" s="16" t="s">
        <v>7</v>
      </c>
      <c r="I2324" s="10">
        <f t="shared" si="620"/>
        <v>514.28571428571433</v>
      </c>
      <c r="J2324" s="16" t="s">
        <v>16</v>
      </c>
      <c r="K2324" s="15"/>
      <c r="L2324" s="15"/>
      <c r="M2324" s="17"/>
      <c r="N2324" s="9"/>
      <c r="O2324" s="18"/>
      <c r="P2324" s="9"/>
      <c r="Q2324" s="9"/>
      <c r="R2324" s="9"/>
      <c r="S2324" s="10">
        <f t="shared" si="619"/>
        <v>514.28571428571433</v>
      </c>
    </row>
    <row r="2325" spans="2:19" customFormat="1" hidden="1" outlineLevel="1">
      <c r="B2325" s="13" t="s">
        <v>160</v>
      </c>
      <c r="C2325" s="7" t="str">
        <f t="shared" si="618"/>
        <v>ROLO KIT PATA LIUGONG CHASSIS RR063382 ANO 2024</v>
      </c>
      <c r="D2325" s="8">
        <f t="shared" si="616"/>
        <v>46091</v>
      </c>
      <c r="E2325" s="15"/>
      <c r="F2325" s="15"/>
      <c r="G2325" s="15">
        <f t="shared" si="621"/>
        <v>0</v>
      </c>
      <c r="H2325" s="16" t="s">
        <v>7</v>
      </c>
      <c r="I2325" s="10">
        <f t="shared" si="620"/>
        <v>514.28571428571433</v>
      </c>
      <c r="J2325" s="16" t="s">
        <v>16</v>
      </c>
      <c r="K2325" s="15"/>
      <c r="L2325" s="15"/>
      <c r="M2325" s="17"/>
      <c r="N2325" s="9"/>
      <c r="O2325" s="18"/>
      <c r="P2325" s="9"/>
      <c r="Q2325" s="9"/>
      <c r="R2325" s="9"/>
      <c r="S2325" s="10">
        <f t="shared" si="619"/>
        <v>514.28571428571433</v>
      </c>
    </row>
    <row r="2326" spans="2:19" customFormat="1" hidden="1" outlineLevel="1">
      <c r="B2326" s="13" t="s">
        <v>160</v>
      </c>
      <c r="C2326" s="7" t="str">
        <f t="shared" si="618"/>
        <v>ROLO KIT PATA LIUGONG CHASSIS RR063382 ANO 2024</v>
      </c>
      <c r="D2326" s="8">
        <f t="shared" si="616"/>
        <v>46092</v>
      </c>
      <c r="E2326" s="15"/>
      <c r="F2326" s="15"/>
      <c r="G2326" s="15">
        <f t="shared" si="621"/>
        <v>0</v>
      </c>
      <c r="H2326" s="16" t="s">
        <v>7</v>
      </c>
      <c r="I2326" s="10">
        <f t="shared" si="620"/>
        <v>514.28571428571433</v>
      </c>
      <c r="J2326" s="16" t="s">
        <v>16</v>
      </c>
      <c r="K2326" s="15"/>
      <c r="L2326" s="15"/>
      <c r="M2326" s="17"/>
      <c r="N2326" s="9"/>
      <c r="O2326" s="18"/>
      <c r="P2326" s="9"/>
      <c r="Q2326" s="9"/>
      <c r="R2326" s="9"/>
      <c r="S2326" s="10">
        <f t="shared" si="619"/>
        <v>514.28571428571433</v>
      </c>
    </row>
    <row r="2327" spans="2:19" customFormat="1" hidden="1" outlineLevel="1">
      <c r="B2327" s="13" t="s">
        <v>160</v>
      </c>
      <c r="C2327" s="7" t="str">
        <f t="shared" si="618"/>
        <v>ROLO KIT PATA LIUGONG CHASSIS RR063382 ANO 2024</v>
      </c>
      <c r="D2327" s="8">
        <f t="shared" si="616"/>
        <v>46093</v>
      </c>
      <c r="E2327" s="15"/>
      <c r="F2327" s="15"/>
      <c r="G2327" s="15">
        <f t="shared" si="621"/>
        <v>0</v>
      </c>
      <c r="H2327" s="16" t="s">
        <v>7</v>
      </c>
      <c r="I2327" s="10">
        <f t="shared" si="620"/>
        <v>514.28571428571433</v>
      </c>
      <c r="J2327" s="16" t="s">
        <v>16</v>
      </c>
      <c r="K2327" s="15"/>
      <c r="L2327" s="15"/>
      <c r="M2327" s="17"/>
      <c r="N2327" s="9"/>
      <c r="O2327" s="18"/>
      <c r="P2327" s="9"/>
      <c r="Q2327" s="9"/>
      <c r="R2327" s="9"/>
      <c r="S2327" s="10">
        <f t="shared" si="619"/>
        <v>514.28571428571433</v>
      </c>
    </row>
    <row r="2328" spans="2:19" customFormat="1" hidden="1" outlineLevel="1">
      <c r="B2328" s="13" t="s">
        <v>160</v>
      </c>
      <c r="C2328" s="7" t="str">
        <f t="shared" si="618"/>
        <v>ROLO KIT PATA LIUGONG CHASSIS RR063382 ANO 2024</v>
      </c>
      <c r="D2328" s="8">
        <f t="shared" si="616"/>
        <v>46094</v>
      </c>
      <c r="E2328" s="15"/>
      <c r="F2328" s="15"/>
      <c r="G2328" s="15">
        <f t="shared" si="621"/>
        <v>0</v>
      </c>
      <c r="H2328" s="16" t="s">
        <v>7</v>
      </c>
      <c r="I2328" s="10">
        <f t="shared" si="620"/>
        <v>514.28571428571433</v>
      </c>
      <c r="J2328" s="16" t="s">
        <v>16</v>
      </c>
      <c r="K2328" s="15"/>
      <c r="L2328" s="15"/>
      <c r="M2328" s="17"/>
      <c r="N2328" s="9"/>
      <c r="O2328" s="18">
        <f t="shared" ref="O2328:O2343" si="622">O2327</f>
        <v>0</v>
      </c>
      <c r="P2328" s="9"/>
      <c r="Q2328" s="9"/>
      <c r="R2328" s="9"/>
      <c r="S2328" s="10">
        <f t="shared" si="619"/>
        <v>514.28571428571433</v>
      </c>
    </row>
    <row r="2329" spans="2:19" customFormat="1" hidden="1" outlineLevel="1">
      <c r="B2329" s="13" t="s">
        <v>160</v>
      </c>
      <c r="C2329" s="7" t="str">
        <f t="shared" si="618"/>
        <v>ROLO KIT PATA LIUGONG CHASSIS RR063382 ANO 2024</v>
      </c>
      <c r="D2329" s="8">
        <f t="shared" si="616"/>
        <v>46095</v>
      </c>
      <c r="E2329" s="15"/>
      <c r="F2329" s="15"/>
      <c r="G2329" s="15">
        <f t="shared" si="621"/>
        <v>0</v>
      </c>
      <c r="H2329" s="16" t="s">
        <v>7</v>
      </c>
      <c r="I2329" s="10">
        <f t="shared" si="620"/>
        <v>514.28571428571433</v>
      </c>
      <c r="J2329" s="16" t="s">
        <v>16</v>
      </c>
      <c r="K2329" s="15"/>
      <c r="L2329" s="15"/>
      <c r="M2329" s="17"/>
      <c r="N2329" s="9"/>
      <c r="O2329" s="18">
        <f t="shared" si="622"/>
        <v>0</v>
      </c>
      <c r="P2329" s="9"/>
      <c r="Q2329" s="9"/>
      <c r="R2329" s="9"/>
      <c r="S2329" s="10">
        <f t="shared" si="619"/>
        <v>514.28571428571433</v>
      </c>
    </row>
    <row r="2330" spans="2:19" customFormat="1" hidden="1" outlineLevel="1">
      <c r="B2330" s="13" t="s">
        <v>160</v>
      </c>
      <c r="C2330" s="7" t="str">
        <f t="shared" si="618"/>
        <v>ROLO KIT PATA LIUGONG CHASSIS RR063382 ANO 2024</v>
      </c>
      <c r="D2330" s="8">
        <f t="shared" si="616"/>
        <v>46096</v>
      </c>
      <c r="E2330" s="15"/>
      <c r="F2330" s="15"/>
      <c r="G2330" s="15">
        <f t="shared" si="621"/>
        <v>0</v>
      </c>
      <c r="H2330" s="16" t="s">
        <v>7</v>
      </c>
      <c r="I2330" s="10">
        <f t="shared" si="620"/>
        <v>514.28571428571433</v>
      </c>
      <c r="J2330" s="16" t="s">
        <v>16</v>
      </c>
      <c r="K2330" s="15"/>
      <c r="L2330" s="15"/>
      <c r="M2330" s="17"/>
      <c r="N2330" s="9"/>
      <c r="O2330" s="18">
        <f t="shared" si="622"/>
        <v>0</v>
      </c>
      <c r="P2330" s="9"/>
      <c r="Q2330" s="9"/>
      <c r="R2330" s="9"/>
      <c r="S2330" s="10">
        <f t="shared" si="619"/>
        <v>514.28571428571433</v>
      </c>
    </row>
    <row r="2331" spans="2:19" customFormat="1" hidden="1" outlineLevel="1">
      <c r="B2331" s="13" t="s">
        <v>160</v>
      </c>
      <c r="C2331" s="7" t="str">
        <f t="shared" si="618"/>
        <v>ROLO KIT PATA LIUGONG CHASSIS RR063382 ANO 2024</v>
      </c>
      <c r="D2331" s="8">
        <f t="shared" si="616"/>
        <v>46097</v>
      </c>
      <c r="E2331" s="15"/>
      <c r="F2331" s="15"/>
      <c r="G2331" s="15">
        <f t="shared" si="621"/>
        <v>0</v>
      </c>
      <c r="H2331" s="16" t="s">
        <v>7</v>
      </c>
      <c r="I2331" s="10">
        <f t="shared" si="620"/>
        <v>514.28571428571433</v>
      </c>
      <c r="J2331" s="16" t="s">
        <v>16</v>
      </c>
      <c r="K2331" s="15"/>
      <c r="L2331" s="15"/>
      <c r="M2331" s="17"/>
      <c r="N2331" s="9"/>
      <c r="O2331" s="18">
        <f t="shared" si="622"/>
        <v>0</v>
      </c>
      <c r="P2331" s="9"/>
      <c r="Q2331" s="9"/>
      <c r="R2331" s="9"/>
      <c r="S2331" s="10">
        <f t="shared" si="619"/>
        <v>514.28571428571433</v>
      </c>
    </row>
    <row r="2332" spans="2:19" customFormat="1" hidden="1" outlineLevel="1">
      <c r="B2332" s="13" t="s">
        <v>160</v>
      </c>
      <c r="C2332" s="7" t="str">
        <f t="shared" si="618"/>
        <v>ROLO KIT PATA LIUGONG CHASSIS RR063382 ANO 2024</v>
      </c>
      <c r="D2332" s="8">
        <f t="shared" si="616"/>
        <v>46098</v>
      </c>
      <c r="E2332" s="15"/>
      <c r="F2332" s="15"/>
      <c r="G2332" s="15">
        <f t="shared" si="621"/>
        <v>0</v>
      </c>
      <c r="H2332" s="16" t="s">
        <v>7</v>
      </c>
      <c r="I2332" s="10">
        <f t="shared" si="620"/>
        <v>514.28571428571433</v>
      </c>
      <c r="J2332" s="16" t="s">
        <v>16</v>
      </c>
      <c r="K2332" s="15"/>
      <c r="L2332" s="15"/>
      <c r="M2332" s="17"/>
      <c r="N2332" s="9"/>
      <c r="O2332" s="18">
        <f t="shared" si="622"/>
        <v>0</v>
      </c>
      <c r="P2332" s="9"/>
      <c r="Q2332" s="9"/>
      <c r="R2332" s="9"/>
      <c r="S2332" s="10">
        <f t="shared" si="619"/>
        <v>514.28571428571433</v>
      </c>
    </row>
    <row r="2333" spans="2:19" customFormat="1" hidden="1" outlineLevel="1">
      <c r="B2333" s="13" t="s">
        <v>160</v>
      </c>
      <c r="C2333" s="7" t="str">
        <f t="shared" si="618"/>
        <v>ROLO KIT PATA LIUGONG CHASSIS RR063382 ANO 2024</v>
      </c>
      <c r="D2333" s="8">
        <f t="shared" si="616"/>
        <v>46099</v>
      </c>
      <c r="E2333" s="15"/>
      <c r="F2333" s="15"/>
      <c r="G2333" s="15">
        <f t="shared" si="621"/>
        <v>0</v>
      </c>
      <c r="H2333" s="16" t="s">
        <v>7</v>
      </c>
      <c r="I2333" s="10">
        <f t="shared" si="620"/>
        <v>514.28571428571433</v>
      </c>
      <c r="J2333" s="16" t="s">
        <v>16</v>
      </c>
      <c r="K2333" s="15"/>
      <c r="L2333" s="15"/>
      <c r="M2333" s="17"/>
      <c r="N2333" s="9"/>
      <c r="O2333" s="18">
        <f t="shared" si="622"/>
        <v>0</v>
      </c>
      <c r="P2333" s="9"/>
      <c r="Q2333" s="9"/>
      <c r="R2333" s="9"/>
      <c r="S2333" s="10">
        <f t="shared" si="619"/>
        <v>514.28571428571433</v>
      </c>
    </row>
    <row r="2334" spans="2:19" customFormat="1" hidden="1" outlineLevel="1">
      <c r="B2334" s="13" t="s">
        <v>160</v>
      </c>
      <c r="C2334" s="7" t="str">
        <f t="shared" si="618"/>
        <v>ROLO KIT PATA LIUGONG CHASSIS RR063382 ANO 2024</v>
      </c>
      <c r="D2334" s="8">
        <f t="shared" si="616"/>
        <v>46100</v>
      </c>
      <c r="E2334" s="15"/>
      <c r="F2334" s="15"/>
      <c r="G2334" s="15">
        <f t="shared" si="621"/>
        <v>0</v>
      </c>
      <c r="H2334" s="16" t="s">
        <v>7</v>
      </c>
      <c r="I2334" s="10">
        <f t="shared" si="620"/>
        <v>514.28571428571433</v>
      </c>
      <c r="J2334" s="16" t="s">
        <v>16</v>
      </c>
      <c r="K2334" s="15"/>
      <c r="L2334" s="15"/>
      <c r="M2334" s="17"/>
      <c r="N2334" s="9"/>
      <c r="O2334" s="18">
        <f t="shared" si="622"/>
        <v>0</v>
      </c>
      <c r="P2334" s="9"/>
      <c r="Q2334" s="9"/>
      <c r="R2334" s="9"/>
      <c r="S2334" s="10">
        <f t="shared" si="619"/>
        <v>514.28571428571433</v>
      </c>
    </row>
    <row r="2335" spans="2:19" customFormat="1" hidden="1" outlineLevel="1">
      <c r="B2335" s="13" t="s">
        <v>160</v>
      </c>
      <c r="C2335" s="7" t="str">
        <f t="shared" si="618"/>
        <v>ROLO KIT PATA LIUGONG CHASSIS RR063382 ANO 2024</v>
      </c>
      <c r="D2335" s="8">
        <f t="shared" si="616"/>
        <v>46101</v>
      </c>
      <c r="E2335" s="15"/>
      <c r="F2335" s="15"/>
      <c r="G2335" s="15">
        <f t="shared" si="621"/>
        <v>0</v>
      </c>
      <c r="H2335" s="16" t="s">
        <v>7</v>
      </c>
      <c r="I2335" s="10">
        <f t="shared" si="620"/>
        <v>514.28571428571433</v>
      </c>
      <c r="J2335" s="16" t="s">
        <v>16</v>
      </c>
      <c r="K2335" s="15"/>
      <c r="L2335" s="15"/>
      <c r="M2335" s="17"/>
      <c r="N2335" s="9"/>
      <c r="O2335" s="18">
        <f t="shared" si="622"/>
        <v>0</v>
      </c>
      <c r="P2335" s="9"/>
      <c r="Q2335" s="9"/>
      <c r="R2335" s="9"/>
      <c r="S2335" s="10">
        <f t="shared" si="619"/>
        <v>514.28571428571433</v>
      </c>
    </row>
    <row r="2336" spans="2:19" customFormat="1" hidden="1" outlineLevel="1">
      <c r="B2336" s="13" t="s">
        <v>160</v>
      </c>
      <c r="C2336" s="7" t="str">
        <f t="shared" si="618"/>
        <v>ROLO KIT PATA LIUGONG CHASSIS RR063382 ANO 2024</v>
      </c>
      <c r="D2336" s="8">
        <f t="shared" si="616"/>
        <v>46102</v>
      </c>
      <c r="E2336" s="15"/>
      <c r="F2336" s="15"/>
      <c r="G2336" s="15">
        <f t="shared" si="621"/>
        <v>0</v>
      </c>
      <c r="H2336" s="16" t="s">
        <v>7</v>
      </c>
      <c r="I2336" s="10">
        <f t="shared" si="620"/>
        <v>514.28571428571433</v>
      </c>
      <c r="J2336" s="16" t="s">
        <v>16</v>
      </c>
      <c r="K2336" s="15"/>
      <c r="L2336" s="15"/>
      <c r="M2336" s="17"/>
      <c r="N2336" s="9"/>
      <c r="O2336" s="18">
        <f t="shared" si="622"/>
        <v>0</v>
      </c>
      <c r="P2336" s="9"/>
      <c r="Q2336" s="9"/>
      <c r="R2336" s="9"/>
      <c r="S2336" s="10">
        <f t="shared" si="619"/>
        <v>514.28571428571433</v>
      </c>
    </row>
    <row r="2337" spans="2:19" customFormat="1" hidden="1" outlineLevel="1">
      <c r="B2337" s="13" t="s">
        <v>160</v>
      </c>
      <c r="C2337" s="7" t="str">
        <f t="shared" si="618"/>
        <v>ROLO KIT PATA LIUGONG CHASSIS RR063382 ANO 2024</v>
      </c>
      <c r="D2337" s="8">
        <f t="shared" si="616"/>
        <v>46103</v>
      </c>
      <c r="E2337" s="15"/>
      <c r="F2337" s="15"/>
      <c r="G2337" s="15">
        <f t="shared" si="621"/>
        <v>0</v>
      </c>
      <c r="H2337" s="16" t="s">
        <v>7</v>
      </c>
      <c r="I2337" s="10">
        <f t="shared" si="620"/>
        <v>514.28571428571433</v>
      </c>
      <c r="J2337" s="16" t="s">
        <v>16</v>
      </c>
      <c r="K2337" s="15"/>
      <c r="L2337" s="15"/>
      <c r="M2337" s="17"/>
      <c r="N2337" s="9"/>
      <c r="O2337" s="18">
        <f t="shared" si="622"/>
        <v>0</v>
      </c>
      <c r="P2337" s="9"/>
      <c r="Q2337" s="9"/>
      <c r="R2337" s="9"/>
      <c r="S2337" s="10">
        <f t="shared" si="619"/>
        <v>514.28571428571433</v>
      </c>
    </row>
    <row r="2338" spans="2:19" customFormat="1" hidden="1" outlineLevel="1">
      <c r="B2338" s="13" t="s">
        <v>160</v>
      </c>
      <c r="C2338" s="7" t="str">
        <f t="shared" si="618"/>
        <v>ROLO KIT PATA LIUGONG CHASSIS RR063382 ANO 2024</v>
      </c>
      <c r="D2338" s="8">
        <f t="shared" si="616"/>
        <v>46104</v>
      </c>
      <c r="E2338" s="15"/>
      <c r="F2338" s="15"/>
      <c r="G2338" s="15">
        <f t="shared" si="621"/>
        <v>0</v>
      </c>
      <c r="H2338" s="16" t="s">
        <v>7</v>
      </c>
      <c r="I2338" s="10">
        <f t="shared" si="620"/>
        <v>514.28571428571433</v>
      </c>
      <c r="J2338" s="16" t="s">
        <v>16</v>
      </c>
      <c r="K2338" s="15"/>
      <c r="L2338" s="15"/>
      <c r="M2338" s="17"/>
      <c r="N2338" s="9"/>
      <c r="O2338" s="18">
        <f t="shared" si="622"/>
        <v>0</v>
      </c>
      <c r="P2338" s="9"/>
      <c r="Q2338" s="9"/>
      <c r="R2338" s="9"/>
      <c r="S2338" s="10">
        <f t="shared" si="619"/>
        <v>514.28571428571433</v>
      </c>
    </row>
    <row r="2339" spans="2:19" customFormat="1" hidden="1" outlineLevel="1">
      <c r="B2339" s="13" t="s">
        <v>160</v>
      </c>
      <c r="C2339" s="7" t="str">
        <f t="shared" si="618"/>
        <v>ROLO KIT PATA LIUGONG CHASSIS RR063382 ANO 2024</v>
      </c>
      <c r="D2339" s="8">
        <f t="shared" si="616"/>
        <v>46105</v>
      </c>
      <c r="E2339" s="15"/>
      <c r="F2339" s="15"/>
      <c r="G2339" s="15">
        <f t="shared" si="621"/>
        <v>0</v>
      </c>
      <c r="H2339" s="16" t="s">
        <v>7</v>
      </c>
      <c r="I2339" s="10">
        <f t="shared" si="620"/>
        <v>514.28571428571433</v>
      </c>
      <c r="J2339" s="16" t="s">
        <v>16</v>
      </c>
      <c r="K2339" s="15"/>
      <c r="L2339" s="15"/>
      <c r="M2339" s="17"/>
      <c r="N2339" s="9"/>
      <c r="O2339" s="18">
        <f t="shared" si="622"/>
        <v>0</v>
      </c>
      <c r="P2339" s="9"/>
      <c r="Q2339" s="9"/>
      <c r="R2339" s="9"/>
      <c r="S2339" s="10">
        <f t="shared" si="619"/>
        <v>514.28571428571433</v>
      </c>
    </row>
    <row r="2340" spans="2:19" customFormat="1" hidden="1" outlineLevel="1">
      <c r="B2340" s="13" t="s">
        <v>160</v>
      </c>
      <c r="C2340" s="7" t="str">
        <f t="shared" si="618"/>
        <v>ROLO KIT PATA LIUGONG CHASSIS RR063382 ANO 2024</v>
      </c>
      <c r="D2340" s="8">
        <f t="shared" si="616"/>
        <v>46106</v>
      </c>
      <c r="E2340" s="15">
        <v>892.8</v>
      </c>
      <c r="F2340" s="15">
        <v>897.8</v>
      </c>
      <c r="G2340" s="15">
        <f t="shared" si="621"/>
        <v>5</v>
      </c>
      <c r="H2340" s="16" t="s">
        <v>279</v>
      </c>
      <c r="I2340" s="10">
        <f t="shared" si="620"/>
        <v>514.28571428571433</v>
      </c>
      <c r="J2340" s="16"/>
      <c r="K2340" s="15">
        <v>1</v>
      </c>
      <c r="L2340" s="15"/>
      <c r="M2340" s="17"/>
      <c r="N2340" s="9"/>
      <c r="O2340" s="18">
        <f t="shared" si="622"/>
        <v>0</v>
      </c>
      <c r="P2340" s="9"/>
      <c r="Q2340" s="9"/>
      <c r="R2340" s="9"/>
      <c r="S2340" s="10">
        <f t="shared" si="619"/>
        <v>514.28571428571433</v>
      </c>
    </row>
    <row r="2341" spans="2:19" customFormat="1" hidden="1" outlineLevel="1">
      <c r="B2341" s="13" t="s">
        <v>160</v>
      </c>
      <c r="C2341" s="7" t="str">
        <f t="shared" si="618"/>
        <v>ROLO KIT PATA LIUGONG CHASSIS RR063382 ANO 2024</v>
      </c>
      <c r="D2341" s="8">
        <f t="shared" si="616"/>
        <v>46107</v>
      </c>
      <c r="E2341" s="15">
        <v>897.8</v>
      </c>
      <c r="F2341" s="15">
        <v>906.6</v>
      </c>
      <c r="G2341" s="15">
        <f t="shared" si="621"/>
        <v>8.8000000000000682</v>
      </c>
      <c r="H2341" s="16" t="s">
        <v>279</v>
      </c>
      <c r="I2341" s="10">
        <f t="shared" si="620"/>
        <v>514.28571428571433</v>
      </c>
      <c r="J2341" s="16"/>
      <c r="K2341" s="15">
        <v>1</v>
      </c>
      <c r="L2341" s="15">
        <v>165</v>
      </c>
      <c r="M2341" s="17">
        <v>46079</v>
      </c>
      <c r="N2341" s="9"/>
      <c r="O2341" s="18">
        <f t="shared" si="622"/>
        <v>0</v>
      </c>
      <c r="P2341" s="9"/>
      <c r="Q2341" s="9"/>
      <c r="R2341" s="9"/>
      <c r="S2341" s="10">
        <f t="shared" si="619"/>
        <v>514.28571428571433</v>
      </c>
    </row>
    <row r="2342" spans="2:19" customFormat="1" hidden="1" outlineLevel="1">
      <c r="B2342" s="13" t="s">
        <v>160</v>
      </c>
      <c r="C2342" s="7" t="str">
        <f t="shared" si="618"/>
        <v>ROLO KIT PATA LIUGONG CHASSIS RR063382 ANO 2024</v>
      </c>
      <c r="D2342" s="8">
        <f t="shared" si="616"/>
        <v>46108</v>
      </c>
      <c r="E2342" s="15">
        <v>906.6</v>
      </c>
      <c r="F2342" s="15">
        <v>913.3</v>
      </c>
      <c r="G2342" s="15">
        <f t="shared" si="621"/>
        <v>6.6999999999999318</v>
      </c>
      <c r="H2342" s="16" t="s">
        <v>279</v>
      </c>
      <c r="I2342" s="10">
        <f t="shared" si="620"/>
        <v>514.28571428571433</v>
      </c>
      <c r="J2342" s="16"/>
      <c r="K2342" s="15">
        <v>1</v>
      </c>
      <c r="L2342" s="15"/>
      <c r="M2342" s="17"/>
      <c r="N2342" s="9"/>
      <c r="O2342" s="18">
        <f t="shared" si="622"/>
        <v>0</v>
      </c>
      <c r="P2342" s="9"/>
      <c r="Q2342" s="9"/>
      <c r="R2342" s="9"/>
      <c r="S2342" s="10">
        <f t="shared" si="619"/>
        <v>514.28571428571433</v>
      </c>
    </row>
    <row r="2343" spans="2:19" customFormat="1" hidden="1" outlineLevel="1">
      <c r="B2343" s="13" t="s">
        <v>160</v>
      </c>
      <c r="C2343" s="7" t="str">
        <f t="shared" si="618"/>
        <v>ROLO KIT PATA LIUGONG CHASSIS RR063382 ANO 2024</v>
      </c>
      <c r="D2343" s="8">
        <f t="shared" si="616"/>
        <v>46112</v>
      </c>
      <c r="E2343" s="15"/>
      <c r="F2343" s="15"/>
      <c r="G2343" s="15">
        <f t="shared" si="621"/>
        <v>0</v>
      </c>
      <c r="H2343" s="16" t="s">
        <v>279</v>
      </c>
      <c r="I2343" s="10">
        <f t="shared" si="620"/>
        <v>514.28571428571433</v>
      </c>
      <c r="J2343" s="16" t="s">
        <v>16</v>
      </c>
      <c r="K2343" s="15"/>
      <c r="L2343" s="15"/>
      <c r="M2343" s="17"/>
      <c r="N2343" s="9"/>
      <c r="O2343" s="18">
        <f t="shared" si="622"/>
        <v>0</v>
      </c>
      <c r="P2343" s="9"/>
      <c r="Q2343" s="9"/>
      <c r="R2343" s="9"/>
      <c r="S2343" s="10">
        <f t="shared" si="619"/>
        <v>514.28571428571433</v>
      </c>
    </row>
    <row r="2344" spans="2:19" customFormat="1" collapsed="1">
      <c r="B2344" s="13" t="s">
        <v>160</v>
      </c>
      <c r="D2344" s="1"/>
      <c r="E2344" s="2"/>
      <c r="F2344" s="2"/>
      <c r="G2344" s="2"/>
      <c r="K2344" s="2"/>
      <c r="L2344" s="2"/>
      <c r="O2344" s="2"/>
      <c r="P2344" s="2"/>
      <c r="Q2344" s="2"/>
      <c r="R2344" s="2"/>
    </row>
    <row r="2345" spans="2:19" customFormat="1">
      <c r="B2345" s="13" t="s">
        <v>160</v>
      </c>
      <c r="C2345" s="3" t="s">
        <v>163</v>
      </c>
      <c r="D2345" s="3"/>
      <c r="E2345" s="4"/>
      <c r="F2345" s="4"/>
      <c r="G2345" s="4"/>
      <c r="H2345" s="3"/>
      <c r="I2345" s="3"/>
      <c r="J2345" s="3"/>
      <c r="K2345" s="4"/>
      <c r="L2345" s="4"/>
      <c r="M2345" s="135" t="str">
        <f>M$1</f>
        <v>BM JANEIRO 2026</v>
      </c>
      <c r="N2345" s="135"/>
      <c r="O2345" s="135"/>
      <c r="P2345" s="19" t="s">
        <v>10</v>
      </c>
      <c r="Q2345" s="136" t="s">
        <v>196</v>
      </c>
      <c r="R2345" s="136"/>
      <c r="S2345" s="136"/>
    </row>
    <row r="2346" spans="2:19" customFormat="1">
      <c r="B2346" s="14"/>
      <c r="C2346" s="5" t="s">
        <v>1</v>
      </c>
      <c r="D2346" s="5" t="s">
        <v>11</v>
      </c>
      <c r="E2346" s="6" t="s">
        <v>12</v>
      </c>
      <c r="F2346" s="6" t="s">
        <v>13</v>
      </c>
      <c r="G2346" s="6" t="s">
        <v>14</v>
      </c>
      <c r="H2346" s="5" t="s">
        <v>3</v>
      </c>
      <c r="I2346" s="6" t="s">
        <v>15</v>
      </c>
      <c r="J2346" s="6" t="s">
        <v>16</v>
      </c>
      <c r="K2346" s="6" t="s">
        <v>17</v>
      </c>
      <c r="L2346" s="127" t="s">
        <v>18</v>
      </c>
      <c r="M2346" s="5" t="s">
        <v>11</v>
      </c>
      <c r="N2346" s="5" t="s">
        <v>19</v>
      </c>
      <c r="O2346" s="6" t="s">
        <v>2</v>
      </c>
      <c r="P2346" s="6" t="s">
        <v>20</v>
      </c>
      <c r="Q2346" s="6" t="s">
        <v>21</v>
      </c>
      <c r="R2346" s="6" t="s">
        <v>22</v>
      </c>
      <c r="S2346" s="6" t="s">
        <v>23</v>
      </c>
    </row>
    <row r="2347" spans="2:19" customFormat="1" hidden="1" outlineLevel="1">
      <c r="B2347" s="11" t="s">
        <v>162</v>
      </c>
      <c r="C2347" s="7" t="str">
        <f>C$2345</f>
        <v>ROLO KIT PATA LIUGONG CHASSIS RR063852 ANO 2024</v>
      </c>
      <c r="D2347" s="8">
        <f t="shared" ref="D2347:D2374" si="623">D2285</f>
        <v>46082</v>
      </c>
      <c r="E2347" s="15"/>
      <c r="F2347" s="15"/>
      <c r="G2347" s="15">
        <f t="shared" ref="G2347:G2350" si="624">F2347-E2347</f>
        <v>0</v>
      </c>
      <c r="H2347" s="16" t="s">
        <v>233</v>
      </c>
      <c r="I2347" s="10">
        <f>P2347</f>
        <v>514.28571428571433</v>
      </c>
      <c r="J2347" s="16" t="s">
        <v>16</v>
      </c>
      <c r="K2347" s="15"/>
      <c r="L2347" s="15"/>
      <c r="M2347" s="17"/>
      <c r="N2347" s="9"/>
      <c r="O2347" s="9">
        <v>14400</v>
      </c>
      <c r="P2347" s="9">
        <f>O2347/28</f>
        <v>514.28571428571433</v>
      </c>
      <c r="Q2347" s="9"/>
      <c r="R2347" s="9"/>
      <c r="S2347" s="10">
        <f>SUM(R2347+Q2347+I2347)</f>
        <v>514.28571428571433</v>
      </c>
    </row>
    <row r="2348" spans="2:19" customFormat="1" hidden="1" outlineLevel="1">
      <c r="B2348" s="12" t="s">
        <v>0</v>
      </c>
      <c r="C2348" s="7" t="str">
        <f t="shared" ref="C2348:C2374" si="625">C$2345</f>
        <v>ROLO KIT PATA LIUGONG CHASSIS RR063852 ANO 2024</v>
      </c>
      <c r="D2348" s="8">
        <f t="shared" si="623"/>
        <v>46083</v>
      </c>
      <c r="E2348" s="15"/>
      <c r="F2348" s="15"/>
      <c r="G2348" s="15">
        <f t="shared" si="624"/>
        <v>0</v>
      </c>
      <c r="H2348" s="16" t="s">
        <v>233</v>
      </c>
      <c r="I2348" s="10">
        <f>I2347</f>
        <v>514.28571428571433</v>
      </c>
      <c r="J2348" s="16" t="s">
        <v>16</v>
      </c>
      <c r="K2348" s="15"/>
      <c r="L2348" s="15"/>
      <c r="M2348" s="17"/>
      <c r="N2348" s="9"/>
      <c r="O2348" s="9"/>
      <c r="P2348" s="9"/>
      <c r="Q2348" s="9"/>
      <c r="R2348" s="9"/>
      <c r="S2348" s="10">
        <f t="shared" ref="S2348:S2374" si="626">SUM(R2348+Q2348+I2348)</f>
        <v>514.28571428571433</v>
      </c>
    </row>
    <row r="2349" spans="2:19" customFormat="1" hidden="1" outlineLevel="1">
      <c r="B2349" s="13" t="s">
        <v>162</v>
      </c>
      <c r="C2349" s="7" t="str">
        <f t="shared" si="625"/>
        <v>ROLO KIT PATA LIUGONG CHASSIS RR063852 ANO 2024</v>
      </c>
      <c r="D2349" s="8">
        <f t="shared" si="623"/>
        <v>46084</v>
      </c>
      <c r="E2349" s="15"/>
      <c r="F2349" s="15"/>
      <c r="G2349" s="15">
        <f t="shared" si="624"/>
        <v>0</v>
      </c>
      <c r="H2349" s="16" t="s">
        <v>233</v>
      </c>
      <c r="I2349" s="10">
        <f t="shared" ref="I2349:I2374" si="627">I2348</f>
        <v>514.28571428571433</v>
      </c>
      <c r="J2349" s="16" t="s">
        <v>16</v>
      </c>
      <c r="K2349" s="15"/>
      <c r="L2349" s="15"/>
      <c r="M2349" s="17"/>
      <c r="N2349" s="9"/>
      <c r="O2349" s="9"/>
      <c r="P2349" s="9"/>
      <c r="Q2349" s="9"/>
      <c r="R2349" s="9"/>
      <c r="S2349" s="10">
        <f t="shared" si="626"/>
        <v>514.28571428571433</v>
      </c>
    </row>
    <row r="2350" spans="2:19" customFormat="1" hidden="1" outlineLevel="1">
      <c r="B2350" s="13" t="s">
        <v>162</v>
      </c>
      <c r="C2350" s="7" t="str">
        <f t="shared" si="625"/>
        <v>ROLO KIT PATA LIUGONG CHASSIS RR063852 ANO 2024</v>
      </c>
      <c r="D2350" s="8">
        <f t="shared" si="623"/>
        <v>46085</v>
      </c>
      <c r="E2350" s="15">
        <v>1017</v>
      </c>
      <c r="F2350" s="15">
        <v>1022</v>
      </c>
      <c r="G2350" s="15">
        <f t="shared" si="624"/>
        <v>5</v>
      </c>
      <c r="H2350" s="16" t="s">
        <v>233</v>
      </c>
      <c r="I2350" s="10">
        <f t="shared" si="627"/>
        <v>514.28571428571433</v>
      </c>
      <c r="J2350" s="16"/>
      <c r="K2350" s="15">
        <v>1</v>
      </c>
      <c r="L2350" s="15">
        <v>155</v>
      </c>
      <c r="M2350" s="17"/>
      <c r="N2350" s="9"/>
      <c r="O2350" s="9"/>
      <c r="P2350" s="9"/>
      <c r="Q2350" s="9"/>
      <c r="R2350" s="9"/>
      <c r="S2350" s="10">
        <f t="shared" si="626"/>
        <v>514.28571428571433</v>
      </c>
    </row>
    <row r="2351" spans="2:19" customFormat="1" hidden="1" outlineLevel="1">
      <c r="B2351" s="13" t="s">
        <v>162</v>
      </c>
      <c r="C2351" s="7" t="str">
        <f t="shared" si="625"/>
        <v>ROLO KIT PATA LIUGONG CHASSIS RR063852 ANO 2024</v>
      </c>
      <c r="D2351" s="8">
        <f t="shared" si="623"/>
        <v>46086</v>
      </c>
      <c r="E2351" s="15"/>
      <c r="F2351" s="15"/>
      <c r="G2351" s="15">
        <f t="shared" ref="G2351:G2374" si="628">F2351-E2351</f>
        <v>0</v>
      </c>
      <c r="H2351" s="16" t="s">
        <v>233</v>
      </c>
      <c r="I2351" s="10">
        <f t="shared" si="627"/>
        <v>514.28571428571433</v>
      </c>
      <c r="J2351" s="16" t="s">
        <v>16</v>
      </c>
      <c r="K2351" s="15"/>
      <c r="L2351" s="15"/>
      <c r="M2351" s="17"/>
      <c r="N2351" s="9"/>
      <c r="O2351" s="18"/>
      <c r="P2351" s="9"/>
      <c r="Q2351" s="9"/>
      <c r="R2351" s="9"/>
      <c r="S2351" s="10">
        <f t="shared" si="626"/>
        <v>514.28571428571433</v>
      </c>
    </row>
    <row r="2352" spans="2:19" customFormat="1" hidden="1" outlineLevel="1">
      <c r="B2352" s="13" t="s">
        <v>162</v>
      </c>
      <c r="C2352" s="7" t="str">
        <f t="shared" si="625"/>
        <v>ROLO KIT PATA LIUGONG CHASSIS RR063852 ANO 2024</v>
      </c>
      <c r="D2352" s="8">
        <f t="shared" si="623"/>
        <v>46087</v>
      </c>
      <c r="E2352" s="15">
        <v>1025</v>
      </c>
      <c r="F2352" s="15">
        <v>1030</v>
      </c>
      <c r="G2352" s="15">
        <f t="shared" si="628"/>
        <v>5</v>
      </c>
      <c r="H2352" s="16" t="s">
        <v>233</v>
      </c>
      <c r="I2352" s="10">
        <f t="shared" si="627"/>
        <v>514.28571428571433</v>
      </c>
      <c r="J2352" s="16"/>
      <c r="K2352" s="15">
        <v>1</v>
      </c>
      <c r="L2352" s="15"/>
      <c r="M2352" s="17"/>
      <c r="N2352" s="9"/>
      <c r="O2352" s="18"/>
      <c r="P2352" s="9"/>
      <c r="Q2352" s="9"/>
      <c r="R2352" s="9"/>
      <c r="S2352" s="10">
        <f t="shared" si="626"/>
        <v>514.28571428571433</v>
      </c>
    </row>
    <row r="2353" spans="2:19" customFormat="1" hidden="1" outlineLevel="1">
      <c r="B2353" s="13" t="s">
        <v>162</v>
      </c>
      <c r="C2353" s="7" t="str">
        <f t="shared" si="625"/>
        <v>ROLO KIT PATA LIUGONG CHASSIS RR063852 ANO 2024</v>
      </c>
      <c r="D2353" s="8">
        <f t="shared" si="623"/>
        <v>46088</v>
      </c>
      <c r="E2353" s="15">
        <v>1030</v>
      </c>
      <c r="F2353" s="15">
        <v>1036</v>
      </c>
      <c r="G2353" s="15">
        <f t="shared" si="628"/>
        <v>6</v>
      </c>
      <c r="H2353" s="16" t="s">
        <v>233</v>
      </c>
      <c r="I2353" s="10">
        <f t="shared" si="627"/>
        <v>514.28571428571433</v>
      </c>
      <c r="J2353" s="16"/>
      <c r="K2353" s="15">
        <v>1</v>
      </c>
      <c r="L2353" s="15">
        <v>139</v>
      </c>
      <c r="M2353" s="17"/>
      <c r="N2353" s="9"/>
      <c r="O2353" s="18"/>
      <c r="P2353" s="9"/>
      <c r="Q2353" s="9"/>
      <c r="R2353" s="9"/>
      <c r="S2353" s="10">
        <f t="shared" si="626"/>
        <v>514.28571428571433</v>
      </c>
    </row>
    <row r="2354" spans="2:19" customFormat="1" hidden="1" outlineLevel="1">
      <c r="B2354" s="13" t="s">
        <v>162</v>
      </c>
      <c r="C2354" s="7" t="str">
        <f t="shared" si="625"/>
        <v>ROLO KIT PATA LIUGONG CHASSIS RR063852 ANO 2024</v>
      </c>
      <c r="D2354" s="8">
        <f t="shared" si="623"/>
        <v>46089</v>
      </c>
      <c r="E2354" s="15"/>
      <c r="F2354" s="15"/>
      <c r="G2354" s="15">
        <f t="shared" si="628"/>
        <v>0</v>
      </c>
      <c r="H2354" s="16" t="s">
        <v>233</v>
      </c>
      <c r="I2354" s="10">
        <f t="shared" si="627"/>
        <v>514.28571428571433</v>
      </c>
      <c r="J2354" s="16" t="s">
        <v>16</v>
      </c>
      <c r="K2354" s="15"/>
      <c r="L2354" s="15"/>
      <c r="M2354" s="17"/>
      <c r="N2354" s="9"/>
      <c r="O2354" s="18"/>
      <c r="P2354" s="9"/>
      <c r="Q2354" s="9"/>
      <c r="R2354" s="9"/>
      <c r="S2354" s="10">
        <f t="shared" si="626"/>
        <v>514.28571428571433</v>
      </c>
    </row>
    <row r="2355" spans="2:19" customFormat="1" hidden="1" outlineLevel="1">
      <c r="B2355" s="13" t="s">
        <v>162</v>
      </c>
      <c r="C2355" s="7" t="str">
        <f t="shared" si="625"/>
        <v>ROLO KIT PATA LIUGONG CHASSIS RR063852 ANO 2024</v>
      </c>
      <c r="D2355" s="8">
        <f t="shared" si="623"/>
        <v>46090</v>
      </c>
      <c r="E2355" s="15">
        <v>1036.2</v>
      </c>
      <c r="F2355" s="15">
        <v>1040.9000000000001</v>
      </c>
      <c r="G2355" s="15">
        <f t="shared" si="628"/>
        <v>4.7000000000000455</v>
      </c>
      <c r="H2355" s="16" t="s">
        <v>339</v>
      </c>
      <c r="I2355" s="10">
        <f t="shared" si="627"/>
        <v>514.28571428571433</v>
      </c>
      <c r="J2355" s="16" t="s">
        <v>16</v>
      </c>
      <c r="K2355" s="15"/>
      <c r="L2355" s="15"/>
      <c r="M2355" s="17"/>
      <c r="N2355" s="9"/>
      <c r="O2355" s="18">
        <f t="shared" ref="O2355:O2374" si="629">O2354</f>
        <v>0</v>
      </c>
      <c r="P2355" s="9"/>
      <c r="Q2355" s="9"/>
      <c r="R2355" s="9"/>
      <c r="S2355" s="10">
        <f t="shared" si="626"/>
        <v>514.28571428571433</v>
      </c>
    </row>
    <row r="2356" spans="2:19" customFormat="1" hidden="1" outlineLevel="1">
      <c r="B2356" s="13" t="s">
        <v>162</v>
      </c>
      <c r="C2356" s="7" t="str">
        <f t="shared" si="625"/>
        <v>ROLO KIT PATA LIUGONG CHASSIS RR063852 ANO 2024</v>
      </c>
      <c r="D2356" s="8">
        <f t="shared" si="623"/>
        <v>46091</v>
      </c>
      <c r="E2356" s="15">
        <v>1040.9000000000001</v>
      </c>
      <c r="F2356" s="15">
        <v>1047.0999999999999</v>
      </c>
      <c r="G2356" s="15">
        <f t="shared" si="628"/>
        <v>6.1999999999998181</v>
      </c>
      <c r="H2356" s="16" t="s">
        <v>339</v>
      </c>
      <c r="I2356" s="10">
        <f t="shared" si="627"/>
        <v>514.28571428571433</v>
      </c>
      <c r="J2356" s="16"/>
      <c r="K2356" s="15">
        <v>1</v>
      </c>
      <c r="L2356" s="15">
        <v>135</v>
      </c>
      <c r="M2356" s="17"/>
      <c r="N2356" s="9"/>
      <c r="O2356" s="18">
        <f t="shared" si="629"/>
        <v>0</v>
      </c>
      <c r="P2356" s="9"/>
      <c r="Q2356" s="9"/>
      <c r="R2356" s="9"/>
      <c r="S2356" s="10">
        <f t="shared" si="626"/>
        <v>514.28571428571433</v>
      </c>
    </row>
    <row r="2357" spans="2:19" customFormat="1" hidden="1" outlineLevel="1">
      <c r="B2357" s="13" t="s">
        <v>162</v>
      </c>
      <c r="C2357" s="7" t="str">
        <f t="shared" si="625"/>
        <v>ROLO KIT PATA LIUGONG CHASSIS RR063852 ANO 2024</v>
      </c>
      <c r="D2357" s="8">
        <f t="shared" si="623"/>
        <v>46092</v>
      </c>
      <c r="E2357" s="15">
        <v>1047.0999999999999</v>
      </c>
      <c r="F2357" s="15">
        <v>1056.4000000000001</v>
      </c>
      <c r="G2357" s="15">
        <f t="shared" si="628"/>
        <v>9.3000000000001819</v>
      </c>
      <c r="H2357" s="16" t="s">
        <v>339</v>
      </c>
      <c r="I2357" s="10">
        <f t="shared" si="627"/>
        <v>514.28571428571433</v>
      </c>
      <c r="J2357" s="16"/>
      <c r="K2357" s="15">
        <v>1</v>
      </c>
      <c r="L2357" s="15"/>
      <c r="M2357" s="17"/>
      <c r="N2357" s="9"/>
      <c r="O2357" s="18">
        <f t="shared" si="629"/>
        <v>0</v>
      </c>
      <c r="P2357" s="9"/>
      <c r="Q2357" s="9"/>
      <c r="R2357" s="9"/>
      <c r="S2357" s="10">
        <f t="shared" si="626"/>
        <v>514.28571428571433</v>
      </c>
    </row>
    <row r="2358" spans="2:19" customFormat="1" hidden="1" outlineLevel="1">
      <c r="B2358" s="13" t="s">
        <v>162</v>
      </c>
      <c r="C2358" s="7" t="str">
        <f t="shared" si="625"/>
        <v>ROLO KIT PATA LIUGONG CHASSIS RR063852 ANO 2024</v>
      </c>
      <c r="D2358" s="8">
        <f t="shared" si="623"/>
        <v>46093</v>
      </c>
      <c r="E2358" s="15"/>
      <c r="F2358" s="15"/>
      <c r="G2358" s="15">
        <f t="shared" si="628"/>
        <v>0</v>
      </c>
      <c r="H2358" s="16" t="s">
        <v>339</v>
      </c>
      <c r="I2358" s="10">
        <f t="shared" si="627"/>
        <v>514.28571428571433</v>
      </c>
      <c r="J2358" s="16" t="s">
        <v>16</v>
      </c>
      <c r="K2358" s="15"/>
      <c r="L2358" s="15"/>
      <c r="M2358" s="17"/>
      <c r="N2358" s="9"/>
      <c r="O2358" s="18">
        <f t="shared" si="629"/>
        <v>0</v>
      </c>
      <c r="P2358" s="9"/>
      <c r="Q2358" s="9"/>
      <c r="R2358" s="9"/>
      <c r="S2358" s="10">
        <f t="shared" si="626"/>
        <v>514.28571428571433</v>
      </c>
    </row>
    <row r="2359" spans="2:19" customFormat="1" hidden="1" outlineLevel="1">
      <c r="B2359" s="13" t="s">
        <v>162</v>
      </c>
      <c r="C2359" s="7" t="str">
        <f t="shared" si="625"/>
        <v>ROLO KIT PATA LIUGONG CHASSIS RR063852 ANO 2024</v>
      </c>
      <c r="D2359" s="8">
        <f t="shared" si="623"/>
        <v>46094</v>
      </c>
      <c r="E2359" s="15"/>
      <c r="F2359" s="15"/>
      <c r="G2359" s="15">
        <f t="shared" si="628"/>
        <v>0</v>
      </c>
      <c r="H2359" s="16" t="s">
        <v>339</v>
      </c>
      <c r="I2359" s="10">
        <f t="shared" si="627"/>
        <v>514.28571428571433</v>
      </c>
      <c r="J2359" s="16" t="s">
        <v>16</v>
      </c>
      <c r="K2359" s="15"/>
      <c r="L2359" s="15"/>
      <c r="M2359" s="17"/>
      <c r="N2359" s="9"/>
      <c r="O2359" s="18">
        <f t="shared" si="629"/>
        <v>0</v>
      </c>
      <c r="P2359" s="9"/>
      <c r="Q2359" s="9"/>
      <c r="R2359" s="9"/>
      <c r="S2359" s="10">
        <f t="shared" si="626"/>
        <v>514.28571428571433</v>
      </c>
    </row>
    <row r="2360" spans="2:19" customFormat="1" hidden="1" outlineLevel="1">
      <c r="B2360" s="13" t="s">
        <v>162</v>
      </c>
      <c r="C2360" s="7" t="str">
        <f t="shared" si="625"/>
        <v>ROLO KIT PATA LIUGONG CHASSIS RR063852 ANO 2024</v>
      </c>
      <c r="D2360" s="8">
        <f t="shared" si="623"/>
        <v>46095</v>
      </c>
      <c r="E2360" s="15"/>
      <c r="F2360" s="15"/>
      <c r="G2360" s="15">
        <f t="shared" si="628"/>
        <v>0</v>
      </c>
      <c r="H2360" s="16" t="s">
        <v>339</v>
      </c>
      <c r="I2360" s="10">
        <f t="shared" si="627"/>
        <v>514.28571428571433</v>
      </c>
      <c r="J2360" s="16" t="s">
        <v>16</v>
      </c>
      <c r="K2360" s="15"/>
      <c r="L2360" s="15"/>
      <c r="M2360" s="17"/>
      <c r="N2360" s="9"/>
      <c r="O2360" s="18">
        <f t="shared" si="629"/>
        <v>0</v>
      </c>
      <c r="P2360" s="9"/>
      <c r="Q2360" s="9"/>
      <c r="R2360" s="9"/>
      <c r="S2360" s="10">
        <f t="shared" si="626"/>
        <v>514.28571428571433</v>
      </c>
    </row>
    <row r="2361" spans="2:19" customFormat="1" hidden="1" outlineLevel="1">
      <c r="B2361" s="13" t="s">
        <v>162</v>
      </c>
      <c r="C2361" s="7" t="str">
        <f t="shared" si="625"/>
        <v>ROLO KIT PATA LIUGONG CHASSIS RR063852 ANO 2024</v>
      </c>
      <c r="D2361" s="8">
        <f t="shared" si="623"/>
        <v>46096</v>
      </c>
      <c r="E2361" s="15"/>
      <c r="F2361" s="15"/>
      <c r="G2361" s="15">
        <f t="shared" si="628"/>
        <v>0</v>
      </c>
      <c r="H2361" s="16" t="s">
        <v>339</v>
      </c>
      <c r="I2361" s="10">
        <f t="shared" si="627"/>
        <v>514.28571428571433</v>
      </c>
      <c r="J2361" s="16" t="s">
        <v>16</v>
      </c>
      <c r="K2361" s="15"/>
      <c r="L2361" s="15"/>
      <c r="M2361" s="17"/>
      <c r="N2361" s="9"/>
      <c r="O2361" s="18">
        <f t="shared" si="629"/>
        <v>0</v>
      </c>
      <c r="P2361" s="9"/>
      <c r="Q2361" s="9"/>
      <c r="R2361" s="9"/>
      <c r="S2361" s="10">
        <f t="shared" si="626"/>
        <v>514.28571428571433</v>
      </c>
    </row>
    <row r="2362" spans="2:19" customFormat="1" hidden="1" outlineLevel="1">
      <c r="B2362" s="13" t="s">
        <v>162</v>
      </c>
      <c r="C2362" s="7" t="str">
        <f t="shared" si="625"/>
        <v>ROLO KIT PATA LIUGONG CHASSIS RR063852 ANO 2024</v>
      </c>
      <c r="D2362" s="8">
        <f t="shared" si="623"/>
        <v>46097</v>
      </c>
      <c r="E2362" s="15"/>
      <c r="F2362" s="15"/>
      <c r="G2362" s="15">
        <f t="shared" si="628"/>
        <v>0</v>
      </c>
      <c r="H2362" s="16" t="s">
        <v>339</v>
      </c>
      <c r="I2362" s="10">
        <f t="shared" si="627"/>
        <v>514.28571428571433</v>
      </c>
      <c r="J2362" s="16" t="s">
        <v>16</v>
      </c>
      <c r="K2362" s="15"/>
      <c r="L2362" s="15"/>
      <c r="M2362" s="17"/>
      <c r="N2362" s="9"/>
      <c r="O2362" s="18">
        <f t="shared" si="629"/>
        <v>0</v>
      </c>
      <c r="P2362" s="9"/>
      <c r="Q2362" s="9"/>
      <c r="R2362" s="9"/>
      <c r="S2362" s="10">
        <f t="shared" si="626"/>
        <v>514.28571428571433</v>
      </c>
    </row>
    <row r="2363" spans="2:19" customFormat="1" hidden="1" outlineLevel="1">
      <c r="B2363" s="13" t="s">
        <v>162</v>
      </c>
      <c r="C2363" s="7" t="str">
        <f t="shared" si="625"/>
        <v>ROLO KIT PATA LIUGONG CHASSIS RR063852 ANO 2024</v>
      </c>
      <c r="D2363" s="8">
        <f t="shared" si="623"/>
        <v>46098</v>
      </c>
      <c r="E2363" s="15"/>
      <c r="F2363" s="15"/>
      <c r="G2363" s="15">
        <f t="shared" si="628"/>
        <v>0</v>
      </c>
      <c r="H2363" s="16" t="s">
        <v>339</v>
      </c>
      <c r="I2363" s="10">
        <f t="shared" si="627"/>
        <v>514.28571428571433</v>
      </c>
      <c r="J2363" s="16" t="s">
        <v>16</v>
      </c>
      <c r="K2363" s="15"/>
      <c r="L2363" s="15"/>
      <c r="M2363" s="17"/>
      <c r="N2363" s="9"/>
      <c r="O2363" s="18">
        <f t="shared" si="629"/>
        <v>0</v>
      </c>
      <c r="P2363" s="9"/>
      <c r="Q2363" s="9"/>
      <c r="R2363" s="9"/>
      <c r="S2363" s="10">
        <f t="shared" si="626"/>
        <v>514.28571428571433</v>
      </c>
    </row>
    <row r="2364" spans="2:19" customFormat="1" hidden="1" outlineLevel="1">
      <c r="B2364" s="13" t="s">
        <v>162</v>
      </c>
      <c r="C2364" s="7" t="str">
        <f t="shared" si="625"/>
        <v>ROLO KIT PATA LIUGONG CHASSIS RR063852 ANO 2024</v>
      </c>
      <c r="D2364" s="8">
        <f t="shared" si="623"/>
        <v>46099</v>
      </c>
      <c r="E2364" s="15"/>
      <c r="F2364" s="15"/>
      <c r="G2364" s="15">
        <f t="shared" si="628"/>
        <v>0</v>
      </c>
      <c r="H2364" s="16" t="s">
        <v>339</v>
      </c>
      <c r="I2364" s="10">
        <f t="shared" si="627"/>
        <v>514.28571428571433</v>
      </c>
      <c r="J2364" s="16" t="s">
        <v>16</v>
      </c>
      <c r="K2364" s="15"/>
      <c r="L2364" s="15"/>
      <c r="M2364" s="17"/>
      <c r="N2364" s="9"/>
      <c r="O2364" s="18">
        <f t="shared" si="629"/>
        <v>0</v>
      </c>
      <c r="P2364" s="9"/>
      <c r="Q2364" s="9"/>
      <c r="R2364" s="9"/>
      <c r="S2364" s="10">
        <f t="shared" si="626"/>
        <v>514.28571428571433</v>
      </c>
    </row>
    <row r="2365" spans="2:19" customFormat="1" hidden="1" outlineLevel="1">
      <c r="B2365" s="13" t="s">
        <v>162</v>
      </c>
      <c r="C2365" s="7" t="str">
        <f t="shared" si="625"/>
        <v>ROLO KIT PATA LIUGONG CHASSIS RR063852 ANO 2024</v>
      </c>
      <c r="D2365" s="8">
        <f t="shared" si="623"/>
        <v>46100</v>
      </c>
      <c r="E2365" s="15">
        <v>1056.4000000000001</v>
      </c>
      <c r="F2365" s="15">
        <v>1058.4000000000001</v>
      </c>
      <c r="G2365" s="15">
        <f t="shared" si="628"/>
        <v>2</v>
      </c>
      <c r="H2365" s="16" t="s">
        <v>339</v>
      </c>
      <c r="I2365" s="10">
        <f t="shared" si="627"/>
        <v>514.28571428571433</v>
      </c>
      <c r="J2365" s="16"/>
      <c r="K2365" s="15">
        <v>1</v>
      </c>
      <c r="L2365" s="15">
        <v>100</v>
      </c>
      <c r="M2365" s="17"/>
      <c r="N2365" s="9"/>
      <c r="O2365" s="18">
        <f t="shared" si="629"/>
        <v>0</v>
      </c>
      <c r="P2365" s="9"/>
      <c r="Q2365" s="9"/>
      <c r="R2365" s="9"/>
      <c r="S2365" s="10">
        <f t="shared" si="626"/>
        <v>514.28571428571433</v>
      </c>
    </row>
    <row r="2366" spans="2:19" customFormat="1" hidden="1" outlineLevel="1">
      <c r="B2366" s="13" t="s">
        <v>162</v>
      </c>
      <c r="C2366" s="7" t="str">
        <f t="shared" si="625"/>
        <v>ROLO KIT PATA LIUGONG CHASSIS RR063852 ANO 2024</v>
      </c>
      <c r="D2366" s="8">
        <f t="shared" si="623"/>
        <v>46101</v>
      </c>
      <c r="E2366" s="15">
        <v>1058.4000000000001</v>
      </c>
      <c r="F2366" s="15">
        <v>1062.0999999999999</v>
      </c>
      <c r="G2366" s="15">
        <f t="shared" si="628"/>
        <v>3.6999999999998181</v>
      </c>
      <c r="H2366" s="16" t="s">
        <v>339</v>
      </c>
      <c r="I2366" s="10">
        <f t="shared" si="627"/>
        <v>514.28571428571433</v>
      </c>
      <c r="J2366" s="16"/>
      <c r="K2366" s="15">
        <v>1</v>
      </c>
      <c r="L2366" s="15">
        <v>50</v>
      </c>
      <c r="M2366" s="17"/>
      <c r="N2366" s="9"/>
      <c r="O2366" s="18">
        <f t="shared" si="629"/>
        <v>0</v>
      </c>
      <c r="P2366" s="9"/>
      <c r="Q2366" s="9"/>
      <c r="R2366" s="9"/>
      <c r="S2366" s="10">
        <f t="shared" si="626"/>
        <v>514.28571428571433</v>
      </c>
    </row>
    <row r="2367" spans="2:19" customFormat="1" hidden="1" outlineLevel="1">
      <c r="B2367" s="13" t="s">
        <v>162</v>
      </c>
      <c r="C2367" s="7" t="str">
        <f t="shared" si="625"/>
        <v>ROLO KIT PATA LIUGONG CHASSIS RR063852 ANO 2024</v>
      </c>
      <c r="D2367" s="8">
        <f t="shared" si="623"/>
        <v>46102</v>
      </c>
      <c r="E2367" s="15"/>
      <c r="F2367" s="15"/>
      <c r="G2367" s="15">
        <f t="shared" si="628"/>
        <v>0</v>
      </c>
      <c r="H2367" s="16" t="s">
        <v>339</v>
      </c>
      <c r="I2367" s="10">
        <f t="shared" si="627"/>
        <v>514.28571428571433</v>
      </c>
      <c r="J2367" s="16" t="s">
        <v>16</v>
      </c>
      <c r="K2367" s="15"/>
      <c r="L2367" s="15"/>
      <c r="M2367" s="17"/>
      <c r="N2367" s="9"/>
      <c r="O2367" s="18">
        <f t="shared" si="629"/>
        <v>0</v>
      </c>
      <c r="P2367" s="9"/>
      <c r="Q2367" s="9"/>
      <c r="R2367" s="9"/>
      <c r="S2367" s="10">
        <f t="shared" si="626"/>
        <v>514.28571428571433</v>
      </c>
    </row>
    <row r="2368" spans="2:19" customFormat="1" hidden="1" outlineLevel="1">
      <c r="B2368" s="13" t="s">
        <v>162</v>
      </c>
      <c r="C2368" s="7" t="str">
        <f t="shared" si="625"/>
        <v>ROLO KIT PATA LIUGONG CHASSIS RR063852 ANO 2024</v>
      </c>
      <c r="D2368" s="8">
        <f t="shared" si="623"/>
        <v>46103</v>
      </c>
      <c r="E2368" s="15"/>
      <c r="F2368" s="15"/>
      <c r="G2368" s="15">
        <f t="shared" si="628"/>
        <v>0</v>
      </c>
      <c r="H2368" s="16" t="s">
        <v>339</v>
      </c>
      <c r="I2368" s="10">
        <f t="shared" si="627"/>
        <v>514.28571428571433</v>
      </c>
      <c r="J2368" s="16" t="s">
        <v>16</v>
      </c>
      <c r="K2368" s="15"/>
      <c r="L2368" s="15"/>
      <c r="M2368" s="17"/>
      <c r="N2368" s="9"/>
      <c r="O2368" s="18">
        <f t="shared" si="629"/>
        <v>0</v>
      </c>
      <c r="P2368" s="9"/>
      <c r="Q2368" s="9"/>
      <c r="R2368" s="9"/>
      <c r="S2368" s="10">
        <f t="shared" si="626"/>
        <v>514.28571428571433</v>
      </c>
    </row>
    <row r="2369" spans="2:20" customFormat="1" hidden="1" outlineLevel="1">
      <c r="B2369" s="13" t="s">
        <v>162</v>
      </c>
      <c r="C2369" s="7" t="str">
        <f t="shared" si="625"/>
        <v>ROLO KIT PATA LIUGONG CHASSIS RR063852 ANO 2024</v>
      </c>
      <c r="D2369" s="8">
        <f t="shared" si="623"/>
        <v>46104</v>
      </c>
      <c r="E2369" s="15"/>
      <c r="F2369" s="15"/>
      <c r="G2369" s="15">
        <f t="shared" si="628"/>
        <v>0</v>
      </c>
      <c r="H2369" s="16" t="s">
        <v>339</v>
      </c>
      <c r="I2369" s="10">
        <f t="shared" si="627"/>
        <v>514.28571428571433</v>
      </c>
      <c r="J2369" s="16" t="s">
        <v>16</v>
      </c>
      <c r="K2369" s="15"/>
      <c r="L2369" s="15"/>
      <c r="M2369" s="17"/>
      <c r="N2369" s="9"/>
      <c r="O2369" s="18">
        <f t="shared" si="629"/>
        <v>0</v>
      </c>
      <c r="P2369" s="9"/>
      <c r="Q2369" s="9"/>
      <c r="R2369" s="9"/>
      <c r="S2369" s="10">
        <f t="shared" si="626"/>
        <v>514.28571428571433</v>
      </c>
    </row>
    <row r="2370" spans="2:20" customFormat="1" hidden="1" outlineLevel="1">
      <c r="B2370" s="13" t="s">
        <v>162</v>
      </c>
      <c r="C2370" s="7" t="str">
        <f t="shared" si="625"/>
        <v>ROLO KIT PATA LIUGONG CHASSIS RR063852 ANO 2024</v>
      </c>
      <c r="D2370" s="8">
        <f t="shared" si="623"/>
        <v>46105</v>
      </c>
      <c r="E2370" s="15"/>
      <c r="F2370" s="15"/>
      <c r="G2370" s="15">
        <f t="shared" si="628"/>
        <v>0</v>
      </c>
      <c r="H2370" s="16" t="s">
        <v>339</v>
      </c>
      <c r="I2370" s="10">
        <f t="shared" si="627"/>
        <v>514.28571428571433</v>
      </c>
      <c r="J2370" s="16" t="s">
        <v>16</v>
      </c>
      <c r="K2370" s="15"/>
      <c r="L2370" s="15"/>
      <c r="M2370" s="17"/>
      <c r="N2370" s="9"/>
      <c r="O2370" s="18">
        <f t="shared" si="629"/>
        <v>0</v>
      </c>
      <c r="P2370" s="9"/>
      <c r="Q2370" s="9"/>
      <c r="R2370" s="9"/>
      <c r="S2370" s="10">
        <f t="shared" si="626"/>
        <v>514.28571428571433</v>
      </c>
    </row>
    <row r="2371" spans="2:20" customFormat="1" hidden="1" outlineLevel="1">
      <c r="B2371" s="13" t="s">
        <v>162</v>
      </c>
      <c r="C2371" s="7" t="str">
        <f t="shared" si="625"/>
        <v>ROLO KIT PATA LIUGONG CHASSIS RR063852 ANO 2024</v>
      </c>
      <c r="D2371" s="8">
        <f t="shared" si="623"/>
        <v>46106</v>
      </c>
      <c r="E2371" s="15"/>
      <c r="F2371" s="15"/>
      <c r="G2371" s="15">
        <f t="shared" si="628"/>
        <v>0</v>
      </c>
      <c r="H2371" s="16" t="s">
        <v>339</v>
      </c>
      <c r="I2371" s="10">
        <f t="shared" si="627"/>
        <v>514.28571428571433</v>
      </c>
      <c r="J2371" s="16" t="s">
        <v>16</v>
      </c>
      <c r="K2371" s="15"/>
      <c r="L2371" s="15"/>
      <c r="M2371" s="17"/>
      <c r="N2371" s="9"/>
      <c r="O2371" s="18">
        <f t="shared" si="629"/>
        <v>0</v>
      </c>
      <c r="P2371" s="9"/>
      <c r="Q2371" s="9"/>
      <c r="R2371" s="9"/>
      <c r="S2371" s="10">
        <f t="shared" si="626"/>
        <v>514.28571428571433</v>
      </c>
    </row>
    <row r="2372" spans="2:20" customFormat="1" hidden="1" outlineLevel="1">
      <c r="B2372" s="13" t="s">
        <v>162</v>
      </c>
      <c r="C2372" s="7" t="str">
        <f t="shared" si="625"/>
        <v>ROLO KIT PATA LIUGONG CHASSIS RR063852 ANO 2024</v>
      </c>
      <c r="D2372" s="8">
        <f t="shared" si="623"/>
        <v>46107</v>
      </c>
      <c r="E2372" s="15"/>
      <c r="F2372" s="15"/>
      <c r="G2372" s="15">
        <f t="shared" si="628"/>
        <v>0</v>
      </c>
      <c r="H2372" s="16" t="s">
        <v>339</v>
      </c>
      <c r="I2372" s="10">
        <f t="shared" si="627"/>
        <v>514.28571428571433</v>
      </c>
      <c r="J2372" s="16" t="s">
        <v>16</v>
      </c>
      <c r="K2372" s="15"/>
      <c r="L2372" s="15"/>
      <c r="M2372" s="17"/>
      <c r="N2372" s="9"/>
      <c r="O2372" s="18">
        <f t="shared" si="629"/>
        <v>0</v>
      </c>
      <c r="P2372" s="9"/>
      <c r="Q2372" s="9"/>
      <c r="R2372" s="9"/>
      <c r="S2372" s="10">
        <f t="shared" si="626"/>
        <v>514.28571428571433</v>
      </c>
    </row>
    <row r="2373" spans="2:20" customFormat="1" hidden="1" outlineLevel="1">
      <c r="B2373" s="13" t="s">
        <v>162</v>
      </c>
      <c r="C2373" s="7" t="str">
        <f t="shared" si="625"/>
        <v>ROLO KIT PATA LIUGONG CHASSIS RR063852 ANO 2024</v>
      </c>
      <c r="D2373" s="8">
        <f t="shared" si="623"/>
        <v>46108</v>
      </c>
      <c r="E2373" s="15"/>
      <c r="F2373" s="15"/>
      <c r="G2373" s="15">
        <f t="shared" si="628"/>
        <v>0</v>
      </c>
      <c r="H2373" s="16" t="s">
        <v>339</v>
      </c>
      <c r="I2373" s="10">
        <f t="shared" si="627"/>
        <v>514.28571428571433</v>
      </c>
      <c r="J2373" s="16" t="s">
        <v>16</v>
      </c>
      <c r="K2373" s="15"/>
      <c r="L2373" s="15"/>
      <c r="M2373" s="17"/>
      <c r="N2373" s="9"/>
      <c r="O2373" s="18">
        <f t="shared" si="629"/>
        <v>0</v>
      </c>
      <c r="P2373" s="9"/>
      <c r="Q2373" s="9"/>
      <c r="R2373" s="9"/>
      <c r="S2373" s="10">
        <f t="shared" si="626"/>
        <v>514.28571428571433</v>
      </c>
    </row>
    <row r="2374" spans="2:20" customFormat="1" hidden="1" outlineLevel="1">
      <c r="B2374" s="13" t="s">
        <v>162</v>
      </c>
      <c r="C2374" s="7" t="str">
        <f t="shared" si="625"/>
        <v>ROLO KIT PATA LIUGONG CHASSIS RR063852 ANO 2024</v>
      </c>
      <c r="D2374" s="8">
        <f t="shared" si="623"/>
        <v>46112</v>
      </c>
      <c r="E2374" s="15"/>
      <c r="F2374" s="15"/>
      <c r="G2374" s="15">
        <f t="shared" si="628"/>
        <v>0</v>
      </c>
      <c r="H2374" s="16" t="s">
        <v>339</v>
      </c>
      <c r="I2374" s="10">
        <f t="shared" si="627"/>
        <v>514.28571428571433</v>
      </c>
      <c r="J2374" s="16" t="s">
        <v>16</v>
      </c>
      <c r="K2374" s="15"/>
      <c r="L2374" s="15"/>
      <c r="M2374" s="17"/>
      <c r="N2374" s="9"/>
      <c r="O2374" s="18">
        <f t="shared" si="629"/>
        <v>0</v>
      </c>
      <c r="P2374" s="9"/>
      <c r="Q2374" s="9"/>
      <c r="R2374" s="9"/>
      <c r="S2374" s="10">
        <f t="shared" si="626"/>
        <v>514.28571428571433</v>
      </c>
    </row>
    <row r="2375" spans="2:20" customFormat="1" collapsed="1">
      <c r="B2375" s="13" t="s">
        <v>162</v>
      </c>
      <c r="D2375" s="1"/>
      <c r="E2375" s="2"/>
      <c r="F2375" s="2"/>
      <c r="G2375" s="2"/>
      <c r="K2375" s="2"/>
      <c r="L2375" s="2"/>
      <c r="O2375" s="2"/>
      <c r="P2375" s="2"/>
      <c r="Q2375" s="2"/>
      <c r="R2375" s="2"/>
    </row>
    <row r="2376" spans="2:20" customFormat="1">
      <c r="B2376" s="13" t="s">
        <v>162</v>
      </c>
      <c r="C2376" s="3" t="s">
        <v>165</v>
      </c>
      <c r="D2376" s="3"/>
      <c r="E2376" s="4"/>
      <c r="F2376" s="4"/>
      <c r="G2376" s="4"/>
      <c r="H2376" s="3"/>
      <c r="I2376" s="3"/>
      <c r="J2376" s="3"/>
      <c r="K2376" s="4"/>
      <c r="L2376" s="4"/>
      <c r="M2376" s="135" t="str">
        <f>M$1</f>
        <v>BM JANEIRO 2026</v>
      </c>
      <c r="N2376" s="135"/>
      <c r="O2376" s="135"/>
      <c r="P2376" s="19" t="s">
        <v>10</v>
      </c>
      <c r="Q2376" s="137" t="s">
        <v>263</v>
      </c>
      <c r="R2376" s="137"/>
      <c r="S2376" s="137"/>
    </row>
    <row r="2377" spans="2:20" customFormat="1">
      <c r="B2377" s="14"/>
      <c r="C2377" s="5" t="s">
        <v>1</v>
      </c>
      <c r="D2377" s="5" t="s">
        <v>11</v>
      </c>
      <c r="E2377" s="6" t="s">
        <v>12</v>
      </c>
      <c r="F2377" s="6" t="s">
        <v>13</v>
      </c>
      <c r="G2377" s="6" t="s">
        <v>14</v>
      </c>
      <c r="H2377" s="5" t="s">
        <v>3</v>
      </c>
      <c r="I2377" s="6" t="s">
        <v>15</v>
      </c>
      <c r="J2377" s="6" t="s">
        <v>16</v>
      </c>
      <c r="K2377" s="6" t="s">
        <v>17</v>
      </c>
      <c r="L2377" s="127" t="s">
        <v>18</v>
      </c>
      <c r="M2377" s="5" t="s">
        <v>11</v>
      </c>
      <c r="N2377" s="5" t="s">
        <v>19</v>
      </c>
      <c r="O2377" s="6" t="s">
        <v>2</v>
      </c>
      <c r="P2377" s="6" t="s">
        <v>20</v>
      </c>
      <c r="Q2377" s="6" t="s">
        <v>21</v>
      </c>
      <c r="R2377" s="6" t="s">
        <v>22</v>
      </c>
      <c r="S2377" s="6" t="s">
        <v>23</v>
      </c>
    </row>
    <row r="2378" spans="2:20" customFormat="1" hidden="1" outlineLevel="1">
      <c r="B2378" s="11" t="s">
        <v>164</v>
      </c>
      <c r="C2378" s="7" t="str">
        <f>C$2376</f>
        <v>ROLO KIT PATA LIUGONG CHASSIS RR063862 ANO 2024</v>
      </c>
      <c r="D2378" s="8">
        <f t="shared" ref="D2378:D2405" si="630">D2316</f>
        <v>46082</v>
      </c>
      <c r="E2378" s="15"/>
      <c r="F2378" s="15"/>
      <c r="G2378" s="15">
        <f t="shared" ref="G2378:G2381" si="631">F2378-E2378</f>
        <v>0</v>
      </c>
      <c r="H2378" s="16" t="s">
        <v>203</v>
      </c>
      <c r="I2378" s="10">
        <f>P2378</f>
        <v>514.28571428571433</v>
      </c>
      <c r="J2378" s="16" t="s">
        <v>16</v>
      </c>
      <c r="K2378" s="15"/>
      <c r="L2378" s="15"/>
      <c r="M2378" s="17"/>
      <c r="N2378" s="9"/>
      <c r="O2378" s="9">
        <v>14400</v>
      </c>
      <c r="P2378" s="9">
        <f>O2378/28</f>
        <v>514.28571428571433</v>
      </c>
      <c r="Q2378" s="9"/>
      <c r="R2378" s="85">
        <v>0</v>
      </c>
      <c r="S2378" s="10">
        <f>SUM(R2378+Q2378+I2378)</f>
        <v>514.28571428571433</v>
      </c>
    </row>
    <row r="2379" spans="2:20" customFormat="1" hidden="1" outlineLevel="1">
      <c r="B2379" s="12" t="s">
        <v>0</v>
      </c>
      <c r="C2379" s="7" t="str">
        <f t="shared" ref="C2379:C2405" si="632">C$2376</f>
        <v>ROLO KIT PATA LIUGONG CHASSIS RR063862 ANO 2024</v>
      </c>
      <c r="D2379" s="8">
        <f t="shared" si="630"/>
        <v>46083</v>
      </c>
      <c r="E2379" s="15"/>
      <c r="F2379" s="15"/>
      <c r="G2379" s="15">
        <f t="shared" si="631"/>
        <v>0</v>
      </c>
      <c r="H2379" s="16" t="s">
        <v>203</v>
      </c>
      <c r="I2379" s="10">
        <f>I2378</f>
        <v>514.28571428571433</v>
      </c>
      <c r="J2379" s="16" t="s">
        <v>16</v>
      </c>
      <c r="K2379" s="15"/>
      <c r="L2379" s="15"/>
      <c r="M2379" s="17"/>
      <c r="N2379" s="9"/>
      <c r="O2379" s="9"/>
      <c r="P2379" s="9"/>
      <c r="Q2379" s="9"/>
      <c r="R2379" s="85">
        <v>0</v>
      </c>
      <c r="S2379" s="10">
        <f t="shared" ref="S2379:S2405" si="633">SUM(R2379+Q2379+I2379)</f>
        <v>514.28571428571433</v>
      </c>
    </row>
    <row r="2380" spans="2:20" customFormat="1" hidden="1" outlineLevel="1">
      <c r="B2380" s="13" t="s">
        <v>164</v>
      </c>
      <c r="C2380" s="7" t="str">
        <f t="shared" si="632"/>
        <v>ROLO KIT PATA LIUGONG CHASSIS RR063862 ANO 2024</v>
      </c>
      <c r="D2380" s="8">
        <f t="shared" si="630"/>
        <v>46084</v>
      </c>
      <c r="E2380" s="15"/>
      <c r="F2380" s="15"/>
      <c r="G2380" s="15">
        <f t="shared" si="631"/>
        <v>0</v>
      </c>
      <c r="H2380" s="16" t="s">
        <v>203</v>
      </c>
      <c r="I2380" s="10">
        <f t="shared" ref="I2380:I2405" si="634">I2379</f>
        <v>514.28571428571433</v>
      </c>
      <c r="J2380" s="16" t="s">
        <v>16</v>
      </c>
      <c r="K2380" s="15"/>
      <c r="L2380" s="15"/>
      <c r="M2380" s="17"/>
      <c r="N2380" s="9"/>
      <c r="O2380" s="9"/>
      <c r="P2380" s="9"/>
      <c r="Q2380" s="9"/>
      <c r="R2380" s="85">
        <v>0</v>
      </c>
      <c r="S2380" s="10">
        <f t="shared" si="633"/>
        <v>514.28571428571433</v>
      </c>
    </row>
    <row r="2381" spans="2:20" customFormat="1" hidden="1" outlineLevel="1">
      <c r="B2381" s="13" t="s">
        <v>164</v>
      </c>
      <c r="C2381" s="7" t="str">
        <f t="shared" si="632"/>
        <v>ROLO KIT PATA LIUGONG CHASSIS RR063862 ANO 2024</v>
      </c>
      <c r="D2381" s="8">
        <f t="shared" si="630"/>
        <v>46085</v>
      </c>
      <c r="E2381" s="15">
        <v>1653.3</v>
      </c>
      <c r="F2381" s="15">
        <v>1657.2</v>
      </c>
      <c r="G2381" s="15">
        <f t="shared" si="631"/>
        <v>3.9000000000000909</v>
      </c>
      <c r="H2381" s="16" t="s">
        <v>203</v>
      </c>
      <c r="I2381" s="10">
        <f t="shared" si="634"/>
        <v>514.28571428571433</v>
      </c>
      <c r="J2381" s="16"/>
      <c r="K2381" s="15">
        <v>1</v>
      </c>
      <c r="L2381" s="15"/>
      <c r="M2381" s="17"/>
      <c r="N2381" s="9"/>
      <c r="O2381" s="9"/>
      <c r="P2381" s="9"/>
      <c r="Q2381" s="9"/>
      <c r="R2381" s="85">
        <v>0</v>
      </c>
      <c r="S2381" s="10">
        <f t="shared" si="633"/>
        <v>514.28571428571433</v>
      </c>
    </row>
    <row r="2382" spans="2:20" customFormat="1" hidden="1" outlineLevel="1">
      <c r="B2382" s="13" t="s">
        <v>164</v>
      </c>
      <c r="C2382" s="7" t="str">
        <f t="shared" si="632"/>
        <v>ROLO KIT PATA LIUGONG CHASSIS RR063862 ANO 2024</v>
      </c>
      <c r="D2382" s="114">
        <f t="shared" si="630"/>
        <v>46086</v>
      </c>
      <c r="E2382" s="15">
        <v>1657.2</v>
      </c>
      <c r="F2382" s="15">
        <v>1663.5</v>
      </c>
      <c r="G2382" s="15">
        <f t="shared" ref="G2382:G2405" si="635">F2382-E2382</f>
        <v>6.2999999999999545</v>
      </c>
      <c r="H2382" s="16" t="s">
        <v>203</v>
      </c>
      <c r="I2382" s="10">
        <f t="shared" si="634"/>
        <v>514.28571428571433</v>
      </c>
      <c r="J2382" s="16"/>
      <c r="K2382" s="15">
        <v>1</v>
      </c>
      <c r="L2382" s="15"/>
      <c r="M2382" s="17"/>
      <c r="N2382" s="9"/>
      <c r="O2382" s="9"/>
      <c r="P2382" s="9"/>
      <c r="Q2382" s="9"/>
      <c r="R2382" s="85">
        <v>0</v>
      </c>
      <c r="S2382" s="10">
        <f t="shared" si="633"/>
        <v>514.28571428571433</v>
      </c>
      <c r="T2382" s="76"/>
    </row>
    <row r="2383" spans="2:20" customFormat="1" hidden="1" outlineLevel="1">
      <c r="B2383" s="13" t="s">
        <v>164</v>
      </c>
      <c r="C2383" s="7" t="str">
        <f t="shared" si="632"/>
        <v>ROLO KIT PATA LIUGONG CHASSIS RR063862 ANO 2024</v>
      </c>
      <c r="D2383" s="8">
        <f t="shared" si="630"/>
        <v>46087</v>
      </c>
      <c r="E2383" s="15"/>
      <c r="F2383" s="15"/>
      <c r="G2383" s="15">
        <f t="shared" si="635"/>
        <v>0</v>
      </c>
      <c r="H2383" s="16" t="s">
        <v>203</v>
      </c>
      <c r="I2383" s="10">
        <f t="shared" si="634"/>
        <v>514.28571428571433</v>
      </c>
      <c r="J2383" s="16" t="s">
        <v>16</v>
      </c>
      <c r="K2383" s="15"/>
      <c r="L2383" s="15"/>
      <c r="M2383" s="17"/>
      <c r="N2383" s="9"/>
      <c r="O2383" s="9"/>
      <c r="P2383" s="9"/>
      <c r="Q2383" s="9"/>
      <c r="R2383" s="85">
        <v>0</v>
      </c>
      <c r="S2383" s="10">
        <f t="shared" si="633"/>
        <v>514.28571428571433</v>
      </c>
    </row>
    <row r="2384" spans="2:20" customFormat="1" hidden="1" outlineLevel="1">
      <c r="B2384" s="13" t="s">
        <v>164</v>
      </c>
      <c r="C2384" s="7" t="str">
        <f t="shared" si="632"/>
        <v>ROLO KIT PATA LIUGONG CHASSIS RR063862 ANO 2024</v>
      </c>
      <c r="D2384" s="8">
        <f t="shared" si="630"/>
        <v>46088</v>
      </c>
      <c r="E2384" s="15"/>
      <c r="F2384" s="15"/>
      <c r="G2384" s="15">
        <f t="shared" si="635"/>
        <v>0</v>
      </c>
      <c r="H2384" s="16" t="s">
        <v>203</v>
      </c>
      <c r="I2384" s="10">
        <f t="shared" si="634"/>
        <v>514.28571428571433</v>
      </c>
      <c r="J2384" s="16" t="s">
        <v>16</v>
      </c>
      <c r="K2384" s="15"/>
      <c r="L2384" s="15"/>
      <c r="M2384" s="17"/>
      <c r="N2384" s="9"/>
      <c r="O2384" s="18">
        <f t="shared" ref="O2384:O2405" si="636">O2383</f>
        <v>0</v>
      </c>
      <c r="P2384" s="9"/>
      <c r="Q2384" s="9"/>
      <c r="R2384" s="85">
        <v>0</v>
      </c>
      <c r="S2384" s="10">
        <f t="shared" si="633"/>
        <v>514.28571428571433</v>
      </c>
    </row>
    <row r="2385" spans="2:19" customFormat="1" hidden="1" outlineLevel="1">
      <c r="B2385" s="13" t="s">
        <v>164</v>
      </c>
      <c r="C2385" s="7" t="str">
        <f t="shared" si="632"/>
        <v>ROLO KIT PATA LIUGONG CHASSIS RR063862 ANO 2024</v>
      </c>
      <c r="D2385" s="8">
        <f t="shared" si="630"/>
        <v>46089</v>
      </c>
      <c r="E2385" s="15"/>
      <c r="F2385" s="15"/>
      <c r="G2385" s="15">
        <f t="shared" si="635"/>
        <v>0</v>
      </c>
      <c r="H2385" s="16" t="s">
        <v>203</v>
      </c>
      <c r="I2385" s="10">
        <f t="shared" si="634"/>
        <v>514.28571428571433</v>
      </c>
      <c r="J2385" s="16" t="s">
        <v>16</v>
      </c>
      <c r="K2385" s="15"/>
      <c r="L2385" s="15"/>
      <c r="M2385" s="17"/>
      <c r="N2385" s="9"/>
      <c r="O2385" s="18">
        <f t="shared" si="636"/>
        <v>0</v>
      </c>
      <c r="P2385" s="9"/>
      <c r="Q2385" s="9"/>
      <c r="R2385" s="85">
        <v>0</v>
      </c>
      <c r="S2385" s="10">
        <f t="shared" si="633"/>
        <v>514.28571428571433</v>
      </c>
    </row>
    <row r="2386" spans="2:19" customFormat="1" hidden="1" outlineLevel="1">
      <c r="B2386" s="13" t="s">
        <v>164</v>
      </c>
      <c r="C2386" s="7" t="str">
        <f t="shared" si="632"/>
        <v>ROLO KIT PATA LIUGONG CHASSIS RR063862 ANO 2024</v>
      </c>
      <c r="D2386" s="8">
        <f t="shared" si="630"/>
        <v>46090</v>
      </c>
      <c r="E2386" s="15"/>
      <c r="F2386" s="15"/>
      <c r="G2386" s="15">
        <f t="shared" si="635"/>
        <v>0</v>
      </c>
      <c r="H2386" s="16" t="s">
        <v>203</v>
      </c>
      <c r="I2386" s="10">
        <f t="shared" si="634"/>
        <v>514.28571428571433</v>
      </c>
      <c r="J2386" s="16" t="s">
        <v>16</v>
      </c>
      <c r="K2386" s="15"/>
      <c r="L2386" s="15"/>
      <c r="M2386" s="17"/>
      <c r="N2386" s="9"/>
      <c r="O2386" s="18">
        <f t="shared" si="636"/>
        <v>0</v>
      </c>
      <c r="P2386" s="9"/>
      <c r="Q2386" s="9"/>
      <c r="R2386" s="85">
        <v>0</v>
      </c>
      <c r="S2386" s="10">
        <f t="shared" si="633"/>
        <v>514.28571428571433</v>
      </c>
    </row>
    <row r="2387" spans="2:19" customFormat="1" hidden="1" outlineLevel="1">
      <c r="B2387" s="13" t="s">
        <v>164</v>
      </c>
      <c r="C2387" s="7" t="str">
        <f t="shared" si="632"/>
        <v>ROLO KIT PATA LIUGONG CHASSIS RR063862 ANO 2024</v>
      </c>
      <c r="D2387" s="8">
        <f t="shared" si="630"/>
        <v>46091</v>
      </c>
      <c r="E2387" s="15"/>
      <c r="F2387" s="15"/>
      <c r="G2387" s="15">
        <f t="shared" si="635"/>
        <v>0</v>
      </c>
      <c r="H2387" s="16" t="s">
        <v>203</v>
      </c>
      <c r="I2387" s="10">
        <f t="shared" si="634"/>
        <v>514.28571428571433</v>
      </c>
      <c r="J2387" s="16" t="s">
        <v>16</v>
      </c>
      <c r="K2387" s="15"/>
      <c r="L2387" s="15"/>
      <c r="M2387" s="17"/>
      <c r="N2387" s="9"/>
      <c r="O2387" s="18">
        <f t="shared" si="636"/>
        <v>0</v>
      </c>
      <c r="P2387" s="9"/>
      <c r="Q2387" s="9"/>
      <c r="R2387" s="85">
        <v>0</v>
      </c>
      <c r="S2387" s="10">
        <f t="shared" si="633"/>
        <v>514.28571428571433</v>
      </c>
    </row>
    <row r="2388" spans="2:19" customFormat="1" hidden="1" outlineLevel="1">
      <c r="B2388" s="13" t="s">
        <v>164</v>
      </c>
      <c r="C2388" s="7" t="str">
        <f t="shared" si="632"/>
        <v>ROLO KIT PATA LIUGONG CHASSIS RR063862 ANO 2024</v>
      </c>
      <c r="D2388" s="8">
        <f t="shared" si="630"/>
        <v>46092</v>
      </c>
      <c r="E2388" s="15"/>
      <c r="F2388" s="15"/>
      <c r="G2388" s="15">
        <f t="shared" si="635"/>
        <v>0</v>
      </c>
      <c r="H2388" s="16" t="s">
        <v>203</v>
      </c>
      <c r="I2388" s="10">
        <f t="shared" si="634"/>
        <v>514.28571428571433</v>
      </c>
      <c r="J2388" s="16" t="s">
        <v>16</v>
      </c>
      <c r="K2388" s="15"/>
      <c r="L2388" s="15"/>
      <c r="M2388" s="17"/>
      <c r="N2388" s="9"/>
      <c r="O2388" s="18">
        <f t="shared" si="636"/>
        <v>0</v>
      </c>
      <c r="P2388" s="9"/>
      <c r="Q2388" s="9"/>
      <c r="R2388" s="85">
        <v>0</v>
      </c>
      <c r="S2388" s="10">
        <f t="shared" si="633"/>
        <v>514.28571428571433</v>
      </c>
    </row>
    <row r="2389" spans="2:19" customFormat="1" hidden="1" outlineLevel="1">
      <c r="B2389" s="13" t="s">
        <v>164</v>
      </c>
      <c r="C2389" s="7" t="str">
        <f>C$2376</f>
        <v>ROLO KIT PATA LIUGONG CHASSIS RR063862 ANO 2024</v>
      </c>
      <c r="D2389" s="8">
        <f t="shared" si="630"/>
        <v>46093</v>
      </c>
      <c r="E2389" s="15"/>
      <c r="F2389" s="15"/>
      <c r="G2389" s="15">
        <f t="shared" si="635"/>
        <v>0</v>
      </c>
      <c r="H2389" s="16" t="s">
        <v>203</v>
      </c>
      <c r="I2389" s="10">
        <f t="shared" si="634"/>
        <v>514.28571428571433</v>
      </c>
      <c r="J2389" s="16" t="s">
        <v>16</v>
      </c>
      <c r="K2389" s="15"/>
      <c r="L2389" s="15"/>
      <c r="M2389" s="17"/>
      <c r="N2389" s="9"/>
      <c r="O2389" s="18">
        <f t="shared" si="636"/>
        <v>0</v>
      </c>
      <c r="P2389" s="9"/>
      <c r="Q2389" s="9"/>
      <c r="R2389" s="85">
        <v>0</v>
      </c>
      <c r="S2389" s="10">
        <f t="shared" si="633"/>
        <v>514.28571428571433</v>
      </c>
    </row>
    <row r="2390" spans="2:19" customFormat="1" hidden="1" outlineLevel="1">
      <c r="B2390" s="13" t="s">
        <v>164</v>
      </c>
      <c r="C2390" s="7" t="str">
        <f t="shared" si="632"/>
        <v>ROLO KIT PATA LIUGONG CHASSIS RR063862 ANO 2024</v>
      </c>
      <c r="D2390" s="8">
        <f t="shared" si="630"/>
        <v>46094</v>
      </c>
      <c r="E2390" s="15"/>
      <c r="F2390" s="15"/>
      <c r="G2390" s="15">
        <f t="shared" si="635"/>
        <v>0</v>
      </c>
      <c r="H2390" s="16" t="s">
        <v>203</v>
      </c>
      <c r="I2390" s="10">
        <f t="shared" si="634"/>
        <v>514.28571428571433</v>
      </c>
      <c r="J2390" s="16" t="s">
        <v>16</v>
      </c>
      <c r="K2390" s="15"/>
      <c r="L2390" s="15"/>
      <c r="M2390" s="17"/>
      <c r="N2390" s="9"/>
      <c r="O2390" s="18">
        <f t="shared" si="636"/>
        <v>0</v>
      </c>
      <c r="P2390" s="9"/>
      <c r="Q2390" s="9"/>
      <c r="R2390" s="85">
        <v>0</v>
      </c>
      <c r="S2390" s="10">
        <f t="shared" si="633"/>
        <v>514.28571428571433</v>
      </c>
    </row>
    <row r="2391" spans="2:19" customFormat="1" hidden="1" outlineLevel="1">
      <c r="B2391" s="13" t="s">
        <v>164</v>
      </c>
      <c r="C2391" s="7" t="str">
        <f t="shared" si="632"/>
        <v>ROLO KIT PATA LIUGONG CHASSIS RR063862 ANO 2024</v>
      </c>
      <c r="D2391" s="8">
        <f t="shared" si="630"/>
        <v>46095</v>
      </c>
      <c r="E2391" s="15"/>
      <c r="F2391" s="15"/>
      <c r="G2391" s="15">
        <f t="shared" si="635"/>
        <v>0</v>
      </c>
      <c r="H2391" s="16" t="s">
        <v>203</v>
      </c>
      <c r="I2391" s="10">
        <f t="shared" si="634"/>
        <v>514.28571428571433</v>
      </c>
      <c r="J2391" s="16" t="s">
        <v>16</v>
      </c>
      <c r="K2391" s="15"/>
      <c r="L2391" s="15"/>
      <c r="M2391" s="17"/>
      <c r="N2391" s="9"/>
      <c r="O2391" s="18">
        <f t="shared" si="636"/>
        <v>0</v>
      </c>
      <c r="P2391" s="9"/>
      <c r="Q2391" s="9"/>
      <c r="R2391" s="85">
        <v>0</v>
      </c>
      <c r="S2391" s="10">
        <f t="shared" si="633"/>
        <v>514.28571428571433</v>
      </c>
    </row>
    <row r="2392" spans="2:19" customFormat="1" hidden="1" outlineLevel="1">
      <c r="B2392" s="13" t="s">
        <v>164</v>
      </c>
      <c r="C2392" s="7" t="str">
        <f t="shared" si="632"/>
        <v>ROLO KIT PATA LIUGONG CHASSIS RR063862 ANO 2024</v>
      </c>
      <c r="D2392" s="8">
        <f t="shared" si="630"/>
        <v>46096</v>
      </c>
      <c r="E2392" s="15"/>
      <c r="F2392" s="15"/>
      <c r="G2392" s="15">
        <f t="shared" si="635"/>
        <v>0</v>
      </c>
      <c r="H2392" s="16" t="s">
        <v>203</v>
      </c>
      <c r="I2392" s="10">
        <f t="shared" si="634"/>
        <v>514.28571428571433</v>
      </c>
      <c r="J2392" s="16" t="s">
        <v>16</v>
      </c>
      <c r="K2392" s="15"/>
      <c r="L2392" s="15"/>
      <c r="M2392" s="17"/>
      <c r="N2392" s="9"/>
      <c r="O2392" s="18">
        <f t="shared" si="636"/>
        <v>0</v>
      </c>
      <c r="P2392" s="9"/>
      <c r="Q2392" s="9"/>
      <c r="R2392" s="85">
        <v>0</v>
      </c>
      <c r="S2392" s="10">
        <f t="shared" si="633"/>
        <v>514.28571428571433</v>
      </c>
    </row>
    <row r="2393" spans="2:19" customFormat="1" hidden="1" outlineLevel="1">
      <c r="B2393" s="13" t="s">
        <v>164</v>
      </c>
      <c r="C2393" s="7" t="str">
        <f t="shared" si="632"/>
        <v>ROLO KIT PATA LIUGONG CHASSIS RR063862 ANO 2024</v>
      </c>
      <c r="D2393" s="8">
        <f t="shared" si="630"/>
        <v>46097</v>
      </c>
      <c r="E2393" s="15"/>
      <c r="F2393" s="15"/>
      <c r="G2393" s="15">
        <f t="shared" si="635"/>
        <v>0</v>
      </c>
      <c r="H2393" s="16" t="s">
        <v>203</v>
      </c>
      <c r="I2393" s="10">
        <f t="shared" si="634"/>
        <v>514.28571428571433</v>
      </c>
      <c r="J2393" s="16" t="s">
        <v>16</v>
      </c>
      <c r="K2393" s="15"/>
      <c r="L2393" s="15"/>
      <c r="M2393" s="17"/>
      <c r="N2393" s="9"/>
      <c r="O2393" s="18">
        <f t="shared" si="636"/>
        <v>0</v>
      </c>
      <c r="P2393" s="9"/>
      <c r="Q2393" s="9"/>
      <c r="R2393" s="85">
        <v>0</v>
      </c>
      <c r="S2393" s="10">
        <f t="shared" si="633"/>
        <v>514.28571428571433</v>
      </c>
    </row>
    <row r="2394" spans="2:19" customFormat="1" hidden="1" outlineLevel="1">
      <c r="B2394" s="13" t="s">
        <v>164</v>
      </c>
      <c r="C2394" s="7" t="str">
        <f t="shared" si="632"/>
        <v>ROLO KIT PATA LIUGONG CHASSIS RR063862 ANO 2024</v>
      </c>
      <c r="D2394" s="8">
        <f t="shared" si="630"/>
        <v>46098</v>
      </c>
      <c r="E2394" s="15"/>
      <c r="F2394" s="15"/>
      <c r="G2394" s="15">
        <f t="shared" si="635"/>
        <v>0</v>
      </c>
      <c r="H2394" s="16" t="s">
        <v>203</v>
      </c>
      <c r="I2394" s="10">
        <f t="shared" si="634"/>
        <v>514.28571428571433</v>
      </c>
      <c r="J2394" s="16" t="s">
        <v>16</v>
      </c>
      <c r="K2394" s="15"/>
      <c r="L2394" s="15"/>
      <c r="M2394" s="17"/>
      <c r="N2394" s="9"/>
      <c r="O2394" s="18">
        <f t="shared" si="636"/>
        <v>0</v>
      </c>
      <c r="P2394" s="9"/>
      <c r="Q2394" s="9"/>
      <c r="R2394" s="85">
        <v>0</v>
      </c>
      <c r="S2394" s="10">
        <f t="shared" si="633"/>
        <v>514.28571428571433</v>
      </c>
    </row>
    <row r="2395" spans="2:19" customFormat="1" hidden="1" outlineLevel="1">
      <c r="B2395" s="13" t="s">
        <v>164</v>
      </c>
      <c r="C2395" s="7" t="str">
        <f t="shared" si="632"/>
        <v>ROLO KIT PATA LIUGONG CHASSIS RR063862 ANO 2024</v>
      </c>
      <c r="D2395" s="8">
        <f t="shared" si="630"/>
        <v>46099</v>
      </c>
      <c r="E2395" s="15"/>
      <c r="F2395" s="15"/>
      <c r="G2395" s="15">
        <f t="shared" si="635"/>
        <v>0</v>
      </c>
      <c r="H2395" s="16" t="s">
        <v>203</v>
      </c>
      <c r="I2395" s="10">
        <f t="shared" si="634"/>
        <v>514.28571428571433</v>
      </c>
      <c r="J2395" s="16" t="s">
        <v>16</v>
      </c>
      <c r="K2395" s="15"/>
      <c r="L2395" s="15"/>
      <c r="M2395" s="17"/>
      <c r="N2395" s="9"/>
      <c r="O2395" s="18">
        <f t="shared" si="636"/>
        <v>0</v>
      </c>
      <c r="P2395" s="9"/>
      <c r="Q2395" s="9"/>
      <c r="R2395" s="85">
        <v>0</v>
      </c>
      <c r="S2395" s="10">
        <f t="shared" si="633"/>
        <v>514.28571428571433</v>
      </c>
    </row>
    <row r="2396" spans="2:19" customFormat="1" hidden="1" outlineLevel="1">
      <c r="B2396" s="13" t="s">
        <v>164</v>
      </c>
      <c r="C2396" s="7" t="str">
        <f t="shared" si="632"/>
        <v>ROLO KIT PATA LIUGONG CHASSIS RR063862 ANO 2024</v>
      </c>
      <c r="D2396" s="8">
        <f t="shared" si="630"/>
        <v>46100</v>
      </c>
      <c r="E2396" s="15">
        <v>1664.7</v>
      </c>
      <c r="F2396" s="15">
        <v>1666.3</v>
      </c>
      <c r="G2396" s="15">
        <f t="shared" si="635"/>
        <v>1.5999999999999091</v>
      </c>
      <c r="H2396" s="16" t="s">
        <v>203</v>
      </c>
      <c r="I2396" s="10">
        <f t="shared" si="634"/>
        <v>514.28571428571433</v>
      </c>
      <c r="J2396" s="16"/>
      <c r="K2396" s="15">
        <v>1</v>
      </c>
      <c r="L2396" s="15"/>
      <c r="M2396" s="17"/>
      <c r="N2396" s="9"/>
      <c r="O2396" s="18">
        <f t="shared" si="636"/>
        <v>0</v>
      </c>
      <c r="P2396" s="9"/>
      <c r="Q2396" s="9"/>
      <c r="R2396" s="85">
        <v>0</v>
      </c>
      <c r="S2396" s="10">
        <f t="shared" si="633"/>
        <v>514.28571428571433</v>
      </c>
    </row>
    <row r="2397" spans="2:19" customFormat="1" hidden="1" outlineLevel="1">
      <c r="B2397" s="13" t="s">
        <v>164</v>
      </c>
      <c r="C2397" s="7" t="str">
        <f t="shared" si="632"/>
        <v>ROLO KIT PATA LIUGONG CHASSIS RR063862 ANO 2024</v>
      </c>
      <c r="D2397" s="8">
        <f t="shared" si="630"/>
        <v>46101</v>
      </c>
      <c r="E2397" s="15"/>
      <c r="F2397" s="15"/>
      <c r="G2397" s="15">
        <f t="shared" si="635"/>
        <v>0</v>
      </c>
      <c r="H2397" s="16" t="s">
        <v>203</v>
      </c>
      <c r="I2397" s="10">
        <f t="shared" si="634"/>
        <v>514.28571428571433</v>
      </c>
      <c r="J2397" s="16" t="s">
        <v>16</v>
      </c>
      <c r="K2397" s="15"/>
      <c r="L2397" s="15"/>
      <c r="M2397" s="17"/>
      <c r="N2397" s="9"/>
      <c r="O2397" s="18">
        <f t="shared" si="636"/>
        <v>0</v>
      </c>
      <c r="P2397" s="9"/>
      <c r="Q2397" s="9"/>
      <c r="R2397" s="85">
        <v>0</v>
      </c>
      <c r="S2397" s="10">
        <f t="shared" si="633"/>
        <v>514.28571428571433</v>
      </c>
    </row>
    <row r="2398" spans="2:19" customFormat="1" hidden="1" outlineLevel="1">
      <c r="B2398" s="13" t="s">
        <v>164</v>
      </c>
      <c r="C2398" s="7" t="str">
        <f t="shared" si="632"/>
        <v>ROLO KIT PATA LIUGONG CHASSIS RR063862 ANO 2024</v>
      </c>
      <c r="D2398" s="8">
        <f t="shared" si="630"/>
        <v>46102</v>
      </c>
      <c r="E2398" s="15"/>
      <c r="F2398" s="15"/>
      <c r="G2398" s="15">
        <f t="shared" si="635"/>
        <v>0</v>
      </c>
      <c r="H2398" s="16" t="s">
        <v>203</v>
      </c>
      <c r="I2398" s="10">
        <f t="shared" si="634"/>
        <v>514.28571428571433</v>
      </c>
      <c r="J2398" s="16" t="s">
        <v>16</v>
      </c>
      <c r="K2398" s="15"/>
      <c r="L2398" s="15"/>
      <c r="M2398" s="17"/>
      <c r="N2398" s="9"/>
      <c r="O2398" s="18">
        <f t="shared" si="636"/>
        <v>0</v>
      </c>
      <c r="P2398" s="9"/>
      <c r="Q2398" s="9"/>
      <c r="R2398" s="85">
        <v>0</v>
      </c>
      <c r="S2398" s="10">
        <f t="shared" si="633"/>
        <v>514.28571428571433</v>
      </c>
    </row>
    <row r="2399" spans="2:19" customFormat="1" hidden="1" outlineLevel="1">
      <c r="B2399" s="13" t="s">
        <v>164</v>
      </c>
      <c r="C2399" s="7" t="str">
        <f t="shared" si="632"/>
        <v>ROLO KIT PATA LIUGONG CHASSIS RR063862 ANO 2024</v>
      </c>
      <c r="D2399" s="8">
        <f t="shared" si="630"/>
        <v>46103</v>
      </c>
      <c r="E2399" s="15"/>
      <c r="F2399" s="15"/>
      <c r="G2399" s="15">
        <f t="shared" si="635"/>
        <v>0</v>
      </c>
      <c r="H2399" s="16" t="s">
        <v>203</v>
      </c>
      <c r="I2399" s="10">
        <f t="shared" si="634"/>
        <v>514.28571428571433</v>
      </c>
      <c r="J2399" s="16" t="s">
        <v>16</v>
      </c>
      <c r="K2399" s="15"/>
      <c r="L2399" s="15"/>
      <c r="M2399" s="17"/>
      <c r="N2399" s="9"/>
      <c r="O2399" s="18">
        <f t="shared" si="636"/>
        <v>0</v>
      </c>
      <c r="P2399" s="9"/>
      <c r="Q2399" s="9"/>
      <c r="R2399" s="85">
        <v>0</v>
      </c>
      <c r="S2399" s="10">
        <f t="shared" si="633"/>
        <v>514.28571428571433</v>
      </c>
    </row>
    <row r="2400" spans="2:19" customFormat="1" hidden="1" outlineLevel="1">
      <c r="B2400" s="13" t="s">
        <v>164</v>
      </c>
      <c r="C2400" s="7" t="str">
        <f t="shared" si="632"/>
        <v>ROLO KIT PATA LIUGONG CHASSIS RR063862 ANO 2024</v>
      </c>
      <c r="D2400" s="8">
        <f t="shared" si="630"/>
        <v>46104</v>
      </c>
      <c r="E2400" s="15"/>
      <c r="F2400" s="15"/>
      <c r="G2400" s="15">
        <f t="shared" si="635"/>
        <v>0</v>
      </c>
      <c r="H2400" s="16" t="s">
        <v>203</v>
      </c>
      <c r="I2400" s="10">
        <f t="shared" si="634"/>
        <v>514.28571428571433</v>
      </c>
      <c r="J2400" s="16" t="s">
        <v>16</v>
      </c>
      <c r="K2400" s="15"/>
      <c r="L2400" s="15"/>
      <c r="M2400" s="17"/>
      <c r="N2400" s="9"/>
      <c r="O2400" s="18">
        <f t="shared" si="636"/>
        <v>0</v>
      </c>
      <c r="P2400" s="9"/>
      <c r="Q2400" s="9"/>
      <c r="R2400" s="85">
        <v>0</v>
      </c>
      <c r="S2400" s="10">
        <f t="shared" si="633"/>
        <v>514.28571428571433</v>
      </c>
    </row>
    <row r="2401" spans="2:19" customFormat="1" hidden="1" outlineLevel="1">
      <c r="B2401" s="13" t="s">
        <v>164</v>
      </c>
      <c r="C2401" s="7" t="str">
        <f t="shared" si="632"/>
        <v>ROLO KIT PATA LIUGONG CHASSIS RR063862 ANO 2024</v>
      </c>
      <c r="D2401" s="8">
        <f t="shared" si="630"/>
        <v>46105</v>
      </c>
      <c r="E2401" s="15"/>
      <c r="F2401" s="15"/>
      <c r="G2401" s="15">
        <f t="shared" si="635"/>
        <v>0</v>
      </c>
      <c r="H2401" s="16" t="s">
        <v>203</v>
      </c>
      <c r="I2401" s="10">
        <f t="shared" si="634"/>
        <v>514.28571428571433</v>
      </c>
      <c r="J2401" s="16" t="s">
        <v>16</v>
      </c>
      <c r="K2401" s="15"/>
      <c r="L2401" s="15"/>
      <c r="M2401" s="17"/>
      <c r="N2401" s="9"/>
      <c r="O2401" s="18">
        <f t="shared" si="636"/>
        <v>0</v>
      </c>
      <c r="P2401" s="9"/>
      <c r="Q2401" s="9"/>
      <c r="R2401" s="85">
        <v>0</v>
      </c>
      <c r="S2401" s="10">
        <f t="shared" si="633"/>
        <v>514.28571428571433</v>
      </c>
    </row>
    <row r="2402" spans="2:19" customFormat="1" hidden="1" outlineLevel="1">
      <c r="B2402" s="13" t="s">
        <v>164</v>
      </c>
      <c r="C2402" s="7" t="str">
        <f t="shared" si="632"/>
        <v>ROLO KIT PATA LIUGONG CHASSIS RR063862 ANO 2024</v>
      </c>
      <c r="D2402" s="8">
        <f t="shared" si="630"/>
        <v>46106</v>
      </c>
      <c r="E2402" s="15"/>
      <c r="F2402" s="15"/>
      <c r="G2402" s="15">
        <f t="shared" si="635"/>
        <v>0</v>
      </c>
      <c r="H2402" s="16" t="s">
        <v>203</v>
      </c>
      <c r="I2402" s="10">
        <f t="shared" si="634"/>
        <v>514.28571428571433</v>
      </c>
      <c r="J2402" s="16" t="s">
        <v>16</v>
      </c>
      <c r="K2402" s="15"/>
      <c r="L2402" s="15"/>
      <c r="M2402" s="17"/>
      <c r="N2402" s="9"/>
      <c r="O2402" s="18">
        <f t="shared" si="636"/>
        <v>0</v>
      </c>
      <c r="P2402" s="9"/>
      <c r="Q2402" s="9"/>
      <c r="R2402" s="85">
        <v>0</v>
      </c>
      <c r="S2402" s="10">
        <f t="shared" si="633"/>
        <v>514.28571428571433</v>
      </c>
    </row>
    <row r="2403" spans="2:19" customFormat="1" hidden="1" outlineLevel="1">
      <c r="B2403" s="13" t="s">
        <v>164</v>
      </c>
      <c r="C2403" s="7" t="str">
        <f t="shared" si="632"/>
        <v>ROLO KIT PATA LIUGONG CHASSIS RR063862 ANO 2024</v>
      </c>
      <c r="D2403" s="8">
        <f t="shared" si="630"/>
        <v>46107</v>
      </c>
      <c r="E2403" s="15"/>
      <c r="F2403" s="15"/>
      <c r="G2403" s="15">
        <f t="shared" si="635"/>
        <v>0</v>
      </c>
      <c r="H2403" s="16" t="s">
        <v>203</v>
      </c>
      <c r="I2403" s="10">
        <f t="shared" si="634"/>
        <v>514.28571428571433</v>
      </c>
      <c r="J2403" s="16" t="s">
        <v>16</v>
      </c>
      <c r="K2403" s="15"/>
      <c r="L2403" s="15"/>
      <c r="M2403" s="17"/>
      <c r="N2403" s="9"/>
      <c r="O2403" s="18">
        <f t="shared" si="636"/>
        <v>0</v>
      </c>
      <c r="P2403" s="9"/>
      <c r="Q2403" s="9"/>
      <c r="R2403" s="85">
        <v>0</v>
      </c>
      <c r="S2403" s="10">
        <f t="shared" si="633"/>
        <v>514.28571428571433</v>
      </c>
    </row>
    <row r="2404" spans="2:19" customFormat="1" hidden="1" outlineLevel="1">
      <c r="B2404" s="13" t="s">
        <v>164</v>
      </c>
      <c r="C2404" s="7" t="str">
        <f t="shared" si="632"/>
        <v>ROLO KIT PATA LIUGONG CHASSIS RR063862 ANO 2024</v>
      </c>
      <c r="D2404" s="8">
        <f t="shared" si="630"/>
        <v>46108</v>
      </c>
      <c r="E2404" s="15"/>
      <c r="F2404" s="15"/>
      <c r="G2404" s="15">
        <f t="shared" si="635"/>
        <v>0</v>
      </c>
      <c r="H2404" s="16" t="s">
        <v>203</v>
      </c>
      <c r="I2404" s="10">
        <f t="shared" si="634"/>
        <v>514.28571428571433</v>
      </c>
      <c r="J2404" s="16" t="s">
        <v>16</v>
      </c>
      <c r="K2404" s="15"/>
      <c r="L2404" s="15"/>
      <c r="M2404" s="17"/>
      <c r="N2404" s="9"/>
      <c r="O2404" s="18">
        <f t="shared" si="636"/>
        <v>0</v>
      </c>
      <c r="P2404" s="9"/>
      <c r="Q2404" s="9"/>
      <c r="R2404" s="85">
        <v>0</v>
      </c>
      <c r="S2404" s="10">
        <f t="shared" si="633"/>
        <v>514.28571428571433</v>
      </c>
    </row>
    <row r="2405" spans="2:19" customFormat="1" hidden="1" outlineLevel="1">
      <c r="B2405" s="13" t="s">
        <v>164</v>
      </c>
      <c r="C2405" s="7" t="str">
        <f t="shared" si="632"/>
        <v>ROLO KIT PATA LIUGONG CHASSIS RR063862 ANO 2024</v>
      </c>
      <c r="D2405" s="8">
        <f t="shared" si="630"/>
        <v>46112</v>
      </c>
      <c r="E2405" s="15"/>
      <c r="F2405" s="15"/>
      <c r="G2405" s="15">
        <f t="shared" si="635"/>
        <v>0</v>
      </c>
      <c r="H2405" s="16" t="s">
        <v>203</v>
      </c>
      <c r="I2405" s="10">
        <f t="shared" si="634"/>
        <v>514.28571428571433</v>
      </c>
      <c r="J2405" s="16" t="s">
        <v>16</v>
      </c>
      <c r="K2405" s="15"/>
      <c r="L2405" s="15"/>
      <c r="M2405" s="17"/>
      <c r="N2405" s="9"/>
      <c r="O2405" s="18">
        <f t="shared" si="636"/>
        <v>0</v>
      </c>
      <c r="P2405" s="9"/>
      <c r="Q2405" s="9"/>
      <c r="R2405" s="85">
        <v>0</v>
      </c>
      <c r="S2405" s="10">
        <f t="shared" si="633"/>
        <v>514.28571428571433</v>
      </c>
    </row>
    <row r="2406" spans="2:19" customFormat="1" collapsed="1">
      <c r="B2406" s="13" t="s">
        <v>164</v>
      </c>
      <c r="D2406" s="1"/>
      <c r="E2406" s="2"/>
      <c r="F2406" s="2"/>
      <c r="G2406" s="2"/>
      <c r="K2406" s="2"/>
      <c r="L2406" s="2"/>
      <c r="O2406" s="2"/>
      <c r="P2406" s="2"/>
      <c r="Q2406" s="2"/>
      <c r="R2406" s="2"/>
    </row>
    <row r="2407" spans="2:19" customFormat="1">
      <c r="B2407" s="13" t="s">
        <v>164</v>
      </c>
      <c r="C2407" s="3" t="s">
        <v>167</v>
      </c>
      <c r="D2407" s="3"/>
      <c r="E2407" s="4"/>
      <c r="F2407" s="4"/>
      <c r="G2407" s="4"/>
      <c r="H2407" s="3"/>
      <c r="I2407" s="3"/>
      <c r="J2407" s="3"/>
      <c r="K2407" s="4"/>
      <c r="L2407" s="4"/>
      <c r="M2407" s="135" t="str">
        <f>M$1</f>
        <v>BM JANEIRO 2026</v>
      </c>
      <c r="N2407" s="135"/>
      <c r="O2407" s="135"/>
      <c r="P2407" s="19" t="s">
        <v>10</v>
      </c>
      <c r="Q2407" s="136" t="s">
        <v>192</v>
      </c>
      <c r="R2407" s="136"/>
      <c r="S2407" s="136"/>
    </row>
    <row r="2408" spans="2:19" customFormat="1">
      <c r="B2408" s="14"/>
      <c r="C2408" s="5" t="s">
        <v>1</v>
      </c>
      <c r="D2408" s="5" t="s">
        <v>11</v>
      </c>
      <c r="E2408" s="6" t="s">
        <v>12</v>
      </c>
      <c r="F2408" s="6" t="s">
        <v>13</v>
      </c>
      <c r="G2408" s="6" t="s">
        <v>14</v>
      </c>
      <c r="H2408" s="5" t="s">
        <v>3</v>
      </c>
      <c r="I2408" s="6" t="s">
        <v>15</v>
      </c>
      <c r="J2408" s="6" t="s">
        <v>16</v>
      </c>
      <c r="K2408" s="6" t="s">
        <v>17</v>
      </c>
      <c r="L2408" s="6" t="s">
        <v>18</v>
      </c>
      <c r="M2408" s="5" t="s">
        <v>11</v>
      </c>
      <c r="N2408" s="5" t="s">
        <v>19</v>
      </c>
      <c r="O2408" s="6" t="s">
        <v>2</v>
      </c>
      <c r="P2408" s="6" t="s">
        <v>20</v>
      </c>
      <c r="Q2408" s="6" t="s">
        <v>21</v>
      </c>
      <c r="R2408" s="6" t="s">
        <v>22</v>
      </c>
      <c r="S2408" s="6" t="s">
        <v>23</v>
      </c>
    </row>
    <row r="2409" spans="2:19" customFormat="1" hidden="1" outlineLevel="1">
      <c r="B2409" s="11" t="s">
        <v>166</v>
      </c>
      <c r="C2409" s="7" t="str">
        <f>C$2407</f>
        <v>ROLO KIT PATA LIUGONG CHASSIS RR063856 ANO 2024</v>
      </c>
      <c r="D2409" s="8">
        <f t="shared" ref="D2409:D2436" si="637">D2347</f>
        <v>46082</v>
      </c>
      <c r="E2409" s="15"/>
      <c r="F2409" s="15"/>
      <c r="G2409" s="15">
        <f t="shared" ref="G2409:G2412" si="638">F2409-E2409</f>
        <v>0</v>
      </c>
      <c r="H2409" s="16" t="s">
        <v>238</v>
      </c>
      <c r="I2409" s="10">
        <f>P2409</f>
        <v>514.28571428571433</v>
      </c>
      <c r="J2409" s="16" t="s">
        <v>16</v>
      </c>
      <c r="K2409" s="15"/>
      <c r="L2409" s="15"/>
      <c r="M2409" s="17"/>
      <c r="N2409" s="9"/>
      <c r="O2409" s="9">
        <v>14400</v>
      </c>
      <c r="P2409" s="9">
        <f>O2409/28</f>
        <v>514.28571428571433</v>
      </c>
      <c r="Q2409" s="9"/>
      <c r="R2409" s="72"/>
      <c r="S2409" s="10">
        <f>SUM(R2409+Q2409+I2409)</f>
        <v>514.28571428571433</v>
      </c>
    </row>
    <row r="2410" spans="2:19" customFormat="1" hidden="1" outlineLevel="1">
      <c r="B2410" s="12" t="s">
        <v>0</v>
      </c>
      <c r="C2410" s="7" t="str">
        <f t="shared" ref="C2410:C2436" si="639">C$2407</f>
        <v>ROLO KIT PATA LIUGONG CHASSIS RR063856 ANO 2024</v>
      </c>
      <c r="D2410" s="8">
        <f t="shared" si="637"/>
        <v>46083</v>
      </c>
      <c r="E2410" s="15">
        <v>918</v>
      </c>
      <c r="F2410" s="15">
        <v>921</v>
      </c>
      <c r="G2410" s="15">
        <f t="shared" si="638"/>
        <v>3</v>
      </c>
      <c r="H2410" s="16" t="s">
        <v>238</v>
      </c>
      <c r="I2410" s="10">
        <f>I2409</f>
        <v>514.28571428571433</v>
      </c>
      <c r="J2410" s="16"/>
      <c r="K2410" s="15">
        <v>1</v>
      </c>
      <c r="L2410" s="15"/>
      <c r="M2410" s="17"/>
      <c r="N2410" s="9"/>
      <c r="O2410" s="9"/>
      <c r="P2410" s="9"/>
      <c r="Q2410" s="9"/>
      <c r="R2410" s="72"/>
      <c r="S2410" s="10">
        <f t="shared" ref="S2410:S2436" si="640">SUM(R2410+Q2410+I2410)</f>
        <v>514.28571428571433</v>
      </c>
    </row>
    <row r="2411" spans="2:19" customFormat="1" hidden="1" outlineLevel="1">
      <c r="B2411" s="13" t="s">
        <v>166</v>
      </c>
      <c r="C2411" s="7" t="str">
        <f t="shared" si="639"/>
        <v>ROLO KIT PATA LIUGONG CHASSIS RR063856 ANO 2024</v>
      </c>
      <c r="D2411" s="8">
        <f t="shared" si="637"/>
        <v>46084</v>
      </c>
      <c r="E2411" s="15">
        <v>921</v>
      </c>
      <c r="F2411" s="15">
        <v>926</v>
      </c>
      <c r="G2411" s="15">
        <f t="shared" si="638"/>
        <v>5</v>
      </c>
      <c r="H2411" s="16" t="s">
        <v>238</v>
      </c>
      <c r="I2411" s="10">
        <f t="shared" ref="I2411:I2436" si="641">I2410</f>
        <v>514.28571428571433</v>
      </c>
      <c r="J2411" s="16"/>
      <c r="K2411" s="15">
        <v>1</v>
      </c>
      <c r="L2411" s="15">
        <v>50</v>
      </c>
      <c r="M2411" s="17">
        <v>46056</v>
      </c>
      <c r="N2411" s="9"/>
      <c r="O2411" s="9"/>
      <c r="P2411" s="9"/>
      <c r="Q2411" s="9"/>
      <c r="R2411" s="72"/>
      <c r="S2411" s="10">
        <f t="shared" si="640"/>
        <v>514.28571428571433</v>
      </c>
    </row>
    <row r="2412" spans="2:19" customFormat="1" hidden="1" outlineLevel="1">
      <c r="B2412" s="13" t="s">
        <v>166</v>
      </c>
      <c r="C2412" s="7" t="str">
        <f t="shared" si="639"/>
        <v>ROLO KIT PATA LIUGONG CHASSIS RR063856 ANO 2024</v>
      </c>
      <c r="D2412" s="8">
        <f t="shared" si="637"/>
        <v>46085</v>
      </c>
      <c r="E2412" s="15">
        <v>926</v>
      </c>
      <c r="F2412" s="15">
        <v>926</v>
      </c>
      <c r="G2412" s="15">
        <f t="shared" si="638"/>
        <v>0</v>
      </c>
      <c r="H2412" s="16" t="s">
        <v>238</v>
      </c>
      <c r="I2412" s="10">
        <f t="shared" si="641"/>
        <v>514.28571428571433</v>
      </c>
      <c r="J2412" s="16"/>
      <c r="K2412" s="15">
        <v>1</v>
      </c>
      <c r="L2412" s="15"/>
      <c r="M2412" s="17"/>
      <c r="N2412" s="9"/>
      <c r="O2412" s="9"/>
      <c r="P2412" s="9"/>
      <c r="Q2412" s="9"/>
      <c r="R2412" s="72"/>
      <c r="S2412" s="10">
        <f t="shared" si="640"/>
        <v>514.28571428571433</v>
      </c>
    </row>
    <row r="2413" spans="2:19" customFormat="1" hidden="1" outlineLevel="1">
      <c r="B2413" s="13" t="s">
        <v>166</v>
      </c>
      <c r="C2413" s="7" t="str">
        <f t="shared" si="639"/>
        <v>ROLO KIT PATA LIUGONG CHASSIS RR063856 ANO 2024</v>
      </c>
      <c r="D2413" s="8">
        <f t="shared" si="637"/>
        <v>46086</v>
      </c>
      <c r="E2413" s="15">
        <v>926</v>
      </c>
      <c r="F2413" s="15">
        <v>926</v>
      </c>
      <c r="G2413" s="15">
        <f t="shared" ref="G2413:G2436" si="642">F2413-E2413</f>
        <v>0</v>
      </c>
      <c r="H2413" s="16" t="s">
        <v>238</v>
      </c>
      <c r="I2413" s="10">
        <f t="shared" si="641"/>
        <v>514.28571428571433</v>
      </c>
      <c r="J2413" s="16"/>
      <c r="K2413" s="15">
        <v>1</v>
      </c>
      <c r="L2413" s="15"/>
      <c r="M2413" s="17"/>
      <c r="N2413" s="9"/>
      <c r="O2413" s="9"/>
      <c r="P2413" s="9"/>
      <c r="Q2413" s="9"/>
      <c r="R2413" s="72"/>
      <c r="S2413" s="10">
        <f t="shared" si="640"/>
        <v>514.28571428571433</v>
      </c>
    </row>
    <row r="2414" spans="2:19" customFormat="1" hidden="1" outlineLevel="1">
      <c r="B2414" s="13" t="s">
        <v>166</v>
      </c>
      <c r="C2414" s="7" t="str">
        <f t="shared" si="639"/>
        <v>ROLO KIT PATA LIUGONG CHASSIS RR063856 ANO 2024</v>
      </c>
      <c r="D2414" s="114">
        <f t="shared" si="637"/>
        <v>46087</v>
      </c>
      <c r="E2414" s="15">
        <v>926</v>
      </c>
      <c r="F2414" s="15">
        <v>926</v>
      </c>
      <c r="G2414" s="15">
        <f t="shared" si="642"/>
        <v>0</v>
      </c>
      <c r="H2414" s="16" t="s">
        <v>238</v>
      </c>
      <c r="I2414" s="10">
        <f t="shared" si="641"/>
        <v>514.28571428571433</v>
      </c>
      <c r="J2414" s="16"/>
      <c r="K2414" s="15">
        <v>1</v>
      </c>
      <c r="L2414" s="15"/>
      <c r="M2414" s="17"/>
      <c r="N2414" s="9"/>
      <c r="O2414" s="9"/>
      <c r="P2414" s="9"/>
      <c r="Q2414" s="9"/>
      <c r="R2414" s="72"/>
      <c r="S2414" s="10">
        <f t="shared" si="640"/>
        <v>514.28571428571433</v>
      </c>
    </row>
    <row r="2415" spans="2:19" customFormat="1" hidden="1" outlineLevel="1">
      <c r="B2415" s="13" t="s">
        <v>166</v>
      </c>
      <c r="C2415" s="7" t="str">
        <f t="shared" si="639"/>
        <v>ROLO KIT PATA LIUGONG CHASSIS RR063856 ANO 2024</v>
      </c>
      <c r="D2415" s="8">
        <f t="shared" si="637"/>
        <v>46088</v>
      </c>
      <c r="E2415" s="15"/>
      <c r="F2415" s="15"/>
      <c r="G2415" s="15">
        <f t="shared" si="642"/>
        <v>0</v>
      </c>
      <c r="H2415" s="16" t="s">
        <v>238</v>
      </c>
      <c r="I2415" s="10">
        <f t="shared" si="641"/>
        <v>514.28571428571433</v>
      </c>
      <c r="J2415" s="16" t="s">
        <v>16</v>
      </c>
      <c r="K2415" s="15"/>
      <c r="L2415" s="15"/>
      <c r="M2415" s="17"/>
      <c r="N2415" s="9"/>
      <c r="O2415" s="18"/>
      <c r="P2415" s="9"/>
      <c r="Q2415" s="9"/>
      <c r="R2415" s="72"/>
      <c r="S2415" s="10">
        <f t="shared" si="640"/>
        <v>514.28571428571433</v>
      </c>
    </row>
    <row r="2416" spans="2:19" customFormat="1" hidden="1" outlineLevel="1">
      <c r="B2416" s="13" t="s">
        <v>166</v>
      </c>
      <c r="C2416" s="7" t="str">
        <f t="shared" si="639"/>
        <v>ROLO KIT PATA LIUGONG CHASSIS RR063856 ANO 2024</v>
      </c>
      <c r="D2416" s="8">
        <f t="shared" si="637"/>
        <v>46089</v>
      </c>
      <c r="E2416" s="15"/>
      <c r="F2416" s="15"/>
      <c r="G2416" s="15">
        <f t="shared" si="642"/>
        <v>0</v>
      </c>
      <c r="H2416" s="16" t="s">
        <v>238</v>
      </c>
      <c r="I2416" s="10">
        <f t="shared" si="641"/>
        <v>514.28571428571433</v>
      </c>
      <c r="J2416" s="16" t="s">
        <v>16</v>
      </c>
      <c r="K2416" s="15"/>
      <c r="L2416" s="15"/>
      <c r="M2416" s="17"/>
      <c r="N2416" s="9"/>
      <c r="O2416" s="18"/>
      <c r="P2416" s="9"/>
      <c r="Q2416" s="9"/>
      <c r="R2416" s="72"/>
      <c r="S2416" s="10">
        <f t="shared" si="640"/>
        <v>514.28571428571433</v>
      </c>
    </row>
    <row r="2417" spans="2:19" customFormat="1" hidden="1" outlineLevel="1">
      <c r="B2417" s="13" t="s">
        <v>166</v>
      </c>
      <c r="C2417" s="7" t="str">
        <f t="shared" si="639"/>
        <v>ROLO KIT PATA LIUGONG CHASSIS RR063856 ANO 2024</v>
      </c>
      <c r="D2417" s="8">
        <f t="shared" si="637"/>
        <v>46090</v>
      </c>
      <c r="E2417" s="15"/>
      <c r="F2417" s="15"/>
      <c r="G2417" s="15">
        <f t="shared" si="642"/>
        <v>0</v>
      </c>
      <c r="H2417" s="16" t="s">
        <v>238</v>
      </c>
      <c r="I2417" s="10">
        <f t="shared" si="641"/>
        <v>514.28571428571433</v>
      </c>
      <c r="J2417" s="16" t="s">
        <v>16</v>
      </c>
      <c r="K2417" s="15"/>
      <c r="L2417" s="15"/>
      <c r="M2417" s="17"/>
      <c r="N2417" s="9"/>
      <c r="O2417" s="18">
        <f t="shared" ref="O2417:O2436" si="643">O2416</f>
        <v>0</v>
      </c>
      <c r="P2417" s="9"/>
      <c r="Q2417" s="9"/>
      <c r="R2417" s="72"/>
      <c r="S2417" s="10">
        <f t="shared" si="640"/>
        <v>514.28571428571433</v>
      </c>
    </row>
    <row r="2418" spans="2:19" customFormat="1" hidden="1" outlineLevel="1">
      <c r="B2418" s="13" t="s">
        <v>166</v>
      </c>
      <c r="C2418" s="7" t="str">
        <f t="shared" si="639"/>
        <v>ROLO KIT PATA LIUGONG CHASSIS RR063856 ANO 2024</v>
      </c>
      <c r="D2418" s="8">
        <f t="shared" si="637"/>
        <v>46091</v>
      </c>
      <c r="E2418" s="15"/>
      <c r="F2418" s="15"/>
      <c r="G2418" s="15">
        <f t="shared" si="642"/>
        <v>0</v>
      </c>
      <c r="H2418" s="16" t="s">
        <v>238</v>
      </c>
      <c r="I2418" s="10">
        <f t="shared" si="641"/>
        <v>514.28571428571433</v>
      </c>
      <c r="J2418" s="16" t="s">
        <v>16</v>
      </c>
      <c r="K2418" s="15"/>
      <c r="L2418" s="15"/>
      <c r="M2418" s="17"/>
      <c r="N2418" s="9"/>
      <c r="O2418" s="18">
        <f t="shared" si="643"/>
        <v>0</v>
      </c>
      <c r="P2418" s="9"/>
      <c r="Q2418" s="9"/>
      <c r="R2418" s="72"/>
      <c r="S2418" s="10">
        <f t="shared" si="640"/>
        <v>514.28571428571433</v>
      </c>
    </row>
    <row r="2419" spans="2:19" customFormat="1" hidden="1" outlineLevel="1">
      <c r="B2419" s="13" t="s">
        <v>166</v>
      </c>
      <c r="C2419" s="7" t="str">
        <f t="shared" si="639"/>
        <v>ROLO KIT PATA LIUGONG CHASSIS RR063856 ANO 2024</v>
      </c>
      <c r="D2419" s="8">
        <f t="shared" si="637"/>
        <v>46092</v>
      </c>
      <c r="E2419" s="15">
        <v>926</v>
      </c>
      <c r="F2419" s="15">
        <v>926</v>
      </c>
      <c r="G2419" s="15">
        <f t="shared" si="642"/>
        <v>0</v>
      </c>
      <c r="H2419" s="16" t="s">
        <v>238</v>
      </c>
      <c r="I2419" s="10">
        <f t="shared" si="641"/>
        <v>514.28571428571433</v>
      </c>
      <c r="J2419" s="16"/>
      <c r="K2419" s="15">
        <v>1</v>
      </c>
      <c r="L2419" s="15">
        <v>98</v>
      </c>
      <c r="M2419" s="17"/>
      <c r="N2419" s="9"/>
      <c r="O2419" s="18">
        <f t="shared" si="643"/>
        <v>0</v>
      </c>
      <c r="P2419" s="9"/>
      <c r="Q2419" s="9"/>
      <c r="R2419" s="72"/>
      <c r="S2419" s="10">
        <f t="shared" si="640"/>
        <v>514.28571428571433</v>
      </c>
    </row>
    <row r="2420" spans="2:19" customFormat="1" hidden="1" outlineLevel="1">
      <c r="B2420" s="13" t="s">
        <v>166</v>
      </c>
      <c r="C2420" s="7" t="str">
        <f t="shared" si="639"/>
        <v>ROLO KIT PATA LIUGONG CHASSIS RR063856 ANO 2024</v>
      </c>
      <c r="D2420" s="8">
        <f t="shared" si="637"/>
        <v>46093</v>
      </c>
      <c r="E2420" s="15">
        <v>926</v>
      </c>
      <c r="F2420" s="15">
        <v>930</v>
      </c>
      <c r="G2420" s="15">
        <f t="shared" si="642"/>
        <v>4</v>
      </c>
      <c r="H2420" s="16" t="s">
        <v>238</v>
      </c>
      <c r="I2420" s="10">
        <f t="shared" si="641"/>
        <v>514.28571428571433</v>
      </c>
      <c r="J2420" s="16"/>
      <c r="K2420" s="15">
        <v>1</v>
      </c>
      <c r="L2420" s="15"/>
      <c r="M2420" s="17"/>
      <c r="N2420" s="9"/>
      <c r="O2420" s="18">
        <f t="shared" si="643"/>
        <v>0</v>
      </c>
      <c r="P2420" s="9"/>
      <c r="Q2420" s="9"/>
      <c r="R2420" s="72"/>
      <c r="S2420" s="10">
        <f t="shared" si="640"/>
        <v>514.28571428571433</v>
      </c>
    </row>
    <row r="2421" spans="2:19" customFormat="1" hidden="1" outlineLevel="1">
      <c r="B2421" s="13" t="s">
        <v>166</v>
      </c>
      <c r="C2421" s="7" t="str">
        <f t="shared" si="639"/>
        <v>ROLO KIT PATA LIUGONG CHASSIS RR063856 ANO 2024</v>
      </c>
      <c r="D2421" s="8">
        <f t="shared" si="637"/>
        <v>46094</v>
      </c>
      <c r="E2421" s="15">
        <v>930</v>
      </c>
      <c r="F2421" s="15">
        <v>935</v>
      </c>
      <c r="G2421" s="15">
        <f t="shared" si="642"/>
        <v>5</v>
      </c>
      <c r="H2421" s="16" t="s">
        <v>279</v>
      </c>
      <c r="I2421" s="10">
        <f t="shared" si="641"/>
        <v>514.28571428571433</v>
      </c>
      <c r="J2421" s="16"/>
      <c r="K2421" s="15">
        <v>1</v>
      </c>
      <c r="L2421" s="15">
        <v>42</v>
      </c>
      <c r="M2421" s="17">
        <v>45701</v>
      </c>
      <c r="N2421" s="9"/>
      <c r="O2421" s="18">
        <f t="shared" si="643"/>
        <v>0</v>
      </c>
      <c r="P2421" s="9"/>
      <c r="Q2421" s="9"/>
      <c r="R2421" s="72"/>
      <c r="S2421" s="10">
        <f t="shared" si="640"/>
        <v>514.28571428571433</v>
      </c>
    </row>
    <row r="2422" spans="2:19" customFormat="1" hidden="1" outlineLevel="1">
      <c r="B2422" s="13" t="s">
        <v>166</v>
      </c>
      <c r="C2422" s="7" t="str">
        <f t="shared" si="639"/>
        <v>ROLO KIT PATA LIUGONG CHASSIS RR063856 ANO 2024</v>
      </c>
      <c r="D2422" s="8">
        <f t="shared" si="637"/>
        <v>46095</v>
      </c>
      <c r="E2422" s="15"/>
      <c r="F2422" s="15"/>
      <c r="G2422" s="15">
        <f t="shared" si="642"/>
        <v>0</v>
      </c>
      <c r="H2422" s="16" t="s">
        <v>279</v>
      </c>
      <c r="I2422" s="10">
        <f t="shared" si="641"/>
        <v>514.28571428571433</v>
      </c>
      <c r="J2422" s="16" t="s">
        <v>16</v>
      </c>
      <c r="K2422" s="15"/>
      <c r="L2422" s="15"/>
      <c r="M2422" s="17"/>
      <c r="N2422" s="9"/>
      <c r="O2422" s="18">
        <f t="shared" si="643"/>
        <v>0</v>
      </c>
      <c r="P2422" s="9"/>
      <c r="Q2422" s="9"/>
      <c r="R2422" s="72"/>
      <c r="S2422" s="10">
        <f t="shared" si="640"/>
        <v>514.28571428571433</v>
      </c>
    </row>
    <row r="2423" spans="2:19" customFormat="1" hidden="1" outlineLevel="1">
      <c r="B2423" s="13" t="s">
        <v>166</v>
      </c>
      <c r="C2423" s="7" t="str">
        <f t="shared" si="639"/>
        <v>ROLO KIT PATA LIUGONG CHASSIS RR063856 ANO 2024</v>
      </c>
      <c r="D2423" s="8">
        <f t="shared" si="637"/>
        <v>46096</v>
      </c>
      <c r="E2423" s="15"/>
      <c r="F2423" s="15"/>
      <c r="G2423" s="15">
        <f t="shared" si="642"/>
        <v>0</v>
      </c>
      <c r="H2423" s="16" t="s">
        <v>279</v>
      </c>
      <c r="I2423" s="10">
        <f t="shared" si="641"/>
        <v>514.28571428571433</v>
      </c>
      <c r="J2423" s="16" t="s">
        <v>16</v>
      </c>
      <c r="K2423" s="15"/>
      <c r="L2423" s="15"/>
      <c r="M2423" s="17"/>
      <c r="N2423" s="9"/>
      <c r="O2423" s="18">
        <f t="shared" si="643"/>
        <v>0</v>
      </c>
      <c r="P2423" s="9"/>
      <c r="Q2423" s="9"/>
      <c r="R2423" s="72"/>
      <c r="S2423" s="10">
        <f t="shared" si="640"/>
        <v>514.28571428571433</v>
      </c>
    </row>
    <row r="2424" spans="2:19" customFormat="1" hidden="1" outlineLevel="1">
      <c r="B2424" s="13" t="s">
        <v>166</v>
      </c>
      <c r="C2424" s="7" t="str">
        <f t="shared" si="639"/>
        <v>ROLO KIT PATA LIUGONG CHASSIS RR063856 ANO 2024</v>
      </c>
      <c r="D2424" s="8">
        <f t="shared" si="637"/>
        <v>46097</v>
      </c>
      <c r="E2424" s="15"/>
      <c r="F2424" s="15"/>
      <c r="G2424" s="15">
        <f t="shared" si="642"/>
        <v>0</v>
      </c>
      <c r="H2424" s="16" t="s">
        <v>279</v>
      </c>
      <c r="I2424" s="10">
        <f t="shared" si="641"/>
        <v>514.28571428571433</v>
      </c>
      <c r="J2424" s="16" t="s">
        <v>16</v>
      </c>
      <c r="K2424" s="15"/>
      <c r="L2424" s="15"/>
      <c r="M2424" s="17"/>
      <c r="N2424" s="9"/>
      <c r="O2424" s="18">
        <f t="shared" si="643"/>
        <v>0</v>
      </c>
      <c r="P2424" s="9"/>
      <c r="Q2424" s="9"/>
      <c r="R2424" s="72"/>
      <c r="S2424" s="10">
        <f t="shared" si="640"/>
        <v>514.28571428571433</v>
      </c>
    </row>
    <row r="2425" spans="2:19" customFormat="1" hidden="1" outlineLevel="1">
      <c r="B2425" s="13" t="s">
        <v>166</v>
      </c>
      <c r="C2425" s="7" t="str">
        <f t="shared" si="639"/>
        <v>ROLO KIT PATA LIUGONG CHASSIS RR063856 ANO 2024</v>
      </c>
      <c r="D2425" s="8">
        <f t="shared" si="637"/>
        <v>46098</v>
      </c>
      <c r="E2425" s="15"/>
      <c r="F2425" s="15"/>
      <c r="G2425" s="15">
        <f t="shared" si="642"/>
        <v>0</v>
      </c>
      <c r="H2425" s="16" t="s">
        <v>279</v>
      </c>
      <c r="I2425" s="10">
        <f t="shared" si="641"/>
        <v>514.28571428571433</v>
      </c>
      <c r="J2425" s="16" t="s">
        <v>16</v>
      </c>
      <c r="K2425" s="15"/>
      <c r="L2425" s="15"/>
      <c r="M2425" s="17"/>
      <c r="N2425" s="9"/>
      <c r="O2425" s="18">
        <f t="shared" si="643"/>
        <v>0</v>
      </c>
      <c r="P2425" s="9"/>
      <c r="Q2425" s="9"/>
      <c r="R2425" s="72"/>
      <c r="S2425" s="10">
        <f t="shared" si="640"/>
        <v>514.28571428571433</v>
      </c>
    </row>
    <row r="2426" spans="2:19" customFormat="1" hidden="1" outlineLevel="1">
      <c r="B2426" s="13" t="s">
        <v>166</v>
      </c>
      <c r="C2426" s="7" t="str">
        <f t="shared" si="639"/>
        <v>ROLO KIT PATA LIUGONG CHASSIS RR063856 ANO 2024</v>
      </c>
      <c r="D2426" s="8">
        <f t="shared" si="637"/>
        <v>46099</v>
      </c>
      <c r="E2426" s="15"/>
      <c r="F2426" s="15"/>
      <c r="G2426" s="15">
        <f t="shared" si="642"/>
        <v>0</v>
      </c>
      <c r="H2426" s="16" t="s">
        <v>279</v>
      </c>
      <c r="I2426" s="10">
        <f t="shared" si="641"/>
        <v>514.28571428571433</v>
      </c>
      <c r="J2426" s="16" t="s">
        <v>16</v>
      </c>
      <c r="K2426" s="15"/>
      <c r="L2426" s="15"/>
      <c r="M2426" s="17"/>
      <c r="N2426" s="9"/>
      <c r="O2426" s="18">
        <f t="shared" si="643"/>
        <v>0</v>
      </c>
      <c r="P2426" s="9"/>
      <c r="Q2426" s="9"/>
      <c r="R2426" s="72"/>
      <c r="S2426" s="10">
        <f t="shared" si="640"/>
        <v>514.28571428571433</v>
      </c>
    </row>
    <row r="2427" spans="2:19" customFormat="1" hidden="1" outlineLevel="1">
      <c r="B2427" s="13" t="s">
        <v>166</v>
      </c>
      <c r="C2427" s="7" t="str">
        <f t="shared" si="639"/>
        <v>ROLO KIT PATA LIUGONG CHASSIS RR063856 ANO 2024</v>
      </c>
      <c r="D2427" s="8">
        <f t="shared" si="637"/>
        <v>46100</v>
      </c>
      <c r="E2427" s="15">
        <v>935</v>
      </c>
      <c r="F2427" s="15">
        <v>942</v>
      </c>
      <c r="G2427" s="15">
        <f t="shared" si="642"/>
        <v>7</v>
      </c>
      <c r="H2427" s="16" t="s">
        <v>279</v>
      </c>
      <c r="I2427" s="10">
        <f t="shared" si="641"/>
        <v>514.28571428571433</v>
      </c>
      <c r="J2427" s="16"/>
      <c r="K2427" s="15">
        <v>1</v>
      </c>
      <c r="L2427" s="15">
        <v>114</v>
      </c>
      <c r="M2427" s="17">
        <v>46072</v>
      </c>
      <c r="N2427" s="9"/>
      <c r="O2427" s="18">
        <f t="shared" si="643"/>
        <v>0</v>
      </c>
      <c r="P2427" s="9"/>
      <c r="Q2427" s="9"/>
      <c r="R2427" s="72"/>
      <c r="S2427" s="10">
        <f t="shared" si="640"/>
        <v>514.28571428571433</v>
      </c>
    </row>
    <row r="2428" spans="2:19" customFormat="1" hidden="1" outlineLevel="1">
      <c r="B2428" s="13" t="s">
        <v>166</v>
      </c>
      <c r="C2428" s="7" t="str">
        <f t="shared" si="639"/>
        <v>ROLO KIT PATA LIUGONG CHASSIS RR063856 ANO 2024</v>
      </c>
      <c r="D2428" s="8">
        <f t="shared" si="637"/>
        <v>46101</v>
      </c>
      <c r="E2428" s="15">
        <v>942</v>
      </c>
      <c r="F2428" s="15">
        <v>948</v>
      </c>
      <c r="G2428" s="15">
        <f t="shared" si="642"/>
        <v>6</v>
      </c>
      <c r="H2428" s="16" t="s">
        <v>279</v>
      </c>
      <c r="I2428" s="10">
        <f t="shared" si="641"/>
        <v>514.28571428571433</v>
      </c>
      <c r="J2428" s="16"/>
      <c r="K2428" s="15">
        <v>1</v>
      </c>
      <c r="L2428" s="15"/>
      <c r="M2428" s="17"/>
      <c r="N2428" s="9"/>
      <c r="O2428" s="18">
        <f t="shared" si="643"/>
        <v>0</v>
      </c>
      <c r="P2428" s="9"/>
      <c r="Q2428" s="9"/>
      <c r="R2428" s="72"/>
      <c r="S2428" s="10">
        <f t="shared" si="640"/>
        <v>514.28571428571433</v>
      </c>
    </row>
    <row r="2429" spans="2:19" customFormat="1" hidden="1" outlineLevel="1">
      <c r="B2429" s="13" t="s">
        <v>166</v>
      </c>
      <c r="C2429" s="7" t="str">
        <f t="shared" si="639"/>
        <v>ROLO KIT PATA LIUGONG CHASSIS RR063856 ANO 2024</v>
      </c>
      <c r="D2429" s="8">
        <f t="shared" si="637"/>
        <v>46102</v>
      </c>
      <c r="E2429" s="15"/>
      <c r="F2429" s="15"/>
      <c r="G2429" s="15">
        <f t="shared" si="642"/>
        <v>0</v>
      </c>
      <c r="H2429" s="16" t="s">
        <v>279</v>
      </c>
      <c r="I2429" s="10">
        <f t="shared" si="641"/>
        <v>514.28571428571433</v>
      </c>
      <c r="J2429" s="16" t="s">
        <v>16</v>
      </c>
      <c r="K2429" s="15"/>
      <c r="L2429" s="15"/>
      <c r="M2429" s="17"/>
      <c r="N2429" s="9"/>
      <c r="O2429" s="18">
        <f t="shared" si="643"/>
        <v>0</v>
      </c>
      <c r="P2429" s="9"/>
      <c r="Q2429" s="9"/>
      <c r="R2429" s="72"/>
      <c r="S2429" s="10">
        <f t="shared" si="640"/>
        <v>514.28571428571433</v>
      </c>
    </row>
    <row r="2430" spans="2:19" customFormat="1" hidden="1" outlineLevel="1">
      <c r="B2430" s="13" t="s">
        <v>166</v>
      </c>
      <c r="C2430" s="7" t="str">
        <f t="shared" si="639"/>
        <v>ROLO KIT PATA LIUGONG CHASSIS RR063856 ANO 2024</v>
      </c>
      <c r="D2430" s="8">
        <f t="shared" si="637"/>
        <v>46103</v>
      </c>
      <c r="E2430" s="15"/>
      <c r="F2430" s="15"/>
      <c r="G2430" s="15">
        <f t="shared" si="642"/>
        <v>0</v>
      </c>
      <c r="H2430" s="16" t="s">
        <v>279</v>
      </c>
      <c r="I2430" s="10">
        <f t="shared" si="641"/>
        <v>514.28571428571433</v>
      </c>
      <c r="J2430" s="16" t="s">
        <v>16</v>
      </c>
      <c r="K2430" s="15"/>
      <c r="L2430" s="15"/>
      <c r="M2430" s="17"/>
      <c r="N2430" s="9"/>
      <c r="O2430" s="18">
        <f t="shared" si="643"/>
        <v>0</v>
      </c>
      <c r="P2430" s="9"/>
      <c r="Q2430" s="9"/>
      <c r="R2430" s="72"/>
      <c r="S2430" s="10">
        <f t="shared" si="640"/>
        <v>514.28571428571433</v>
      </c>
    </row>
    <row r="2431" spans="2:19" customFormat="1" hidden="1" outlineLevel="1">
      <c r="B2431" s="13" t="s">
        <v>166</v>
      </c>
      <c r="C2431" s="7" t="str">
        <f t="shared" si="639"/>
        <v>ROLO KIT PATA LIUGONG CHASSIS RR063856 ANO 2024</v>
      </c>
      <c r="D2431" s="8">
        <f t="shared" si="637"/>
        <v>46104</v>
      </c>
      <c r="E2431" s="15">
        <v>948</v>
      </c>
      <c r="F2431" s="15">
        <v>956.1</v>
      </c>
      <c r="G2431" s="15">
        <f t="shared" si="642"/>
        <v>8.1000000000000227</v>
      </c>
      <c r="H2431" s="16" t="s">
        <v>279</v>
      </c>
      <c r="I2431" s="10">
        <f t="shared" si="641"/>
        <v>514.28571428571433</v>
      </c>
      <c r="J2431" s="16"/>
      <c r="K2431" s="15">
        <v>1</v>
      </c>
      <c r="L2431" s="15">
        <v>150</v>
      </c>
      <c r="M2431" s="17">
        <v>46076</v>
      </c>
      <c r="N2431" s="9"/>
      <c r="O2431" s="18">
        <f t="shared" si="643"/>
        <v>0</v>
      </c>
      <c r="P2431" s="9"/>
      <c r="Q2431" s="9"/>
      <c r="R2431" s="72"/>
      <c r="S2431" s="10">
        <f t="shared" si="640"/>
        <v>514.28571428571433</v>
      </c>
    </row>
    <row r="2432" spans="2:19" customFormat="1" hidden="1" outlineLevel="1">
      <c r="B2432" s="13" t="s">
        <v>166</v>
      </c>
      <c r="C2432" s="7" t="str">
        <f t="shared" si="639"/>
        <v>ROLO KIT PATA LIUGONG CHASSIS RR063856 ANO 2024</v>
      </c>
      <c r="D2432" s="8">
        <f t="shared" si="637"/>
        <v>46105</v>
      </c>
      <c r="E2432" s="15">
        <v>956</v>
      </c>
      <c r="F2432" s="15">
        <v>963</v>
      </c>
      <c r="G2432" s="15">
        <f t="shared" si="642"/>
        <v>7</v>
      </c>
      <c r="H2432" s="16" t="s">
        <v>279</v>
      </c>
      <c r="I2432" s="10">
        <f t="shared" si="641"/>
        <v>514.28571428571433</v>
      </c>
      <c r="J2432" s="16" t="s">
        <v>16</v>
      </c>
      <c r="K2432" s="15"/>
      <c r="L2432" s="15"/>
      <c r="M2432" s="17"/>
      <c r="N2432" s="9"/>
      <c r="O2432" s="18">
        <f t="shared" si="643"/>
        <v>0</v>
      </c>
      <c r="P2432" s="9"/>
      <c r="Q2432" s="9"/>
      <c r="R2432" s="72"/>
      <c r="S2432" s="10">
        <f t="shared" si="640"/>
        <v>514.28571428571433</v>
      </c>
    </row>
    <row r="2433" spans="2:19" customFormat="1" hidden="1" outlineLevel="1">
      <c r="B2433" s="13" t="s">
        <v>166</v>
      </c>
      <c r="C2433" s="7" t="str">
        <f t="shared" si="639"/>
        <v>ROLO KIT PATA LIUGONG CHASSIS RR063856 ANO 2024</v>
      </c>
      <c r="D2433" s="8">
        <f t="shared" si="637"/>
        <v>46106</v>
      </c>
      <c r="E2433" s="15">
        <v>963</v>
      </c>
      <c r="F2433" s="15">
        <v>967</v>
      </c>
      <c r="G2433" s="15">
        <f t="shared" si="642"/>
        <v>4</v>
      </c>
      <c r="H2433" s="16" t="s">
        <v>279</v>
      </c>
      <c r="I2433" s="10">
        <f t="shared" si="641"/>
        <v>514.28571428571433</v>
      </c>
      <c r="J2433" s="16" t="s">
        <v>16</v>
      </c>
      <c r="K2433" s="15"/>
      <c r="L2433" s="15"/>
      <c r="M2433" s="17"/>
      <c r="N2433" s="9"/>
      <c r="O2433" s="18">
        <f t="shared" si="643"/>
        <v>0</v>
      </c>
      <c r="P2433" s="9"/>
      <c r="Q2433" s="9"/>
      <c r="R2433" s="72"/>
      <c r="S2433" s="10">
        <f t="shared" si="640"/>
        <v>514.28571428571433</v>
      </c>
    </row>
    <row r="2434" spans="2:19" customFormat="1" hidden="1" outlineLevel="1">
      <c r="B2434" s="13" t="s">
        <v>166</v>
      </c>
      <c r="C2434" s="7" t="str">
        <f t="shared" si="639"/>
        <v>ROLO KIT PATA LIUGONG CHASSIS RR063856 ANO 2024</v>
      </c>
      <c r="D2434" s="8">
        <f t="shared" si="637"/>
        <v>46107</v>
      </c>
      <c r="E2434" s="15"/>
      <c r="F2434" s="15"/>
      <c r="G2434" s="15">
        <f t="shared" si="642"/>
        <v>0</v>
      </c>
      <c r="H2434" s="16" t="s">
        <v>279</v>
      </c>
      <c r="I2434" s="10">
        <f t="shared" si="641"/>
        <v>514.28571428571433</v>
      </c>
      <c r="J2434" s="16" t="s">
        <v>16</v>
      </c>
      <c r="K2434" s="15"/>
      <c r="L2434" s="15"/>
      <c r="M2434" s="17"/>
      <c r="N2434" s="9"/>
      <c r="O2434" s="18">
        <f t="shared" si="643"/>
        <v>0</v>
      </c>
      <c r="P2434" s="9"/>
      <c r="Q2434" s="9"/>
      <c r="R2434" s="72"/>
      <c r="S2434" s="10">
        <f t="shared" si="640"/>
        <v>514.28571428571433</v>
      </c>
    </row>
    <row r="2435" spans="2:19" customFormat="1" hidden="1" outlineLevel="1">
      <c r="B2435" s="13" t="s">
        <v>166</v>
      </c>
      <c r="C2435" s="7" t="str">
        <f t="shared" si="639"/>
        <v>ROLO KIT PATA LIUGONG CHASSIS RR063856 ANO 2024</v>
      </c>
      <c r="D2435" s="8">
        <f t="shared" si="637"/>
        <v>46108</v>
      </c>
      <c r="E2435" s="15"/>
      <c r="F2435" s="15"/>
      <c r="G2435" s="15">
        <f t="shared" si="642"/>
        <v>0</v>
      </c>
      <c r="H2435" s="16" t="s">
        <v>279</v>
      </c>
      <c r="I2435" s="10">
        <f t="shared" si="641"/>
        <v>514.28571428571433</v>
      </c>
      <c r="J2435" s="16" t="s">
        <v>16</v>
      </c>
      <c r="K2435" s="15"/>
      <c r="L2435" s="15"/>
      <c r="M2435" s="17"/>
      <c r="N2435" s="9"/>
      <c r="O2435" s="18">
        <f t="shared" si="643"/>
        <v>0</v>
      </c>
      <c r="P2435" s="9"/>
      <c r="Q2435" s="9"/>
      <c r="R2435" s="72"/>
      <c r="S2435" s="10">
        <f t="shared" si="640"/>
        <v>514.28571428571433</v>
      </c>
    </row>
    <row r="2436" spans="2:19" customFormat="1" hidden="1" outlineLevel="1">
      <c r="B2436" s="13" t="s">
        <v>166</v>
      </c>
      <c r="C2436" s="7" t="str">
        <f t="shared" si="639"/>
        <v>ROLO KIT PATA LIUGONG CHASSIS RR063856 ANO 2024</v>
      </c>
      <c r="D2436" s="8">
        <f t="shared" si="637"/>
        <v>46112</v>
      </c>
      <c r="E2436" s="15"/>
      <c r="F2436" s="15"/>
      <c r="G2436" s="15">
        <f t="shared" si="642"/>
        <v>0</v>
      </c>
      <c r="H2436" s="16" t="s">
        <v>279</v>
      </c>
      <c r="I2436" s="10">
        <f t="shared" si="641"/>
        <v>514.28571428571433</v>
      </c>
      <c r="J2436" s="16" t="s">
        <v>16</v>
      </c>
      <c r="K2436" s="15"/>
      <c r="L2436" s="15"/>
      <c r="M2436" s="17"/>
      <c r="N2436" s="9"/>
      <c r="O2436" s="18">
        <f t="shared" si="643"/>
        <v>0</v>
      </c>
      <c r="P2436" s="9"/>
      <c r="Q2436" s="9"/>
      <c r="R2436" s="72"/>
      <c r="S2436" s="10">
        <f t="shared" si="640"/>
        <v>514.28571428571433</v>
      </c>
    </row>
    <row r="2437" spans="2:19" customFormat="1" collapsed="1">
      <c r="B2437" s="13" t="s">
        <v>166</v>
      </c>
      <c r="D2437" s="1"/>
      <c r="E2437" s="2"/>
      <c r="F2437" s="2"/>
      <c r="G2437" s="2"/>
      <c r="K2437" s="2"/>
      <c r="L2437" s="2"/>
      <c r="O2437" s="2"/>
      <c r="P2437" s="2"/>
      <c r="Q2437" s="2"/>
      <c r="R2437" s="2"/>
    </row>
    <row r="2438" spans="2:19" customFormat="1">
      <c r="B2438" s="13" t="s">
        <v>166</v>
      </c>
      <c r="C2438" s="3" t="s">
        <v>169</v>
      </c>
      <c r="D2438" s="3"/>
      <c r="E2438" s="4"/>
      <c r="F2438" s="4"/>
      <c r="G2438" s="4"/>
      <c r="H2438" s="3"/>
      <c r="I2438" s="3"/>
      <c r="J2438" s="3"/>
      <c r="K2438" s="4"/>
      <c r="L2438" s="4"/>
      <c r="M2438" s="135" t="str">
        <f>M$1</f>
        <v>BM JANEIRO 2026</v>
      </c>
      <c r="N2438" s="135"/>
      <c r="O2438" s="135"/>
      <c r="P2438" s="19" t="s">
        <v>10</v>
      </c>
      <c r="Q2438" s="136" t="s">
        <v>193</v>
      </c>
      <c r="R2438" s="136"/>
      <c r="S2438" s="136"/>
    </row>
    <row r="2439" spans="2:19" customFormat="1">
      <c r="B2439" s="14"/>
      <c r="C2439" s="5" t="s">
        <v>1</v>
      </c>
      <c r="D2439" s="5" t="s">
        <v>11</v>
      </c>
      <c r="E2439" s="6" t="s">
        <v>12</v>
      </c>
      <c r="F2439" s="6" t="s">
        <v>13</v>
      </c>
      <c r="G2439" s="6" t="s">
        <v>14</v>
      </c>
      <c r="H2439" s="5" t="s">
        <v>3</v>
      </c>
      <c r="I2439" s="6" t="s">
        <v>15</v>
      </c>
      <c r="J2439" s="6" t="s">
        <v>16</v>
      </c>
      <c r="K2439" s="6" t="s">
        <v>17</v>
      </c>
      <c r="L2439" s="6" t="s">
        <v>18</v>
      </c>
      <c r="M2439" s="5" t="s">
        <v>11</v>
      </c>
      <c r="N2439" s="5" t="s">
        <v>19</v>
      </c>
      <c r="O2439" s="6" t="s">
        <v>2</v>
      </c>
      <c r="P2439" s="6" t="s">
        <v>20</v>
      </c>
      <c r="Q2439" s="6" t="s">
        <v>21</v>
      </c>
      <c r="R2439" s="6" t="s">
        <v>22</v>
      </c>
      <c r="S2439" s="6" t="s">
        <v>23</v>
      </c>
    </row>
    <row r="2440" spans="2:19" customFormat="1" hidden="1" outlineLevel="1">
      <c r="B2440" s="68" t="s">
        <v>168</v>
      </c>
      <c r="C2440" s="7" t="str">
        <f>C$2438</f>
        <v xml:space="preserve">ROLO KIT PATA LIUGONG CHASSIS RR063835 ANO 2024 </v>
      </c>
      <c r="D2440" s="8">
        <f t="shared" ref="D2440:D2467" si="644">D2378</f>
        <v>46082</v>
      </c>
      <c r="E2440" s="15"/>
      <c r="F2440" s="15"/>
      <c r="G2440" s="15">
        <f>F2440-E2440</f>
        <v>0</v>
      </c>
      <c r="H2440" s="16" t="s">
        <v>6</v>
      </c>
      <c r="I2440" s="10">
        <f>P2440</f>
        <v>514.28571428571433</v>
      </c>
      <c r="J2440" s="16" t="s">
        <v>201</v>
      </c>
      <c r="K2440" s="15"/>
      <c r="L2440" s="15"/>
      <c r="M2440" s="17"/>
      <c r="N2440" s="9"/>
      <c r="O2440" s="9">
        <v>14400</v>
      </c>
      <c r="P2440" s="9">
        <f>O2440/28</f>
        <v>514.28571428571433</v>
      </c>
      <c r="Q2440" s="9"/>
      <c r="R2440" s="85">
        <v>0</v>
      </c>
      <c r="S2440" s="10">
        <f>SUM(R2440+Q2440+I2440)</f>
        <v>514.28571428571433</v>
      </c>
    </row>
    <row r="2441" spans="2:19" customFormat="1" hidden="1" outlineLevel="1">
      <c r="B2441" s="12" t="s">
        <v>0</v>
      </c>
      <c r="C2441" s="7" t="str">
        <f t="shared" ref="C2441:C2467" si="645">C$2438</f>
        <v xml:space="preserve">ROLO KIT PATA LIUGONG CHASSIS RR063835 ANO 2024 </v>
      </c>
      <c r="D2441" s="8">
        <f t="shared" si="644"/>
        <v>46083</v>
      </c>
      <c r="E2441" s="15"/>
      <c r="F2441" s="15"/>
      <c r="G2441" s="15">
        <f t="shared" ref="G2441:G2467" si="646">F2441-E2441</f>
        <v>0</v>
      </c>
      <c r="H2441" s="16" t="s">
        <v>6</v>
      </c>
      <c r="I2441" s="10">
        <f>I2440</f>
        <v>514.28571428571433</v>
      </c>
      <c r="J2441" s="16" t="s">
        <v>201</v>
      </c>
      <c r="K2441" s="15"/>
      <c r="L2441" s="15"/>
      <c r="M2441" s="17"/>
      <c r="N2441" s="9"/>
      <c r="O2441" s="9"/>
      <c r="P2441" s="9"/>
      <c r="Q2441" s="9"/>
      <c r="R2441" s="85">
        <v>0</v>
      </c>
      <c r="S2441" s="10">
        <f t="shared" ref="S2441:S2467" si="647">SUM(R2441+Q2441+I2441)</f>
        <v>514.28571428571433</v>
      </c>
    </row>
    <row r="2442" spans="2:19" customFormat="1" hidden="1" outlineLevel="1">
      <c r="B2442" s="13" t="s">
        <v>168</v>
      </c>
      <c r="C2442" s="7" t="str">
        <f t="shared" si="645"/>
        <v xml:space="preserve">ROLO KIT PATA LIUGONG CHASSIS RR063835 ANO 2024 </v>
      </c>
      <c r="D2442" s="8">
        <f t="shared" si="644"/>
        <v>46084</v>
      </c>
      <c r="E2442" s="15"/>
      <c r="F2442" s="15"/>
      <c r="G2442" s="15">
        <f t="shared" si="646"/>
        <v>0</v>
      </c>
      <c r="H2442" s="16" t="s">
        <v>6</v>
      </c>
      <c r="I2442" s="10">
        <f t="shared" ref="I2442:I2467" si="648">I2441</f>
        <v>514.28571428571433</v>
      </c>
      <c r="J2442" s="16" t="s">
        <v>201</v>
      </c>
      <c r="K2442" s="15"/>
      <c r="L2442" s="15"/>
      <c r="M2442" s="17"/>
      <c r="N2442" s="9"/>
      <c r="O2442" s="9"/>
      <c r="P2442" s="9"/>
      <c r="Q2442" s="9"/>
      <c r="R2442" s="85">
        <v>0</v>
      </c>
      <c r="S2442" s="10">
        <f t="shared" si="647"/>
        <v>514.28571428571433</v>
      </c>
    </row>
    <row r="2443" spans="2:19" customFormat="1" hidden="1" outlineLevel="1">
      <c r="B2443" s="13" t="s">
        <v>168</v>
      </c>
      <c r="C2443" s="7" t="str">
        <f t="shared" si="645"/>
        <v xml:space="preserve">ROLO KIT PATA LIUGONG CHASSIS RR063835 ANO 2024 </v>
      </c>
      <c r="D2443" s="8">
        <f t="shared" si="644"/>
        <v>46085</v>
      </c>
      <c r="E2443" s="15"/>
      <c r="F2443" s="15"/>
      <c r="G2443" s="15">
        <f t="shared" si="646"/>
        <v>0</v>
      </c>
      <c r="H2443" s="16" t="s">
        <v>6</v>
      </c>
      <c r="I2443" s="10">
        <f t="shared" si="648"/>
        <v>514.28571428571433</v>
      </c>
      <c r="J2443" s="16" t="s">
        <v>201</v>
      </c>
      <c r="K2443" s="15"/>
      <c r="L2443" s="15"/>
      <c r="M2443" s="17"/>
      <c r="N2443" s="9"/>
      <c r="O2443" s="9"/>
      <c r="P2443" s="9"/>
      <c r="Q2443" s="9"/>
      <c r="R2443" s="85">
        <v>0</v>
      </c>
      <c r="S2443" s="10">
        <f t="shared" si="647"/>
        <v>514.28571428571433</v>
      </c>
    </row>
    <row r="2444" spans="2:19" customFormat="1" hidden="1" outlineLevel="1">
      <c r="B2444" s="13" t="s">
        <v>168</v>
      </c>
      <c r="C2444" s="7" t="str">
        <f t="shared" si="645"/>
        <v xml:space="preserve">ROLO KIT PATA LIUGONG CHASSIS RR063835 ANO 2024 </v>
      </c>
      <c r="D2444" s="8">
        <f t="shared" si="644"/>
        <v>46086</v>
      </c>
      <c r="E2444" s="15"/>
      <c r="F2444" s="15"/>
      <c r="G2444" s="15">
        <f t="shared" si="646"/>
        <v>0</v>
      </c>
      <c r="H2444" s="16" t="s">
        <v>6</v>
      </c>
      <c r="I2444" s="10">
        <f t="shared" si="648"/>
        <v>514.28571428571433</v>
      </c>
      <c r="J2444" s="16" t="s">
        <v>201</v>
      </c>
      <c r="K2444" s="15"/>
      <c r="L2444" s="15"/>
      <c r="M2444" s="17"/>
      <c r="N2444" s="9"/>
      <c r="O2444" s="9"/>
      <c r="P2444" s="9"/>
      <c r="Q2444" s="9"/>
      <c r="R2444" s="85">
        <v>0</v>
      </c>
      <c r="S2444" s="10">
        <f t="shared" si="647"/>
        <v>514.28571428571433</v>
      </c>
    </row>
    <row r="2445" spans="2:19" customFormat="1" hidden="1" outlineLevel="1">
      <c r="B2445" s="13" t="s">
        <v>168</v>
      </c>
      <c r="C2445" s="7" t="str">
        <f t="shared" si="645"/>
        <v xml:space="preserve">ROLO KIT PATA LIUGONG CHASSIS RR063835 ANO 2024 </v>
      </c>
      <c r="D2445" s="8">
        <f t="shared" si="644"/>
        <v>46087</v>
      </c>
      <c r="E2445" s="15"/>
      <c r="F2445" s="15"/>
      <c r="G2445" s="15">
        <f t="shared" si="646"/>
        <v>0</v>
      </c>
      <c r="H2445" s="16" t="s">
        <v>6</v>
      </c>
      <c r="I2445" s="10">
        <f t="shared" si="648"/>
        <v>514.28571428571433</v>
      </c>
      <c r="J2445" s="16" t="s">
        <v>201</v>
      </c>
      <c r="K2445" s="15"/>
      <c r="L2445" s="15"/>
      <c r="M2445" s="17"/>
      <c r="N2445" s="9"/>
      <c r="O2445" s="18"/>
      <c r="P2445" s="9"/>
      <c r="Q2445" s="9"/>
      <c r="R2445" s="85">
        <v>0</v>
      </c>
      <c r="S2445" s="10">
        <f t="shared" si="647"/>
        <v>514.28571428571433</v>
      </c>
    </row>
    <row r="2446" spans="2:19" customFormat="1" hidden="1" outlineLevel="1">
      <c r="B2446" s="13" t="s">
        <v>168</v>
      </c>
      <c r="C2446" s="7" t="str">
        <f t="shared" si="645"/>
        <v xml:space="preserve">ROLO KIT PATA LIUGONG CHASSIS RR063835 ANO 2024 </v>
      </c>
      <c r="D2446" s="8">
        <f t="shared" si="644"/>
        <v>46088</v>
      </c>
      <c r="E2446" s="15"/>
      <c r="F2446" s="15"/>
      <c r="G2446" s="15">
        <f t="shared" si="646"/>
        <v>0</v>
      </c>
      <c r="H2446" s="16" t="s">
        <v>6</v>
      </c>
      <c r="I2446" s="10">
        <f t="shared" si="648"/>
        <v>514.28571428571433</v>
      </c>
      <c r="J2446" s="16" t="s">
        <v>201</v>
      </c>
      <c r="K2446" s="15"/>
      <c r="L2446" s="15"/>
      <c r="M2446" s="17"/>
      <c r="N2446" s="9"/>
      <c r="O2446" s="18"/>
      <c r="P2446" s="9"/>
      <c r="Q2446" s="9"/>
      <c r="R2446" s="85">
        <v>0</v>
      </c>
      <c r="S2446" s="10">
        <f t="shared" si="647"/>
        <v>514.28571428571433</v>
      </c>
    </row>
    <row r="2447" spans="2:19" customFormat="1" hidden="1" outlineLevel="1">
      <c r="B2447" s="13" t="s">
        <v>168</v>
      </c>
      <c r="C2447" s="7" t="str">
        <f t="shared" si="645"/>
        <v xml:space="preserve">ROLO KIT PATA LIUGONG CHASSIS RR063835 ANO 2024 </v>
      </c>
      <c r="D2447" s="8">
        <f t="shared" si="644"/>
        <v>46089</v>
      </c>
      <c r="E2447" s="15"/>
      <c r="F2447" s="15"/>
      <c r="G2447" s="15">
        <f t="shared" si="646"/>
        <v>0</v>
      </c>
      <c r="H2447" s="16" t="s">
        <v>6</v>
      </c>
      <c r="I2447" s="10">
        <f t="shared" si="648"/>
        <v>514.28571428571433</v>
      </c>
      <c r="J2447" s="16" t="s">
        <v>201</v>
      </c>
      <c r="K2447" s="15"/>
      <c r="L2447" s="15"/>
      <c r="M2447" s="17"/>
      <c r="N2447" s="9"/>
      <c r="O2447" s="18"/>
      <c r="P2447" s="9"/>
      <c r="Q2447" s="9"/>
      <c r="R2447" s="85">
        <v>0</v>
      </c>
      <c r="S2447" s="10">
        <f t="shared" si="647"/>
        <v>514.28571428571433</v>
      </c>
    </row>
    <row r="2448" spans="2:19" customFormat="1" hidden="1" outlineLevel="1">
      <c r="B2448" s="13" t="s">
        <v>168</v>
      </c>
      <c r="C2448" s="7" t="str">
        <f t="shared" si="645"/>
        <v xml:space="preserve">ROLO KIT PATA LIUGONG CHASSIS RR063835 ANO 2024 </v>
      </c>
      <c r="D2448" s="8">
        <f t="shared" si="644"/>
        <v>46090</v>
      </c>
      <c r="E2448" s="15"/>
      <c r="F2448" s="15"/>
      <c r="G2448" s="15">
        <f t="shared" si="646"/>
        <v>0</v>
      </c>
      <c r="H2448" s="16" t="s">
        <v>6</v>
      </c>
      <c r="I2448" s="10">
        <f t="shared" si="648"/>
        <v>514.28571428571433</v>
      </c>
      <c r="J2448" s="16" t="s">
        <v>201</v>
      </c>
      <c r="K2448" s="15"/>
      <c r="L2448" s="15"/>
      <c r="M2448" s="17"/>
      <c r="N2448" s="9"/>
      <c r="O2448" s="18"/>
      <c r="P2448" s="9"/>
      <c r="Q2448" s="9"/>
      <c r="R2448" s="85">
        <v>0</v>
      </c>
      <c r="S2448" s="10">
        <f t="shared" si="647"/>
        <v>514.28571428571433</v>
      </c>
    </row>
    <row r="2449" spans="2:19" customFormat="1" hidden="1" outlineLevel="1">
      <c r="B2449" s="13" t="s">
        <v>168</v>
      </c>
      <c r="C2449" s="7" t="str">
        <f t="shared" si="645"/>
        <v xml:space="preserve">ROLO KIT PATA LIUGONG CHASSIS RR063835 ANO 2024 </v>
      </c>
      <c r="D2449" s="8">
        <f t="shared" si="644"/>
        <v>46091</v>
      </c>
      <c r="E2449" s="15"/>
      <c r="F2449" s="15"/>
      <c r="G2449" s="15">
        <f t="shared" si="646"/>
        <v>0</v>
      </c>
      <c r="H2449" s="16" t="s">
        <v>6</v>
      </c>
      <c r="I2449" s="10">
        <f t="shared" si="648"/>
        <v>514.28571428571433</v>
      </c>
      <c r="J2449" s="16" t="s">
        <v>201</v>
      </c>
      <c r="K2449" s="15"/>
      <c r="L2449" s="15"/>
      <c r="M2449" s="17"/>
      <c r="N2449" s="9"/>
      <c r="O2449" s="18">
        <f t="shared" ref="O2449:O2467" si="649">O2448</f>
        <v>0</v>
      </c>
      <c r="P2449" s="9"/>
      <c r="Q2449" s="9"/>
      <c r="R2449" s="85">
        <v>0</v>
      </c>
      <c r="S2449" s="10">
        <f t="shared" si="647"/>
        <v>514.28571428571433</v>
      </c>
    </row>
    <row r="2450" spans="2:19" customFormat="1" hidden="1" outlineLevel="1">
      <c r="B2450" s="13" t="s">
        <v>168</v>
      </c>
      <c r="C2450" s="7" t="str">
        <f t="shared" si="645"/>
        <v xml:space="preserve">ROLO KIT PATA LIUGONG CHASSIS RR063835 ANO 2024 </v>
      </c>
      <c r="D2450" s="8">
        <f t="shared" si="644"/>
        <v>46092</v>
      </c>
      <c r="E2450" s="15"/>
      <c r="F2450" s="15"/>
      <c r="G2450" s="15">
        <f t="shared" si="646"/>
        <v>0</v>
      </c>
      <c r="H2450" s="16" t="s">
        <v>6</v>
      </c>
      <c r="I2450" s="10">
        <f t="shared" si="648"/>
        <v>514.28571428571433</v>
      </c>
      <c r="J2450" s="16" t="s">
        <v>201</v>
      </c>
      <c r="K2450" s="15"/>
      <c r="L2450" s="15"/>
      <c r="M2450" s="17"/>
      <c r="N2450" s="9"/>
      <c r="O2450" s="18">
        <f t="shared" si="649"/>
        <v>0</v>
      </c>
      <c r="P2450" s="9"/>
      <c r="Q2450" s="9"/>
      <c r="R2450" s="85">
        <v>0</v>
      </c>
      <c r="S2450" s="10">
        <f t="shared" si="647"/>
        <v>514.28571428571433</v>
      </c>
    </row>
    <row r="2451" spans="2:19" customFormat="1" hidden="1" outlineLevel="1">
      <c r="B2451" s="13" t="s">
        <v>168</v>
      </c>
      <c r="C2451" s="7" t="str">
        <f t="shared" si="645"/>
        <v xml:space="preserve">ROLO KIT PATA LIUGONG CHASSIS RR063835 ANO 2024 </v>
      </c>
      <c r="D2451" s="8">
        <f t="shared" si="644"/>
        <v>46093</v>
      </c>
      <c r="E2451" s="15"/>
      <c r="F2451" s="15"/>
      <c r="G2451" s="15">
        <f t="shared" si="646"/>
        <v>0</v>
      </c>
      <c r="H2451" s="16" t="s">
        <v>6</v>
      </c>
      <c r="I2451" s="10">
        <f t="shared" si="648"/>
        <v>514.28571428571433</v>
      </c>
      <c r="J2451" s="16" t="s">
        <v>201</v>
      </c>
      <c r="K2451" s="15"/>
      <c r="L2451" s="15"/>
      <c r="M2451" s="17"/>
      <c r="N2451" s="9"/>
      <c r="O2451" s="18">
        <f t="shared" si="649"/>
        <v>0</v>
      </c>
      <c r="P2451" s="9"/>
      <c r="Q2451" s="9"/>
      <c r="R2451" s="85">
        <v>0</v>
      </c>
      <c r="S2451" s="10">
        <f t="shared" si="647"/>
        <v>514.28571428571433</v>
      </c>
    </row>
    <row r="2452" spans="2:19" customFormat="1" hidden="1" outlineLevel="1">
      <c r="B2452" s="13" t="s">
        <v>168</v>
      </c>
      <c r="C2452" s="7" t="str">
        <f t="shared" si="645"/>
        <v xml:space="preserve">ROLO KIT PATA LIUGONG CHASSIS RR063835 ANO 2024 </v>
      </c>
      <c r="D2452" s="8">
        <f t="shared" si="644"/>
        <v>46094</v>
      </c>
      <c r="E2452" s="15"/>
      <c r="F2452" s="15"/>
      <c r="G2452" s="15">
        <f t="shared" si="646"/>
        <v>0</v>
      </c>
      <c r="H2452" s="16" t="s">
        <v>6</v>
      </c>
      <c r="I2452" s="10">
        <f t="shared" si="648"/>
        <v>514.28571428571433</v>
      </c>
      <c r="J2452" s="16" t="s">
        <v>201</v>
      </c>
      <c r="K2452" s="15"/>
      <c r="L2452" s="15"/>
      <c r="M2452" s="17"/>
      <c r="N2452" s="9"/>
      <c r="O2452" s="18">
        <f t="shared" si="649"/>
        <v>0</v>
      </c>
      <c r="P2452" s="9"/>
      <c r="Q2452" s="9"/>
      <c r="R2452" s="85">
        <v>0</v>
      </c>
      <c r="S2452" s="10">
        <f t="shared" si="647"/>
        <v>514.28571428571433</v>
      </c>
    </row>
    <row r="2453" spans="2:19" customFormat="1" hidden="1" outlineLevel="1">
      <c r="B2453" s="13" t="s">
        <v>168</v>
      </c>
      <c r="C2453" s="7" t="str">
        <f t="shared" si="645"/>
        <v xml:space="preserve">ROLO KIT PATA LIUGONG CHASSIS RR063835 ANO 2024 </v>
      </c>
      <c r="D2453" s="8">
        <f t="shared" si="644"/>
        <v>46095</v>
      </c>
      <c r="E2453" s="15"/>
      <c r="F2453" s="15"/>
      <c r="G2453" s="15">
        <f t="shared" si="646"/>
        <v>0</v>
      </c>
      <c r="H2453" s="16" t="s">
        <v>6</v>
      </c>
      <c r="I2453" s="10">
        <f t="shared" si="648"/>
        <v>514.28571428571433</v>
      </c>
      <c r="J2453" s="16" t="s">
        <v>201</v>
      </c>
      <c r="K2453" s="15"/>
      <c r="L2453" s="15"/>
      <c r="M2453" s="17"/>
      <c r="N2453" s="9"/>
      <c r="O2453" s="18">
        <f t="shared" si="649"/>
        <v>0</v>
      </c>
      <c r="P2453" s="9"/>
      <c r="Q2453" s="9"/>
      <c r="R2453" s="85">
        <v>0</v>
      </c>
      <c r="S2453" s="10">
        <f t="shared" si="647"/>
        <v>514.28571428571433</v>
      </c>
    </row>
    <row r="2454" spans="2:19" customFormat="1" hidden="1" outlineLevel="1">
      <c r="B2454" s="13" t="s">
        <v>168</v>
      </c>
      <c r="C2454" s="7" t="str">
        <f t="shared" si="645"/>
        <v xml:space="preserve">ROLO KIT PATA LIUGONG CHASSIS RR063835 ANO 2024 </v>
      </c>
      <c r="D2454" s="8">
        <f t="shared" si="644"/>
        <v>46096</v>
      </c>
      <c r="E2454" s="15"/>
      <c r="F2454" s="15"/>
      <c r="G2454" s="15">
        <f t="shared" si="646"/>
        <v>0</v>
      </c>
      <c r="H2454" s="16" t="s">
        <v>6</v>
      </c>
      <c r="I2454" s="10">
        <f t="shared" si="648"/>
        <v>514.28571428571433</v>
      </c>
      <c r="J2454" s="16" t="s">
        <v>201</v>
      </c>
      <c r="K2454" s="15"/>
      <c r="L2454" s="15"/>
      <c r="M2454" s="17"/>
      <c r="N2454" s="9"/>
      <c r="O2454" s="18">
        <f t="shared" si="649"/>
        <v>0</v>
      </c>
      <c r="P2454" s="9"/>
      <c r="Q2454" s="9"/>
      <c r="R2454" s="85">
        <v>0</v>
      </c>
      <c r="S2454" s="10">
        <f t="shared" si="647"/>
        <v>514.28571428571433</v>
      </c>
    </row>
    <row r="2455" spans="2:19" customFormat="1" hidden="1" outlineLevel="1">
      <c r="B2455" s="13" t="s">
        <v>168</v>
      </c>
      <c r="C2455" s="7" t="str">
        <f t="shared" si="645"/>
        <v xml:space="preserve">ROLO KIT PATA LIUGONG CHASSIS RR063835 ANO 2024 </v>
      </c>
      <c r="D2455" s="8">
        <f t="shared" si="644"/>
        <v>46097</v>
      </c>
      <c r="E2455" s="15"/>
      <c r="F2455" s="15"/>
      <c r="G2455" s="15">
        <f t="shared" si="646"/>
        <v>0</v>
      </c>
      <c r="H2455" s="16" t="s">
        <v>6</v>
      </c>
      <c r="I2455" s="10">
        <f t="shared" si="648"/>
        <v>514.28571428571433</v>
      </c>
      <c r="J2455" s="16" t="s">
        <v>201</v>
      </c>
      <c r="K2455" s="15"/>
      <c r="L2455" s="15"/>
      <c r="M2455" s="17"/>
      <c r="N2455" s="9"/>
      <c r="O2455" s="18">
        <f t="shared" si="649"/>
        <v>0</v>
      </c>
      <c r="P2455" s="9"/>
      <c r="Q2455" s="9"/>
      <c r="R2455" s="85">
        <v>0</v>
      </c>
      <c r="S2455" s="10">
        <f t="shared" si="647"/>
        <v>514.28571428571433</v>
      </c>
    </row>
    <row r="2456" spans="2:19" customFormat="1" hidden="1" outlineLevel="1">
      <c r="B2456" s="13" t="s">
        <v>168</v>
      </c>
      <c r="C2456" s="7" t="str">
        <f t="shared" si="645"/>
        <v xml:space="preserve">ROLO KIT PATA LIUGONG CHASSIS RR063835 ANO 2024 </v>
      </c>
      <c r="D2456" s="8">
        <f t="shared" si="644"/>
        <v>46098</v>
      </c>
      <c r="E2456" s="15"/>
      <c r="F2456" s="15"/>
      <c r="G2456" s="15">
        <f t="shared" si="646"/>
        <v>0</v>
      </c>
      <c r="H2456" s="16" t="s">
        <v>6</v>
      </c>
      <c r="I2456" s="10">
        <f t="shared" si="648"/>
        <v>514.28571428571433</v>
      </c>
      <c r="J2456" s="16" t="s">
        <v>201</v>
      </c>
      <c r="K2456" s="15"/>
      <c r="L2456" s="15"/>
      <c r="M2456" s="17"/>
      <c r="N2456" s="9"/>
      <c r="O2456" s="18">
        <f t="shared" si="649"/>
        <v>0</v>
      </c>
      <c r="P2456" s="9"/>
      <c r="Q2456" s="9"/>
      <c r="R2456" s="85">
        <v>0</v>
      </c>
      <c r="S2456" s="10">
        <f t="shared" si="647"/>
        <v>514.28571428571433</v>
      </c>
    </row>
    <row r="2457" spans="2:19" customFormat="1" hidden="1" outlineLevel="1">
      <c r="B2457" s="13" t="s">
        <v>168</v>
      </c>
      <c r="C2457" s="7" t="str">
        <f t="shared" si="645"/>
        <v xml:space="preserve">ROLO KIT PATA LIUGONG CHASSIS RR063835 ANO 2024 </v>
      </c>
      <c r="D2457" s="8">
        <f t="shared" si="644"/>
        <v>46099</v>
      </c>
      <c r="E2457" s="15"/>
      <c r="F2457" s="15"/>
      <c r="G2457" s="15">
        <f t="shared" si="646"/>
        <v>0</v>
      </c>
      <c r="H2457" s="16" t="s">
        <v>6</v>
      </c>
      <c r="I2457" s="10">
        <f t="shared" si="648"/>
        <v>514.28571428571433</v>
      </c>
      <c r="J2457" s="16" t="s">
        <v>201</v>
      </c>
      <c r="K2457" s="15"/>
      <c r="L2457" s="15"/>
      <c r="M2457" s="17"/>
      <c r="N2457" s="9"/>
      <c r="O2457" s="18">
        <f t="shared" si="649"/>
        <v>0</v>
      </c>
      <c r="P2457" s="9"/>
      <c r="Q2457" s="9"/>
      <c r="R2457" s="85">
        <v>0</v>
      </c>
      <c r="S2457" s="10">
        <f t="shared" si="647"/>
        <v>514.28571428571433</v>
      </c>
    </row>
    <row r="2458" spans="2:19" customFormat="1" hidden="1" outlineLevel="1">
      <c r="B2458" s="13" t="s">
        <v>168</v>
      </c>
      <c r="C2458" s="7" t="str">
        <f t="shared" si="645"/>
        <v xml:space="preserve">ROLO KIT PATA LIUGONG CHASSIS RR063835 ANO 2024 </v>
      </c>
      <c r="D2458" s="8">
        <f t="shared" si="644"/>
        <v>46100</v>
      </c>
      <c r="E2458" s="15"/>
      <c r="F2458" s="15"/>
      <c r="G2458" s="15">
        <f t="shared" si="646"/>
        <v>0</v>
      </c>
      <c r="H2458" s="16" t="s">
        <v>6</v>
      </c>
      <c r="I2458" s="10">
        <f t="shared" si="648"/>
        <v>514.28571428571433</v>
      </c>
      <c r="J2458" s="16" t="s">
        <v>201</v>
      </c>
      <c r="K2458" s="15"/>
      <c r="L2458" s="15"/>
      <c r="M2458" s="17"/>
      <c r="N2458" s="9"/>
      <c r="O2458" s="18">
        <f t="shared" si="649"/>
        <v>0</v>
      </c>
      <c r="P2458" s="9"/>
      <c r="Q2458" s="9"/>
      <c r="R2458" s="85">
        <v>0</v>
      </c>
      <c r="S2458" s="10">
        <f t="shared" si="647"/>
        <v>514.28571428571433</v>
      </c>
    </row>
    <row r="2459" spans="2:19" customFormat="1" hidden="1" outlineLevel="1">
      <c r="B2459" s="13" t="s">
        <v>168</v>
      </c>
      <c r="C2459" s="7" t="str">
        <f t="shared" si="645"/>
        <v xml:space="preserve">ROLO KIT PATA LIUGONG CHASSIS RR063835 ANO 2024 </v>
      </c>
      <c r="D2459" s="8">
        <f t="shared" si="644"/>
        <v>46101</v>
      </c>
      <c r="E2459" s="15"/>
      <c r="F2459" s="15"/>
      <c r="G2459" s="15">
        <f t="shared" si="646"/>
        <v>0</v>
      </c>
      <c r="H2459" s="16" t="s">
        <v>6</v>
      </c>
      <c r="I2459" s="10">
        <f t="shared" si="648"/>
        <v>514.28571428571433</v>
      </c>
      <c r="J2459" s="16" t="s">
        <v>201</v>
      </c>
      <c r="K2459" s="15"/>
      <c r="L2459" s="15"/>
      <c r="M2459" s="17"/>
      <c r="N2459" s="9"/>
      <c r="O2459" s="18">
        <f t="shared" si="649"/>
        <v>0</v>
      </c>
      <c r="P2459" s="9"/>
      <c r="Q2459" s="9"/>
      <c r="R2459" s="85">
        <v>0</v>
      </c>
      <c r="S2459" s="10">
        <f t="shared" si="647"/>
        <v>514.28571428571433</v>
      </c>
    </row>
    <row r="2460" spans="2:19" customFormat="1" hidden="1" outlineLevel="1">
      <c r="B2460" s="13" t="s">
        <v>168</v>
      </c>
      <c r="C2460" s="7" t="str">
        <f t="shared" si="645"/>
        <v xml:space="preserve">ROLO KIT PATA LIUGONG CHASSIS RR063835 ANO 2024 </v>
      </c>
      <c r="D2460" s="8">
        <f t="shared" si="644"/>
        <v>46102</v>
      </c>
      <c r="E2460" s="15"/>
      <c r="F2460" s="15"/>
      <c r="G2460" s="15">
        <f t="shared" si="646"/>
        <v>0</v>
      </c>
      <c r="H2460" s="16" t="s">
        <v>6</v>
      </c>
      <c r="I2460" s="10">
        <f t="shared" si="648"/>
        <v>514.28571428571433</v>
      </c>
      <c r="J2460" s="16" t="s">
        <v>201</v>
      </c>
      <c r="K2460" s="15"/>
      <c r="L2460" s="15"/>
      <c r="M2460" s="17"/>
      <c r="N2460" s="9"/>
      <c r="O2460" s="18">
        <f t="shared" si="649"/>
        <v>0</v>
      </c>
      <c r="P2460" s="9"/>
      <c r="Q2460" s="9"/>
      <c r="R2460" s="85">
        <v>0</v>
      </c>
      <c r="S2460" s="10">
        <f t="shared" si="647"/>
        <v>514.28571428571433</v>
      </c>
    </row>
    <row r="2461" spans="2:19" customFormat="1" hidden="1" outlineLevel="1">
      <c r="B2461" s="13" t="s">
        <v>168</v>
      </c>
      <c r="C2461" s="7" t="str">
        <f t="shared" si="645"/>
        <v xml:space="preserve">ROLO KIT PATA LIUGONG CHASSIS RR063835 ANO 2024 </v>
      </c>
      <c r="D2461" s="8">
        <f t="shared" si="644"/>
        <v>46103</v>
      </c>
      <c r="E2461" s="15"/>
      <c r="F2461" s="15"/>
      <c r="G2461" s="15">
        <f t="shared" si="646"/>
        <v>0</v>
      </c>
      <c r="H2461" s="16" t="s">
        <v>6</v>
      </c>
      <c r="I2461" s="10">
        <f t="shared" si="648"/>
        <v>514.28571428571433</v>
      </c>
      <c r="J2461" s="16" t="s">
        <v>201</v>
      </c>
      <c r="K2461" s="15"/>
      <c r="L2461" s="15"/>
      <c r="M2461" s="17"/>
      <c r="N2461" s="9"/>
      <c r="O2461" s="18">
        <f t="shared" si="649"/>
        <v>0</v>
      </c>
      <c r="P2461" s="9"/>
      <c r="Q2461" s="9"/>
      <c r="R2461" s="85">
        <v>0</v>
      </c>
      <c r="S2461" s="10">
        <f t="shared" si="647"/>
        <v>514.28571428571433</v>
      </c>
    </row>
    <row r="2462" spans="2:19" customFormat="1" hidden="1" outlineLevel="1">
      <c r="B2462" s="13" t="s">
        <v>168</v>
      </c>
      <c r="C2462" s="7" t="str">
        <f t="shared" si="645"/>
        <v xml:space="preserve">ROLO KIT PATA LIUGONG CHASSIS RR063835 ANO 2024 </v>
      </c>
      <c r="D2462" s="8">
        <f t="shared" si="644"/>
        <v>46104</v>
      </c>
      <c r="E2462" s="15"/>
      <c r="F2462" s="15"/>
      <c r="G2462" s="15">
        <f t="shared" si="646"/>
        <v>0</v>
      </c>
      <c r="H2462" s="16" t="s">
        <v>6</v>
      </c>
      <c r="I2462" s="10">
        <f t="shared" si="648"/>
        <v>514.28571428571433</v>
      </c>
      <c r="J2462" s="16" t="s">
        <v>201</v>
      </c>
      <c r="K2462" s="15"/>
      <c r="L2462" s="15"/>
      <c r="M2462" s="17"/>
      <c r="N2462" s="9"/>
      <c r="O2462" s="18">
        <f t="shared" si="649"/>
        <v>0</v>
      </c>
      <c r="P2462" s="9"/>
      <c r="Q2462" s="9"/>
      <c r="R2462" s="85">
        <v>0</v>
      </c>
      <c r="S2462" s="10">
        <f t="shared" si="647"/>
        <v>514.28571428571433</v>
      </c>
    </row>
    <row r="2463" spans="2:19" customFormat="1" hidden="1" outlineLevel="1">
      <c r="B2463" s="13" t="s">
        <v>168</v>
      </c>
      <c r="C2463" s="7" t="str">
        <f t="shared" si="645"/>
        <v xml:space="preserve">ROLO KIT PATA LIUGONG CHASSIS RR063835 ANO 2024 </v>
      </c>
      <c r="D2463" s="8">
        <f t="shared" si="644"/>
        <v>46105</v>
      </c>
      <c r="E2463" s="15"/>
      <c r="F2463" s="15"/>
      <c r="G2463" s="15">
        <f t="shared" si="646"/>
        <v>0</v>
      </c>
      <c r="H2463" s="16" t="s">
        <v>6</v>
      </c>
      <c r="I2463" s="10">
        <f t="shared" si="648"/>
        <v>514.28571428571433</v>
      </c>
      <c r="J2463" s="16" t="s">
        <v>201</v>
      </c>
      <c r="K2463" s="15"/>
      <c r="L2463" s="15"/>
      <c r="M2463" s="17"/>
      <c r="N2463" s="9"/>
      <c r="O2463" s="18">
        <f t="shared" si="649"/>
        <v>0</v>
      </c>
      <c r="P2463" s="9"/>
      <c r="Q2463" s="9"/>
      <c r="R2463" s="85">
        <v>0</v>
      </c>
      <c r="S2463" s="10">
        <f t="shared" si="647"/>
        <v>514.28571428571433</v>
      </c>
    </row>
    <row r="2464" spans="2:19" customFormat="1" hidden="1" outlineLevel="1">
      <c r="B2464" s="13" t="s">
        <v>168</v>
      </c>
      <c r="C2464" s="7" t="str">
        <f t="shared" si="645"/>
        <v xml:space="preserve">ROLO KIT PATA LIUGONG CHASSIS RR063835 ANO 2024 </v>
      </c>
      <c r="D2464" s="8">
        <f t="shared" si="644"/>
        <v>46106</v>
      </c>
      <c r="E2464" s="15"/>
      <c r="F2464" s="15"/>
      <c r="G2464" s="15">
        <f t="shared" si="646"/>
        <v>0</v>
      </c>
      <c r="H2464" s="16" t="s">
        <v>6</v>
      </c>
      <c r="I2464" s="10">
        <f t="shared" si="648"/>
        <v>514.28571428571433</v>
      </c>
      <c r="J2464" s="16" t="s">
        <v>201</v>
      </c>
      <c r="K2464" s="15"/>
      <c r="L2464" s="15"/>
      <c r="M2464" s="17"/>
      <c r="N2464" s="9"/>
      <c r="O2464" s="18">
        <f t="shared" si="649"/>
        <v>0</v>
      </c>
      <c r="P2464" s="9"/>
      <c r="Q2464" s="9"/>
      <c r="R2464" s="85">
        <v>0</v>
      </c>
      <c r="S2464" s="10">
        <f t="shared" si="647"/>
        <v>514.28571428571433</v>
      </c>
    </row>
    <row r="2465" spans="2:19" customFormat="1" hidden="1" outlineLevel="1">
      <c r="B2465" s="13" t="s">
        <v>168</v>
      </c>
      <c r="C2465" s="7" t="str">
        <f t="shared" si="645"/>
        <v xml:space="preserve">ROLO KIT PATA LIUGONG CHASSIS RR063835 ANO 2024 </v>
      </c>
      <c r="D2465" s="8">
        <f t="shared" si="644"/>
        <v>46107</v>
      </c>
      <c r="E2465" s="15"/>
      <c r="F2465" s="15"/>
      <c r="G2465" s="15">
        <f t="shared" si="646"/>
        <v>0</v>
      </c>
      <c r="H2465" s="16" t="s">
        <v>6</v>
      </c>
      <c r="I2465" s="10">
        <f t="shared" si="648"/>
        <v>514.28571428571433</v>
      </c>
      <c r="J2465" s="16" t="s">
        <v>201</v>
      </c>
      <c r="K2465" s="15"/>
      <c r="L2465" s="15"/>
      <c r="M2465" s="17"/>
      <c r="N2465" s="9"/>
      <c r="O2465" s="18">
        <f t="shared" si="649"/>
        <v>0</v>
      </c>
      <c r="P2465" s="9"/>
      <c r="Q2465" s="9"/>
      <c r="R2465" s="85">
        <v>0</v>
      </c>
      <c r="S2465" s="10">
        <f t="shared" si="647"/>
        <v>514.28571428571433</v>
      </c>
    </row>
    <row r="2466" spans="2:19" customFormat="1" hidden="1" outlineLevel="1">
      <c r="B2466" s="13" t="s">
        <v>168</v>
      </c>
      <c r="C2466" s="7" t="str">
        <f t="shared" si="645"/>
        <v xml:space="preserve">ROLO KIT PATA LIUGONG CHASSIS RR063835 ANO 2024 </v>
      </c>
      <c r="D2466" s="8">
        <f t="shared" si="644"/>
        <v>46108</v>
      </c>
      <c r="E2466" s="15"/>
      <c r="F2466" s="15"/>
      <c r="G2466" s="15">
        <f t="shared" si="646"/>
        <v>0</v>
      </c>
      <c r="H2466" s="16" t="s">
        <v>6</v>
      </c>
      <c r="I2466" s="10">
        <f t="shared" si="648"/>
        <v>514.28571428571433</v>
      </c>
      <c r="J2466" s="16" t="s">
        <v>201</v>
      </c>
      <c r="K2466" s="15"/>
      <c r="L2466" s="15"/>
      <c r="M2466" s="17"/>
      <c r="N2466" s="9"/>
      <c r="O2466" s="18">
        <f t="shared" si="649"/>
        <v>0</v>
      </c>
      <c r="P2466" s="9"/>
      <c r="Q2466" s="9"/>
      <c r="R2466" s="85">
        <v>0</v>
      </c>
      <c r="S2466" s="10">
        <f t="shared" si="647"/>
        <v>514.28571428571433</v>
      </c>
    </row>
    <row r="2467" spans="2:19" customFormat="1" hidden="1" outlineLevel="1">
      <c r="B2467" s="13" t="s">
        <v>168</v>
      </c>
      <c r="C2467" s="7" t="str">
        <f t="shared" si="645"/>
        <v xml:space="preserve">ROLO KIT PATA LIUGONG CHASSIS RR063835 ANO 2024 </v>
      </c>
      <c r="D2467" s="8">
        <f t="shared" si="644"/>
        <v>46112</v>
      </c>
      <c r="E2467" s="15"/>
      <c r="F2467" s="15"/>
      <c r="G2467" s="15">
        <f t="shared" si="646"/>
        <v>0</v>
      </c>
      <c r="H2467" s="16" t="s">
        <v>6</v>
      </c>
      <c r="I2467" s="10">
        <f t="shared" si="648"/>
        <v>514.28571428571433</v>
      </c>
      <c r="J2467" s="16" t="s">
        <v>201</v>
      </c>
      <c r="K2467" s="15"/>
      <c r="L2467" s="15"/>
      <c r="M2467" s="17"/>
      <c r="N2467" s="9"/>
      <c r="O2467" s="18">
        <f t="shared" si="649"/>
        <v>0</v>
      </c>
      <c r="P2467" s="9"/>
      <c r="Q2467" s="9"/>
      <c r="R2467" s="85">
        <v>0</v>
      </c>
      <c r="S2467" s="10">
        <f t="shared" si="647"/>
        <v>514.28571428571433</v>
      </c>
    </row>
    <row r="2468" spans="2:19" customFormat="1" collapsed="1">
      <c r="B2468" s="13" t="s">
        <v>168</v>
      </c>
      <c r="D2468" s="1"/>
      <c r="E2468" s="2"/>
      <c r="F2468" s="2"/>
      <c r="G2468" s="2"/>
      <c r="K2468" s="2"/>
      <c r="L2468" s="2"/>
      <c r="O2468" s="2"/>
      <c r="P2468" s="2"/>
      <c r="Q2468" s="2"/>
      <c r="R2468" s="2"/>
    </row>
    <row r="2469" spans="2:19" customFormat="1">
      <c r="B2469" s="13" t="s">
        <v>168</v>
      </c>
      <c r="C2469" s="3" t="s">
        <v>171</v>
      </c>
      <c r="D2469" s="3"/>
      <c r="E2469" s="4"/>
      <c r="F2469" s="4"/>
      <c r="G2469" s="4"/>
      <c r="H2469" s="3"/>
      <c r="I2469" s="3"/>
      <c r="J2469" s="3"/>
      <c r="K2469" s="4"/>
      <c r="L2469" s="4"/>
      <c r="M2469" s="135" t="str">
        <f>M$1</f>
        <v>BM JANEIRO 2026</v>
      </c>
      <c r="N2469" s="135"/>
      <c r="O2469" s="135"/>
      <c r="P2469" s="19" t="s">
        <v>10</v>
      </c>
      <c r="Q2469" s="136" t="s">
        <v>265</v>
      </c>
      <c r="R2469" s="136"/>
      <c r="S2469" s="136"/>
    </row>
    <row r="2470" spans="2:19" customFormat="1">
      <c r="B2470" s="14"/>
      <c r="C2470" s="5" t="s">
        <v>1</v>
      </c>
      <c r="D2470" s="5" t="s">
        <v>11</v>
      </c>
      <c r="E2470" s="6" t="s">
        <v>12</v>
      </c>
      <c r="F2470" s="6" t="s">
        <v>13</v>
      </c>
      <c r="G2470" s="6" t="s">
        <v>14</v>
      </c>
      <c r="H2470" s="5" t="s">
        <v>3</v>
      </c>
      <c r="I2470" s="6" t="s">
        <v>15</v>
      </c>
      <c r="J2470" s="6" t="s">
        <v>16</v>
      </c>
      <c r="K2470" s="6" t="s">
        <v>17</v>
      </c>
      <c r="L2470" s="6" t="s">
        <v>18</v>
      </c>
      <c r="M2470" s="5" t="s">
        <v>11</v>
      </c>
      <c r="N2470" s="5" t="s">
        <v>19</v>
      </c>
      <c r="O2470" s="6" t="s">
        <v>2</v>
      </c>
      <c r="P2470" s="6" t="s">
        <v>20</v>
      </c>
      <c r="Q2470" s="6" t="s">
        <v>21</v>
      </c>
      <c r="R2470" s="6" t="s">
        <v>22</v>
      </c>
      <c r="S2470" s="6" t="s">
        <v>23</v>
      </c>
    </row>
    <row r="2471" spans="2:19" customFormat="1" hidden="1" outlineLevel="1">
      <c r="B2471" s="11" t="s">
        <v>170</v>
      </c>
      <c r="C2471" s="7" t="str">
        <f>C$2469</f>
        <v>VIBRO VOGELE SUPER 1303 CHASSIS 23110044</v>
      </c>
      <c r="D2471" s="8">
        <f t="shared" ref="D2471:D2498" si="650">D2409</f>
        <v>46082</v>
      </c>
      <c r="E2471" s="15"/>
      <c r="F2471" s="15"/>
      <c r="G2471" s="15">
        <f t="shared" ref="G2471:G2474" si="651">F2471-E2471</f>
        <v>0</v>
      </c>
      <c r="H2471" s="16" t="s">
        <v>262</v>
      </c>
      <c r="I2471" s="10">
        <f>P2471</f>
        <v>514.28571428571433</v>
      </c>
      <c r="J2471" s="16" t="s">
        <v>16</v>
      </c>
      <c r="K2471" s="15"/>
      <c r="L2471" s="15"/>
      <c r="M2471" s="17"/>
      <c r="N2471" s="9"/>
      <c r="O2471" s="9">
        <v>14400</v>
      </c>
      <c r="P2471" s="9">
        <f>O2471/28</f>
        <v>514.28571428571433</v>
      </c>
      <c r="Q2471" s="9"/>
      <c r="R2471" s="72"/>
      <c r="S2471" s="10">
        <f>SUM(R2471+Q2471+I2471)</f>
        <v>514.28571428571433</v>
      </c>
    </row>
    <row r="2472" spans="2:19" customFormat="1" hidden="1" outlineLevel="1">
      <c r="B2472" s="12" t="s">
        <v>0</v>
      </c>
      <c r="C2472" s="7" t="str">
        <f t="shared" ref="C2472:C2498" si="652">C$2469</f>
        <v>VIBRO VOGELE SUPER 1303 CHASSIS 23110044</v>
      </c>
      <c r="D2472" s="8">
        <f t="shared" si="650"/>
        <v>46083</v>
      </c>
      <c r="E2472" s="15">
        <v>1213.2</v>
      </c>
      <c r="F2472" s="15">
        <v>1217.2</v>
      </c>
      <c r="G2472" s="15">
        <f t="shared" si="651"/>
        <v>4</v>
      </c>
      <c r="H2472" s="16" t="s">
        <v>262</v>
      </c>
      <c r="I2472" s="10">
        <f>I2471</f>
        <v>514.28571428571433</v>
      </c>
      <c r="J2472" s="16"/>
      <c r="K2472" s="15">
        <v>1</v>
      </c>
      <c r="L2472" s="15"/>
      <c r="M2472" s="17"/>
      <c r="N2472" s="9"/>
      <c r="O2472" s="9"/>
      <c r="P2472" s="9"/>
      <c r="Q2472" s="9"/>
      <c r="R2472" s="72"/>
      <c r="S2472" s="10">
        <f t="shared" ref="S2472:S2498" si="653">SUM(R2472+Q2472+I2472)</f>
        <v>514.28571428571433</v>
      </c>
    </row>
    <row r="2473" spans="2:19" customFormat="1" hidden="1" outlineLevel="1">
      <c r="B2473" s="13" t="s">
        <v>170</v>
      </c>
      <c r="C2473" s="7" t="str">
        <f t="shared" si="652"/>
        <v>VIBRO VOGELE SUPER 1303 CHASSIS 23110044</v>
      </c>
      <c r="D2473" s="8">
        <f t="shared" si="650"/>
        <v>46084</v>
      </c>
      <c r="E2473" s="15"/>
      <c r="F2473" s="15"/>
      <c r="G2473" s="15">
        <f t="shared" si="651"/>
        <v>0</v>
      </c>
      <c r="H2473" s="16" t="s">
        <v>262</v>
      </c>
      <c r="I2473" s="10">
        <f t="shared" ref="I2473:I2498" si="654">I2472</f>
        <v>514.28571428571433</v>
      </c>
      <c r="J2473" s="16" t="s">
        <v>16</v>
      </c>
      <c r="K2473" s="15">
        <v>1</v>
      </c>
      <c r="L2473" s="15">
        <v>40</v>
      </c>
      <c r="M2473" s="17">
        <v>46056</v>
      </c>
      <c r="N2473" s="9"/>
      <c r="O2473" s="9"/>
      <c r="P2473" s="9"/>
      <c r="Q2473" s="9"/>
      <c r="R2473" s="72"/>
      <c r="S2473" s="10">
        <f t="shared" si="653"/>
        <v>514.28571428571433</v>
      </c>
    </row>
    <row r="2474" spans="2:19" customFormat="1" hidden="1" outlineLevel="1">
      <c r="B2474" s="13" t="s">
        <v>170</v>
      </c>
      <c r="C2474" s="7" t="str">
        <f t="shared" si="652"/>
        <v>VIBRO VOGELE SUPER 1303 CHASSIS 23110044</v>
      </c>
      <c r="D2474" s="8">
        <f t="shared" si="650"/>
        <v>46085</v>
      </c>
      <c r="E2474" s="15"/>
      <c r="F2474" s="15"/>
      <c r="G2474" s="15">
        <f t="shared" si="651"/>
        <v>0</v>
      </c>
      <c r="H2474" s="16" t="s">
        <v>262</v>
      </c>
      <c r="I2474" s="10">
        <f t="shared" si="654"/>
        <v>514.28571428571433</v>
      </c>
      <c r="J2474" s="16" t="s">
        <v>16</v>
      </c>
      <c r="K2474" s="15"/>
      <c r="L2474" s="15"/>
      <c r="M2474" s="17"/>
      <c r="N2474" s="9"/>
      <c r="O2474" s="9"/>
      <c r="P2474" s="9"/>
      <c r="Q2474" s="9"/>
      <c r="R2474" s="72"/>
      <c r="S2474" s="10">
        <f t="shared" si="653"/>
        <v>514.28571428571433</v>
      </c>
    </row>
    <row r="2475" spans="2:19" customFormat="1" hidden="1" outlineLevel="1">
      <c r="B2475" s="13" t="s">
        <v>170</v>
      </c>
      <c r="C2475" s="7" t="str">
        <f t="shared" si="652"/>
        <v>VIBRO VOGELE SUPER 1303 CHASSIS 23110044</v>
      </c>
      <c r="D2475" s="8">
        <f t="shared" si="650"/>
        <v>46086</v>
      </c>
      <c r="E2475" s="15"/>
      <c r="F2475" s="15"/>
      <c r="G2475" s="15">
        <f t="shared" ref="G2475:G2498" si="655">F2475-E2475</f>
        <v>0</v>
      </c>
      <c r="H2475" s="16" t="s">
        <v>262</v>
      </c>
      <c r="I2475" s="10">
        <f t="shared" si="654"/>
        <v>514.28571428571433</v>
      </c>
      <c r="J2475" s="16" t="s">
        <v>16</v>
      </c>
      <c r="K2475" s="15"/>
      <c r="L2475" s="15"/>
      <c r="M2475" s="17"/>
      <c r="N2475" s="9"/>
      <c r="O2475" s="9"/>
      <c r="P2475" s="9"/>
      <c r="Q2475" s="9"/>
      <c r="R2475" s="72"/>
      <c r="S2475" s="10">
        <f t="shared" si="653"/>
        <v>514.28571428571433</v>
      </c>
    </row>
    <row r="2476" spans="2:19" customFormat="1" hidden="1" outlineLevel="1">
      <c r="B2476" s="13" t="s">
        <v>170</v>
      </c>
      <c r="C2476" s="7" t="str">
        <f t="shared" si="652"/>
        <v>VIBRO VOGELE SUPER 1303 CHASSIS 23110044</v>
      </c>
      <c r="D2476" s="8">
        <f t="shared" si="650"/>
        <v>46087</v>
      </c>
      <c r="E2476" s="15"/>
      <c r="F2476" s="15"/>
      <c r="G2476" s="15">
        <f t="shared" si="655"/>
        <v>0</v>
      </c>
      <c r="H2476" s="16" t="s">
        <v>262</v>
      </c>
      <c r="I2476" s="10">
        <f t="shared" si="654"/>
        <v>514.28571428571433</v>
      </c>
      <c r="J2476" s="16" t="s">
        <v>16</v>
      </c>
      <c r="K2476" s="15"/>
      <c r="L2476" s="15"/>
      <c r="M2476" s="17"/>
      <c r="N2476" s="9"/>
      <c r="O2476" s="9"/>
      <c r="P2476" s="9"/>
      <c r="Q2476" s="9"/>
      <c r="R2476" s="72"/>
      <c r="S2476" s="10">
        <f t="shared" si="653"/>
        <v>514.28571428571433</v>
      </c>
    </row>
    <row r="2477" spans="2:19" customFormat="1" hidden="1" outlineLevel="1">
      <c r="B2477" s="13" t="s">
        <v>170</v>
      </c>
      <c r="C2477" s="7" t="str">
        <f t="shared" si="652"/>
        <v>VIBRO VOGELE SUPER 1303 CHASSIS 23110044</v>
      </c>
      <c r="D2477" s="8">
        <f t="shared" si="650"/>
        <v>46088</v>
      </c>
      <c r="E2477" s="15"/>
      <c r="F2477" s="15"/>
      <c r="G2477" s="15">
        <f t="shared" si="655"/>
        <v>0</v>
      </c>
      <c r="H2477" s="16" t="s">
        <v>262</v>
      </c>
      <c r="I2477" s="10">
        <f t="shared" si="654"/>
        <v>514.28571428571433</v>
      </c>
      <c r="J2477" s="16" t="s">
        <v>16</v>
      </c>
      <c r="K2477" s="15"/>
      <c r="L2477" s="15"/>
      <c r="M2477" s="17"/>
      <c r="N2477" s="9"/>
      <c r="O2477" s="9"/>
      <c r="P2477" s="9"/>
      <c r="Q2477" s="9"/>
      <c r="R2477" s="72"/>
      <c r="S2477" s="10">
        <f t="shared" si="653"/>
        <v>514.28571428571433</v>
      </c>
    </row>
    <row r="2478" spans="2:19" customFormat="1" hidden="1" outlineLevel="1">
      <c r="B2478" s="13" t="s">
        <v>170</v>
      </c>
      <c r="C2478" s="7" t="str">
        <f t="shared" si="652"/>
        <v>VIBRO VOGELE SUPER 1303 CHASSIS 23110044</v>
      </c>
      <c r="D2478" s="8">
        <f t="shared" si="650"/>
        <v>46089</v>
      </c>
      <c r="E2478" s="15"/>
      <c r="F2478" s="15"/>
      <c r="G2478" s="15">
        <f t="shared" si="655"/>
        <v>0</v>
      </c>
      <c r="H2478" s="16" t="s">
        <v>262</v>
      </c>
      <c r="I2478" s="10">
        <f t="shared" si="654"/>
        <v>514.28571428571433</v>
      </c>
      <c r="J2478" s="16" t="s">
        <v>16</v>
      </c>
      <c r="K2478" s="15"/>
      <c r="L2478" s="15"/>
      <c r="M2478" s="17"/>
      <c r="N2478" s="9"/>
      <c r="O2478" s="9"/>
      <c r="P2478" s="9"/>
      <c r="Q2478" s="9"/>
      <c r="R2478" s="72"/>
      <c r="S2478" s="10">
        <f t="shared" si="653"/>
        <v>514.28571428571433</v>
      </c>
    </row>
    <row r="2479" spans="2:19" customFormat="1" hidden="1" outlineLevel="1">
      <c r="B2479" s="13" t="s">
        <v>170</v>
      </c>
      <c r="C2479" s="7" t="str">
        <f t="shared" si="652"/>
        <v>VIBRO VOGELE SUPER 1303 CHASSIS 23110044</v>
      </c>
      <c r="D2479" s="8">
        <f t="shared" si="650"/>
        <v>46090</v>
      </c>
      <c r="E2479" s="15"/>
      <c r="F2479" s="15"/>
      <c r="G2479" s="15">
        <f t="shared" si="655"/>
        <v>0</v>
      </c>
      <c r="H2479" s="16" t="s">
        <v>262</v>
      </c>
      <c r="I2479" s="10">
        <f t="shared" si="654"/>
        <v>514.28571428571433</v>
      </c>
      <c r="J2479" s="16" t="s">
        <v>16</v>
      </c>
      <c r="K2479" s="15"/>
      <c r="L2479" s="15"/>
      <c r="M2479" s="17"/>
      <c r="N2479" s="9"/>
      <c r="O2479" s="9"/>
      <c r="P2479" s="9"/>
      <c r="Q2479" s="9"/>
      <c r="R2479" s="72"/>
      <c r="S2479" s="10">
        <f t="shared" si="653"/>
        <v>514.28571428571433</v>
      </c>
    </row>
    <row r="2480" spans="2:19" customFormat="1" hidden="1" outlineLevel="1">
      <c r="B2480" s="13" t="s">
        <v>170</v>
      </c>
      <c r="C2480" s="7" t="str">
        <f t="shared" si="652"/>
        <v>VIBRO VOGELE SUPER 1303 CHASSIS 23110044</v>
      </c>
      <c r="D2480" s="8">
        <f t="shared" si="650"/>
        <v>46091</v>
      </c>
      <c r="E2480" s="15"/>
      <c r="F2480" s="15"/>
      <c r="G2480" s="15">
        <f t="shared" si="655"/>
        <v>0</v>
      </c>
      <c r="H2480" s="16" t="s">
        <v>262</v>
      </c>
      <c r="I2480" s="10">
        <f t="shared" si="654"/>
        <v>514.28571428571433</v>
      </c>
      <c r="J2480" s="16" t="s">
        <v>16</v>
      </c>
      <c r="K2480" s="15"/>
      <c r="L2480" s="15"/>
      <c r="M2480" s="17"/>
      <c r="N2480" s="9"/>
      <c r="O2480" s="9"/>
      <c r="P2480" s="9"/>
      <c r="Q2480" s="9"/>
      <c r="R2480" s="72"/>
      <c r="S2480" s="10">
        <f t="shared" si="653"/>
        <v>514.28571428571433</v>
      </c>
    </row>
    <row r="2481" spans="2:19" customFormat="1" hidden="1" outlineLevel="1">
      <c r="B2481" s="13" t="s">
        <v>170</v>
      </c>
      <c r="C2481" s="7" t="str">
        <f t="shared" si="652"/>
        <v>VIBRO VOGELE SUPER 1303 CHASSIS 23110044</v>
      </c>
      <c r="D2481" s="8">
        <f t="shared" si="650"/>
        <v>46092</v>
      </c>
      <c r="E2481" s="15"/>
      <c r="F2481" s="15"/>
      <c r="G2481" s="15">
        <f t="shared" si="655"/>
        <v>0</v>
      </c>
      <c r="H2481" s="16" t="s">
        <v>262</v>
      </c>
      <c r="I2481" s="10">
        <f t="shared" si="654"/>
        <v>514.28571428571433</v>
      </c>
      <c r="J2481" s="16" t="s">
        <v>16</v>
      </c>
      <c r="K2481" s="15"/>
      <c r="L2481" s="15"/>
      <c r="M2481" s="17"/>
      <c r="N2481" s="9"/>
      <c r="O2481" s="9"/>
      <c r="P2481" s="9"/>
      <c r="Q2481" s="9"/>
      <c r="R2481" s="72"/>
      <c r="S2481" s="10">
        <f t="shared" si="653"/>
        <v>514.28571428571433</v>
      </c>
    </row>
    <row r="2482" spans="2:19" customFormat="1" hidden="1" outlineLevel="1">
      <c r="B2482" s="13" t="s">
        <v>170</v>
      </c>
      <c r="C2482" s="7" t="str">
        <f t="shared" si="652"/>
        <v>VIBRO VOGELE SUPER 1303 CHASSIS 23110044</v>
      </c>
      <c r="D2482" s="8">
        <f t="shared" si="650"/>
        <v>46093</v>
      </c>
      <c r="E2482" s="15"/>
      <c r="F2482" s="15"/>
      <c r="G2482" s="15">
        <f t="shared" si="655"/>
        <v>0</v>
      </c>
      <c r="H2482" s="16" t="s">
        <v>262</v>
      </c>
      <c r="I2482" s="10">
        <f t="shared" si="654"/>
        <v>514.28571428571433</v>
      </c>
      <c r="J2482" s="16" t="s">
        <v>16</v>
      </c>
      <c r="K2482" s="15"/>
      <c r="L2482" s="15"/>
      <c r="M2482" s="17"/>
      <c r="N2482" s="9"/>
      <c r="O2482" s="18"/>
      <c r="P2482" s="9"/>
      <c r="Q2482" s="9"/>
      <c r="R2482" s="72"/>
      <c r="S2482" s="10">
        <f t="shared" si="653"/>
        <v>514.28571428571433</v>
      </c>
    </row>
    <row r="2483" spans="2:19" customFormat="1" hidden="1" outlineLevel="1">
      <c r="B2483" s="13" t="s">
        <v>170</v>
      </c>
      <c r="C2483" s="7" t="str">
        <f t="shared" si="652"/>
        <v>VIBRO VOGELE SUPER 1303 CHASSIS 23110044</v>
      </c>
      <c r="D2483" s="8">
        <f t="shared" si="650"/>
        <v>46094</v>
      </c>
      <c r="E2483" s="15"/>
      <c r="F2483" s="15"/>
      <c r="G2483" s="15">
        <f t="shared" si="655"/>
        <v>0</v>
      </c>
      <c r="H2483" s="16" t="s">
        <v>262</v>
      </c>
      <c r="I2483" s="10">
        <f t="shared" si="654"/>
        <v>514.28571428571433</v>
      </c>
      <c r="J2483" s="16" t="s">
        <v>16</v>
      </c>
      <c r="K2483" s="15"/>
      <c r="L2483" s="15"/>
      <c r="M2483" s="17"/>
      <c r="N2483" s="9"/>
      <c r="O2483" s="18"/>
      <c r="P2483" s="9"/>
      <c r="Q2483" s="9"/>
      <c r="R2483" s="72"/>
      <c r="S2483" s="10">
        <f t="shared" si="653"/>
        <v>514.28571428571433</v>
      </c>
    </row>
    <row r="2484" spans="2:19" customFormat="1" hidden="1" outlineLevel="1">
      <c r="B2484" s="13" t="s">
        <v>170</v>
      </c>
      <c r="C2484" s="7" t="str">
        <f t="shared" si="652"/>
        <v>VIBRO VOGELE SUPER 1303 CHASSIS 23110044</v>
      </c>
      <c r="D2484" s="8">
        <f t="shared" si="650"/>
        <v>46095</v>
      </c>
      <c r="E2484" s="15"/>
      <c r="F2484" s="15"/>
      <c r="G2484" s="15">
        <f t="shared" si="655"/>
        <v>0</v>
      </c>
      <c r="H2484" s="16" t="s">
        <v>262</v>
      </c>
      <c r="I2484" s="10">
        <f t="shared" si="654"/>
        <v>514.28571428571433</v>
      </c>
      <c r="J2484" s="16" t="s">
        <v>16</v>
      </c>
      <c r="K2484" s="15"/>
      <c r="L2484" s="15"/>
      <c r="M2484" s="17"/>
      <c r="N2484" s="9"/>
      <c r="O2484" s="18"/>
      <c r="P2484" s="9"/>
      <c r="Q2484" s="9"/>
      <c r="R2484" s="72"/>
      <c r="S2484" s="10">
        <f t="shared" si="653"/>
        <v>514.28571428571433</v>
      </c>
    </row>
    <row r="2485" spans="2:19" customFormat="1" hidden="1" outlineLevel="1">
      <c r="B2485" s="13" t="s">
        <v>170</v>
      </c>
      <c r="C2485" s="7" t="str">
        <f t="shared" si="652"/>
        <v>VIBRO VOGELE SUPER 1303 CHASSIS 23110044</v>
      </c>
      <c r="D2485" s="8">
        <f t="shared" si="650"/>
        <v>46096</v>
      </c>
      <c r="E2485" s="15"/>
      <c r="F2485" s="15"/>
      <c r="G2485" s="15">
        <f t="shared" si="655"/>
        <v>0</v>
      </c>
      <c r="H2485" s="16" t="s">
        <v>262</v>
      </c>
      <c r="I2485" s="10">
        <f t="shared" si="654"/>
        <v>514.28571428571433</v>
      </c>
      <c r="J2485" s="16" t="s">
        <v>16</v>
      </c>
      <c r="K2485" s="15"/>
      <c r="L2485" s="15"/>
      <c r="M2485" s="17"/>
      <c r="N2485" s="9"/>
      <c r="O2485" s="18"/>
      <c r="P2485" s="9"/>
      <c r="Q2485" s="9"/>
      <c r="R2485" s="72"/>
      <c r="S2485" s="10">
        <f t="shared" si="653"/>
        <v>514.28571428571433</v>
      </c>
    </row>
    <row r="2486" spans="2:19" customFormat="1" hidden="1" outlineLevel="1">
      <c r="B2486" s="13" t="s">
        <v>170</v>
      </c>
      <c r="C2486" s="7" t="str">
        <f t="shared" si="652"/>
        <v>VIBRO VOGELE SUPER 1303 CHASSIS 23110044</v>
      </c>
      <c r="D2486" s="8">
        <f t="shared" si="650"/>
        <v>46097</v>
      </c>
      <c r="E2486" s="15"/>
      <c r="F2486" s="15"/>
      <c r="G2486" s="15">
        <f t="shared" si="655"/>
        <v>0</v>
      </c>
      <c r="H2486" s="16" t="s">
        <v>262</v>
      </c>
      <c r="I2486" s="10">
        <f t="shared" si="654"/>
        <v>514.28571428571433</v>
      </c>
      <c r="J2486" s="16" t="s">
        <v>16</v>
      </c>
      <c r="K2486" s="15"/>
      <c r="L2486" s="15"/>
      <c r="M2486" s="17"/>
      <c r="N2486" s="9"/>
      <c r="O2486" s="18"/>
      <c r="P2486" s="9"/>
      <c r="Q2486" s="9"/>
      <c r="R2486" s="72"/>
      <c r="S2486" s="10">
        <f t="shared" si="653"/>
        <v>514.28571428571433</v>
      </c>
    </row>
    <row r="2487" spans="2:19" customFormat="1" hidden="1" outlineLevel="1">
      <c r="B2487" s="13" t="s">
        <v>170</v>
      </c>
      <c r="C2487" s="7" t="str">
        <f t="shared" si="652"/>
        <v>VIBRO VOGELE SUPER 1303 CHASSIS 23110044</v>
      </c>
      <c r="D2487" s="8">
        <f t="shared" si="650"/>
        <v>46098</v>
      </c>
      <c r="E2487" s="15"/>
      <c r="F2487" s="15"/>
      <c r="G2487" s="15">
        <f t="shared" si="655"/>
        <v>0</v>
      </c>
      <c r="H2487" s="16" t="s">
        <v>262</v>
      </c>
      <c r="I2487" s="10">
        <f t="shared" si="654"/>
        <v>514.28571428571433</v>
      </c>
      <c r="J2487" s="16" t="s">
        <v>16</v>
      </c>
      <c r="K2487" s="15"/>
      <c r="L2487" s="15"/>
      <c r="M2487" s="17"/>
      <c r="N2487" s="9"/>
      <c r="O2487" s="18"/>
      <c r="P2487" s="9"/>
      <c r="Q2487" s="9"/>
      <c r="R2487" s="72"/>
      <c r="S2487" s="10">
        <f t="shared" si="653"/>
        <v>514.28571428571433</v>
      </c>
    </row>
    <row r="2488" spans="2:19" customFormat="1" hidden="1" outlineLevel="1">
      <c r="B2488" s="13" t="s">
        <v>170</v>
      </c>
      <c r="C2488" s="7" t="str">
        <f t="shared" si="652"/>
        <v>VIBRO VOGELE SUPER 1303 CHASSIS 23110044</v>
      </c>
      <c r="D2488" s="8">
        <f t="shared" si="650"/>
        <v>46099</v>
      </c>
      <c r="E2488" s="15"/>
      <c r="F2488" s="15"/>
      <c r="G2488" s="15">
        <f t="shared" si="655"/>
        <v>0</v>
      </c>
      <c r="H2488" s="16" t="s">
        <v>262</v>
      </c>
      <c r="I2488" s="10">
        <f t="shared" si="654"/>
        <v>514.28571428571433</v>
      </c>
      <c r="J2488" s="16" t="s">
        <v>16</v>
      </c>
      <c r="K2488" s="15"/>
      <c r="L2488" s="15"/>
      <c r="M2488" s="17"/>
      <c r="N2488" s="9"/>
      <c r="O2488" s="18"/>
      <c r="P2488" s="9"/>
      <c r="Q2488" s="9"/>
      <c r="R2488" s="72"/>
      <c r="S2488" s="10">
        <f t="shared" si="653"/>
        <v>514.28571428571433</v>
      </c>
    </row>
    <row r="2489" spans="2:19" customFormat="1" hidden="1" outlineLevel="1">
      <c r="B2489" s="13" t="s">
        <v>170</v>
      </c>
      <c r="C2489" s="7" t="str">
        <f t="shared" si="652"/>
        <v>VIBRO VOGELE SUPER 1303 CHASSIS 23110044</v>
      </c>
      <c r="D2489" s="8">
        <f t="shared" si="650"/>
        <v>46100</v>
      </c>
      <c r="E2489" s="15"/>
      <c r="F2489" s="15"/>
      <c r="G2489" s="15">
        <f t="shared" si="655"/>
        <v>0</v>
      </c>
      <c r="H2489" s="16" t="s">
        <v>262</v>
      </c>
      <c r="I2489" s="10">
        <f t="shared" si="654"/>
        <v>514.28571428571433</v>
      </c>
      <c r="J2489" s="16" t="s">
        <v>16</v>
      </c>
      <c r="K2489" s="15"/>
      <c r="L2489" s="15"/>
      <c r="M2489" s="17"/>
      <c r="N2489" s="9"/>
      <c r="O2489" s="18"/>
      <c r="P2489" s="9"/>
      <c r="Q2489" s="9"/>
      <c r="R2489" s="72"/>
      <c r="S2489" s="10">
        <f t="shared" si="653"/>
        <v>514.28571428571433</v>
      </c>
    </row>
    <row r="2490" spans="2:19" customFormat="1" hidden="1" outlineLevel="1">
      <c r="B2490" s="13" t="s">
        <v>170</v>
      </c>
      <c r="C2490" s="7" t="str">
        <f t="shared" si="652"/>
        <v>VIBRO VOGELE SUPER 1303 CHASSIS 23110044</v>
      </c>
      <c r="D2490" s="8">
        <f t="shared" si="650"/>
        <v>46101</v>
      </c>
      <c r="E2490" s="15"/>
      <c r="F2490" s="15"/>
      <c r="G2490" s="15">
        <f t="shared" si="655"/>
        <v>0</v>
      </c>
      <c r="H2490" s="16" t="s">
        <v>262</v>
      </c>
      <c r="I2490" s="10">
        <f t="shared" si="654"/>
        <v>514.28571428571433</v>
      </c>
      <c r="J2490" s="16" t="s">
        <v>16</v>
      </c>
      <c r="K2490" s="15"/>
      <c r="L2490" s="15"/>
      <c r="M2490" s="17"/>
      <c r="N2490" s="9"/>
      <c r="O2490" s="18">
        <f t="shared" ref="O2490:O2498" si="656">O2489</f>
        <v>0</v>
      </c>
      <c r="P2490" s="9"/>
      <c r="Q2490" s="9"/>
      <c r="R2490" s="72"/>
      <c r="S2490" s="10">
        <f t="shared" si="653"/>
        <v>514.28571428571433</v>
      </c>
    </row>
    <row r="2491" spans="2:19" customFormat="1" hidden="1" outlineLevel="1">
      <c r="B2491" s="13" t="s">
        <v>170</v>
      </c>
      <c r="C2491" s="7" t="str">
        <f t="shared" si="652"/>
        <v>VIBRO VOGELE SUPER 1303 CHASSIS 23110044</v>
      </c>
      <c r="D2491" s="8">
        <f t="shared" si="650"/>
        <v>46102</v>
      </c>
      <c r="E2491" s="15"/>
      <c r="F2491" s="15"/>
      <c r="G2491" s="15">
        <f t="shared" si="655"/>
        <v>0</v>
      </c>
      <c r="H2491" s="16" t="s">
        <v>262</v>
      </c>
      <c r="I2491" s="10">
        <f t="shared" si="654"/>
        <v>514.28571428571433</v>
      </c>
      <c r="J2491" s="16" t="s">
        <v>16</v>
      </c>
      <c r="K2491" s="15"/>
      <c r="L2491" s="15"/>
      <c r="M2491" s="17"/>
      <c r="N2491" s="9"/>
      <c r="O2491" s="18">
        <f t="shared" si="656"/>
        <v>0</v>
      </c>
      <c r="P2491" s="9"/>
      <c r="Q2491" s="9"/>
      <c r="R2491" s="72"/>
      <c r="S2491" s="10">
        <f t="shared" si="653"/>
        <v>514.28571428571433</v>
      </c>
    </row>
    <row r="2492" spans="2:19" customFormat="1" hidden="1" outlineLevel="1">
      <c r="B2492" s="13" t="s">
        <v>170</v>
      </c>
      <c r="C2492" s="7" t="str">
        <f t="shared" si="652"/>
        <v>VIBRO VOGELE SUPER 1303 CHASSIS 23110044</v>
      </c>
      <c r="D2492" s="8">
        <f t="shared" si="650"/>
        <v>46103</v>
      </c>
      <c r="E2492" s="15"/>
      <c r="F2492" s="15"/>
      <c r="G2492" s="15">
        <f t="shared" si="655"/>
        <v>0</v>
      </c>
      <c r="H2492" s="16" t="s">
        <v>262</v>
      </c>
      <c r="I2492" s="10">
        <f t="shared" si="654"/>
        <v>514.28571428571433</v>
      </c>
      <c r="J2492" s="16" t="s">
        <v>16</v>
      </c>
      <c r="K2492" s="15"/>
      <c r="L2492" s="15"/>
      <c r="M2492" s="17"/>
      <c r="N2492" s="9"/>
      <c r="O2492" s="18">
        <f t="shared" si="656"/>
        <v>0</v>
      </c>
      <c r="P2492" s="9"/>
      <c r="Q2492" s="9"/>
      <c r="R2492" s="72"/>
      <c r="S2492" s="10">
        <f t="shared" si="653"/>
        <v>514.28571428571433</v>
      </c>
    </row>
    <row r="2493" spans="2:19" customFormat="1" hidden="1" outlineLevel="1">
      <c r="B2493" s="13" t="s">
        <v>170</v>
      </c>
      <c r="C2493" s="7" t="str">
        <f t="shared" si="652"/>
        <v>VIBRO VOGELE SUPER 1303 CHASSIS 23110044</v>
      </c>
      <c r="D2493" s="8">
        <f t="shared" si="650"/>
        <v>46104</v>
      </c>
      <c r="E2493" s="15"/>
      <c r="F2493" s="15"/>
      <c r="G2493" s="15">
        <f t="shared" si="655"/>
        <v>0</v>
      </c>
      <c r="H2493" s="16" t="s">
        <v>262</v>
      </c>
      <c r="I2493" s="10">
        <f t="shared" si="654"/>
        <v>514.28571428571433</v>
      </c>
      <c r="J2493" s="16" t="s">
        <v>16</v>
      </c>
      <c r="K2493" s="15"/>
      <c r="L2493" s="15"/>
      <c r="M2493" s="17"/>
      <c r="N2493" s="9"/>
      <c r="O2493" s="18">
        <f t="shared" si="656"/>
        <v>0</v>
      </c>
      <c r="P2493" s="9"/>
      <c r="Q2493" s="9"/>
      <c r="R2493" s="72"/>
      <c r="S2493" s="10">
        <f t="shared" si="653"/>
        <v>514.28571428571433</v>
      </c>
    </row>
    <row r="2494" spans="2:19" customFormat="1" hidden="1" outlineLevel="1">
      <c r="B2494" s="13" t="s">
        <v>170</v>
      </c>
      <c r="C2494" s="7" t="str">
        <f t="shared" si="652"/>
        <v>VIBRO VOGELE SUPER 1303 CHASSIS 23110044</v>
      </c>
      <c r="D2494" s="8">
        <f t="shared" si="650"/>
        <v>46105</v>
      </c>
      <c r="E2494" s="15"/>
      <c r="F2494" s="15"/>
      <c r="G2494" s="15">
        <f t="shared" si="655"/>
        <v>0</v>
      </c>
      <c r="H2494" s="16" t="s">
        <v>262</v>
      </c>
      <c r="I2494" s="10">
        <f t="shared" si="654"/>
        <v>514.28571428571433</v>
      </c>
      <c r="J2494" s="16" t="s">
        <v>16</v>
      </c>
      <c r="K2494" s="15"/>
      <c r="L2494" s="15"/>
      <c r="M2494" s="17"/>
      <c r="N2494" s="9"/>
      <c r="O2494" s="18">
        <f t="shared" si="656"/>
        <v>0</v>
      </c>
      <c r="P2494" s="9"/>
      <c r="Q2494" s="9"/>
      <c r="R2494" s="72"/>
      <c r="S2494" s="10">
        <f t="shared" si="653"/>
        <v>514.28571428571433</v>
      </c>
    </row>
    <row r="2495" spans="2:19" customFormat="1" hidden="1" outlineLevel="1">
      <c r="B2495" s="13" t="s">
        <v>170</v>
      </c>
      <c r="C2495" s="7" t="str">
        <f t="shared" si="652"/>
        <v>VIBRO VOGELE SUPER 1303 CHASSIS 23110044</v>
      </c>
      <c r="D2495" s="8">
        <f t="shared" si="650"/>
        <v>46106</v>
      </c>
      <c r="E2495" s="15"/>
      <c r="F2495" s="15"/>
      <c r="G2495" s="15">
        <f t="shared" si="655"/>
        <v>0</v>
      </c>
      <c r="H2495" s="16" t="s">
        <v>262</v>
      </c>
      <c r="I2495" s="10">
        <f t="shared" si="654"/>
        <v>514.28571428571433</v>
      </c>
      <c r="J2495" s="16" t="s">
        <v>16</v>
      </c>
      <c r="K2495" s="15"/>
      <c r="L2495" s="15"/>
      <c r="M2495" s="17"/>
      <c r="N2495" s="9"/>
      <c r="O2495" s="18">
        <f t="shared" si="656"/>
        <v>0</v>
      </c>
      <c r="P2495" s="9"/>
      <c r="Q2495" s="9"/>
      <c r="R2495" s="72"/>
      <c r="S2495" s="10">
        <f t="shared" si="653"/>
        <v>514.28571428571433</v>
      </c>
    </row>
    <row r="2496" spans="2:19" customFormat="1" hidden="1" outlineLevel="1">
      <c r="B2496" s="13" t="s">
        <v>170</v>
      </c>
      <c r="C2496" s="7" t="str">
        <f t="shared" si="652"/>
        <v>VIBRO VOGELE SUPER 1303 CHASSIS 23110044</v>
      </c>
      <c r="D2496" s="8">
        <f t="shared" si="650"/>
        <v>46107</v>
      </c>
      <c r="E2496" s="15"/>
      <c r="F2496" s="15"/>
      <c r="G2496" s="15">
        <f t="shared" si="655"/>
        <v>0</v>
      </c>
      <c r="H2496" s="16" t="s">
        <v>262</v>
      </c>
      <c r="I2496" s="10">
        <f t="shared" si="654"/>
        <v>514.28571428571433</v>
      </c>
      <c r="J2496" s="16" t="s">
        <v>16</v>
      </c>
      <c r="K2496" s="15"/>
      <c r="L2496" s="15"/>
      <c r="M2496" s="17"/>
      <c r="N2496" s="9"/>
      <c r="O2496" s="18">
        <f t="shared" si="656"/>
        <v>0</v>
      </c>
      <c r="P2496" s="9"/>
      <c r="Q2496" s="9"/>
      <c r="R2496" s="72"/>
      <c r="S2496" s="10">
        <f t="shared" si="653"/>
        <v>514.28571428571433</v>
      </c>
    </row>
    <row r="2497" spans="2:19" customFormat="1" hidden="1" outlineLevel="1">
      <c r="B2497" s="13" t="s">
        <v>170</v>
      </c>
      <c r="C2497" s="7" t="str">
        <f t="shared" si="652"/>
        <v>VIBRO VOGELE SUPER 1303 CHASSIS 23110044</v>
      </c>
      <c r="D2497" s="8">
        <f t="shared" si="650"/>
        <v>46108</v>
      </c>
      <c r="E2497" s="15"/>
      <c r="F2497" s="15"/>
      <c r="G2497" s="15">
        <f t="shared" si="655"/>
        <v>0</v>
      </c>
      <c r="H2497" s="16" t="s">
        <v>262</v>
      </c>
      <c r="I2497" s="10">
        <f t="shared" si="654"/>
        <v>514.28571428571433</v>
      </c>
      <c r="J2497" s="16" t="s">
        <v>16</v>
      </c>
      <c r="K2497" s="15"/>
      <c r="L2497" s="15"/>
      <c r="M2497" s="17"/>
      <c r="N2497" s="9"/>
      <c r="O2497" s="18">
        <f t="shared" si="656"/>
        <v>0</v>
      </c>
      <c r="P2497" s="9"/>
      <c r="Q2497" s="9"/>
      <c r="R2497" s="72"/>
      <c r="S2497" s="10">
        <f t="shared" si="653"/>
        <v>514.28571428571433</v>
      </c>
    </row>
    <row r="2498" spans="2:19" customFormat="1" hidden="1" outlineLevel="1">
      <c r="B2498" s="13" t="s">
        <v>170</v>
      </c>
      <c r="C2498" s="7" t="str">
        <f t="shared" si="652"/>
        <v>VIBRO VOGELE SUPER 1303 CHASSIS 23110044</v>
      </c>
      <c r="D2498" s="8">
        <f t="shared" si="650"/>
        <v>46112</v>
      </c>
      <c r="E2498" s="15"/>
      <c r="F2498" s="15"/>
      <c r="G2498" s="15">
        <f t="shared" si="655"/>
        <v>0</v>
      </c>
      <c r="H2498" s="16" t="s">
        <v>262</v>
      </c>
      <c r="I2498" s="10">
        <f t="shared" si="654"/>
        <v>514.28571428571433</v>
      </c>
      <c r="J2498" s="16" t="s">
        <v>16</v>
      </c>
      <c r="K2498" s="15"/>
      <c r="L2498" s="15"/>
      <c r="M2498" s="17"/>
      <c r="N2498" s="9"/>
      <c r="O2498" s="18">
        <f t="shared" si="656"/>
        <v>0</v>
      </c>
      <c r="P2498" s="9"/>
      <c r="Q2498" s="9"/>
      <c r="R2498" s="72"/>
      <c r="S2498" s="10">
        <f t="shared" si="653"/>
        <v>514.28571428571433</v>
      </c>
    </row>
    <row r="2499" spans="2:19" customFormat="1" collapsed="1">
      <c r="B2499" s="13" t="s">
        <v>170</v>
      </c>
      <c r="D2499" s="1"/>
      <c r="E2499" s="2"/>
      <c r="F2499" s="2"/>
      <c r="G2499" s="2"/>
      <c r="K2499" s="2"/>
      <c r="L2499" s="2"/>
      <c r="O2499" s="2"/>
      <c r="P2499" s="2"/>
      <c r="Q2499" s="2"/>
      <c r="R2499" s="2"/>
    </row>
    <row r="2500" spans="2:19" customFormat="1">
      <c r="B2500" s="13" t="s">
        <v>170</v>
      </c>
      <c r="C2500" s="3" t="s">
        <v>173</v>
      </c>
      <c r="D2500" s="3"/>
      <c r="E2500" s="4"/>
      <c r="F2500" s="4"/>
      <c r="G2500" s="4"/>
      <c r="H2500" s="3"/>
      <c r="I2500" s="3"/>
      <c r="J2500" s="3"/>
      <c r="K2500" s="4"/>
      <c r="L2500" s="4"/>
      <c r="M2500" s="135" t="str">
        <f>M$1</f>
        <v>BM JANEIRO 2026</v>
      </c>
      <c r="N2500" s="135"/>
      <c r="O2500" s="135"/>
      <c r="P2500" s="19" t="s">
        <v>10</v>
      </c>
      <c r="Q2500" s="136" t="s">
        <v>253</v>
      </c>
      <c r="R2500" s="136"/>
      <c r="S2500" s="136"/>
    </row>
    <row r="2501" spans="2:19" customFormat="1">
      <c r="B2501" s="14"/>
      <c r="C2501" s="5" t="s">
        <v>1</v>
      </c>
      <c r="D2501" s="5" t="s">
        <v>11</v>
      </c>
      <c r="E2501" s="6" t="s">
        <v>12</v>
      </c>
      <c r="F2501" s="6" t="s">
        <v>13</v>
      </c>
      <c r="G2501" s="6" t="s">
        <v>14</v>
      </c>
      <c r="H2501" s="5" t="s">
        <v>3</v>
      </c>
      <c r="I2501" s="6" t="s">
        <v>15</v>
      </c>
      <c r="J2501" s="6" t="s">
        <v>16</v>
      </c>
      <c r="K2501" s="6" t="s">
        <v>17</v>
      </c>
      <c r="L2501" s="6" t="s">
        <v>18</v>
      </c>
      <c r="M2501" s="5" t="s">
        <v>11</v>
      </c>
      <c r="N2501" s="5" t="s">
        <v>19</v>
      </c>
      <c r="O2501" s="6" t="s">
        <v>2</v>
      </c>
      <c r="P2501" s="6" t="s">
        <v>20</v>
      </c>
      <c r="Q2501" s="6" t="s">
        <v>21</v>
      </c>
      <c r="R2501" s="6" t="s">
        <v>22</v>
      </c>
      <c r="S2501" s="6" t="s">
        <v>23</v>
      </c>
    </row>
    <row r="2502" spans="2:19" customFormat="1" hidden="1" outlineLevel="1">
      <c r="B2502" s="11" t="s">
        <v>172</v>
      </c>
      <c r="C2502" s="7" t="str">
        <f>C$2500</f>
        <v>ROLO COMPACTADOR HAMM HD90 CHASSIS A05138</v>
      </c>
      <c r="D2502" s="8">
        <f t="shared" ref="D2502:D2529" si="657">D2440</f>
        <v>46082</v>
      </c>
      <c r="E2502" s="15"/>
      <c r="F2502" s="15"/>
      <c r="G2502" s="15">
        <f t="shared" ref="G2502:G2505" si="658">F2502-E2502</f>
        <v>0</v>
      </c>
      <c r="H2502" s="16" t="s">
        <v>262</v>
      </c>
      <c r="I2502" s="10">
        <f>P2502</f>
        <v>514.28571428571433</v>
      </c>
      <c r="J2502" s="16" t="s">
        <v>16</v>
      </c>
      <c r="K2502" s="15"/>
      <c r="L2502" s="15"/>
      <c r="M2502" s="17"/>
      <c r="N2502" s="9"/>
      <c r="O2502" s="9">
        <v>14400</v>
      </c>
      <c r="P2502" s="9">
        <f>O2502/28</f>
        <v>514.28571428571433</v>
      </c>
      <c r="Q2502" s="9"/>
      <c r="R2502" s="9"/>
      <c r="S2502" s="10">
        <f>SUM(R2502+Q2502+I2502)</f>
        <v>514.28571428571433</v>
      </c>
    </row>
    <row r="2503" spans="2:19" customFormat="1" hidden="1" outlineLevel="1">
      <c r="B2503" s="12" t="s">
        <v>0</v>
      </c>
      <c r="C2503" s="7" t="str">
        <f t="shared" ref="C2503:C2529" si="659">C$2500</f>
        <v>ROLO COMPACTADOR HAMM HD90 CHASSIS A05138</v>
      </c>
      <c r="D2503" s="8">
        <f t="shared" si="657"/>
        <v>46083</v>
      </c>
      <c r="E2503" s="15">
        <v>1272.5999999999999</v>
      </c>
      <c r="F2503" s="15">
        <v>1277.2</v>
      </c>
      <c r="G2503" s="15">
        <f t="shared" si="658"/>
        <v>4.6000000000001364</v>
      </c>
      <c r="H2503" s="16" t="s">
        <v>262</v>
      </c>
      <c r="I2503" s="10">
        <f>I2502</f>
        <v>514.28571428571433</v>
      </c>
      <c r="J2503" s="16"/>
      <c r="K2503" s="15">
        <v>1</v>
      </c>
      <c r="L2503" s="15">
        <v>60</v>
      </c>
      <c r="M2503" s="17">
        <v>46055</v>
      </c>
      <c r="N2503" s="9"/>
      <c r="O2503" s="9"/>
      <c r="P2503" s="9"/>
      <c r="Q2503" s="9"/>
      <c r="R2503" s="9"/>
      <c r="S2503" s="10">
        <f t="shared" ref="S2503:S2529" si="660">SUM(R2503+Q2503+I2503)</f>
        <v>514.28571428571433</v>
      </c>
    </row>
    <row r="2504" spans="2:19" customFormat="1" hidden="1" outlineLevel="1">
      <c r="B2504" s="13" t="s">
        <v>172</v>
      </c>
      <c r="C2504" s="7" t="str">
        <f t="shared" si="659"/>
        <v>ROLO COMPACTADOR HAMM HD90 CHASSIS A05138</v>
      </c>
      <c r="D2504" s="8">
        <f t="shared" si="657"/>
        <v>46084</v>
      </c>
      <c r="E2504" s="15">
        <v>1277.2</v>
      </c>
      <c r="F2504" s="15">
        <v>1280.5</v>
      </c>
      <c r="G2504" s="15">
        <f t="shared" si="658"/>
        <v>3.2999999999999545</v>
      </c>
      <c r="H2504" s="16" t="s">
        <v>262</v>
      </c>
      <c r="I2504" s="10">
        <f t="shared" ref="I2504:I2529" si="661">I2503</f>
        <v>514.28571428571433</v>
      </c>
      <c r="J2504" s="16"/>
      <c r="K2504" s="15">
        <v>1</v>
      </c>
      <c r="L2504" s="15"/>
      <c r="M2504" s="17"/>
      <c r="N2504" s="9"/>
      <c r="O2504" s="9"/>
      <c r="P2504" s="9"/>
      <c r="Q2504" s="9"/>
      <c r="R2504" s="9"/>
      <c r="S2504" s="10">
        <f t="shared" si="660"/>
        <v>514.28571428571433</v>
      </c>
    </row>
    <row r="2505" spans="2:19" s="126" customFormat="1" hidden="1" outlineLevel="1">
      <c r="B2505" s="13" t="s">
        <v>172</v>
      </c>
      <c r="C2505" s="124" t="str">
        <f t="shared" si="659"/>
        <v>ROLO COMPACTADOR HAMM HD90 CHASSIS A05138</v>
      </c>
      <c r="D2505" s="114">
        <f t="shared" si="657"/>
        <v>46085</v>
      </c>
      <c r="E2505" s="116"/>
      <c r="F2505" s="116"/>
      <c r="G2505" s="116">
        <f t="shared" si="658"/>
        <v>0</v>
      </c>
      <c r="H2505" s="124" t="s">
        <v>262</v>
      </c>
      <c r="I2505" s="117">
        <f t="shared" si="661"/>
        <v>514.28571428571433</v>
      </c>
      <c r="J2505" s="124" t="s">
        <v>16</v>
      </c>
      <c r="K2505" s="116">
        <v>1</v>
      </c>
      <c r="L2505" s="116">
        <v>80</v>
      </c>
      <c r="M2505" s="114">
        <v>46057</v>
      </c>
      <c r="N2505" s="116"/>
      <c r="O2505" s="116"/>
      <c r="P2505" s="116"/>
      <c r="Q2505" s="116"/>
      <c r="R2505" s="116"/>
      <c r="S2505" s="117">
        <f t="shared" si="660"/>
        <v>514.28571428571433</v>
      </c>
    </row>
    <row r="2506" spans="2:19" customFormat="1" hidden="1" outlineLevel="1">
      <c r="B2506" s="13" t="s">
        <v>172</v>
      </c>
      <c r="C2506" s="7" t="str">
        <f t="shared" si="659"/>
        <v>ROLO COMPACTADOR HAMM HD90 CHASSIS A05138</v>
      </c>
      <c r="D2506" s="8">
        <f t="shared" si="657"/>
        <v>46086</v>
      </c>
      <c r="E2506" s="15">
        <v>1280.5</v>
      </c>
      <c r="F2506" s="15"/>
      <c r="G2506" s="15">
        <f>F2506-E2506</f>
        <v>-1280.5</v>
      </c>
      <c r="H2506" s="16" t="s">
        <v>262</v>
      </c>
      <c r="I2506" s="10">
        <f t="shared" si="661"/>
        <v>514.28571428571433</v>
      </c>
      <c r="J2506" s="16"/>
      <c r="K2506" s="15">
        <v>1</v>
      </c>
      <c r="L2506" s="15"/>
      <c r="M2506" s="17"/>
      <c r="N2506" s="9"/>
      <c r="O2506" s="9"/>
      <c r="P2506" s="9"/>
      <c r="Q2506" s="9"/>
      <c r="R2506" s="9"/>
      <c r="S2506" s="10">
        <f t="shared" si="660"/>
        <v>514.28571428571433</v>
      </c>
    </row>
    <row r="2507" spans="2:19" customFormat="1" hidden="1" outlineLevel="1">
      <c r="B2507" s="115" t="s">
        <v>172</v>
      </c>
      <c r="C2507" s="7" t="str">
        <f t="shared" si="659"/>
        <v>ROLO COMPACTADOR HAMM HD90 CHASSIS A05138</v>
      </c>
      <c r="D2507" s="8">
        <f t="shared" si="657"/>
        <v>46087</v>
      </c>
      <c r="E2507" s="15"/>
      <c r="F2507" s="15"/>
      <c r="G2507" s="15">
        <f>F2507-E2507</f>
        <v>0</v>
      </c>
      <c r="H2507" s="16" t="s">
        <v>262</v>
      </c>
      <c r="I2507" s="10">
        <f t="shared" si="661"/>
        <v>514.28571428571433</v>
      </c>
      <c r="J2507" s="16" t="s">
        <v>16</v>
      </c>
      <c r="K2507" s="15"/>
      <c r="L2507" s="15"/>
      <c r="M2507" s="17"/>
      <c r="N2507" s="9"/>
      <c r="O2507" s="9"/>
      <c r="P2507" s="9"/>
      <c r="Q2507" s="9"/>
      <c r="R2507" s="9"/>
      <c r="S2507" s="10">
        <f t="shared" si="660"/>
        <v>514.28571428571433</v>
      </c>
    </row>
    <row r="2508" spans="2:19" customFormat="1" hidden="1" outlineLevel="1">
      <c r="B2508" s="13" t="s">
        <v>172</v>
      </c>
      <c r="C2508" s="7" t="str">
        <f t="shared" si="659"/>
        <v>ROLO COMPACTADOR HAMM HD90 CHASSIS A05138</v>
      </c>
      <c r="D2508" s="8">
        <f t="shared" si="657"/>
        <v>46088</v>
      </c>
      <c r="E2508" s="15"/>
      <c r="F2508" s="15"/>
      <c r="G2508" s="15">
        <f t="shared" ref="G2508:G2529" si="662">F2508-E2508</f>
        <v>0</v>
      </c>
      <c r="H2508" s="16" t="s">
        <v>262</v>
      </c>
      <c r="I2508" s="10">
        <f t="shared" si="661"/>
        <v>514.28571428571433</v>
      </c>
      <c r="J2508" s="16" t="s">
        <v>16</v>
      </c>
      <c r="K2508" s="15"/>
      <c r="L2508" s="15"/>
      <c r="M2508" s="17"/>
      <c r="N2508" s="9"/>
      <c r="O2508" s="9"/>
      <c r="P2508" s="9"/>
      <c r="Q2508" s="9"/>
      <c r="R2508" s="9"/>
      <c r="S2508" s="10">
        <f t="shared" si="660"/>
        <v>514.28571428571433</v>
      </c>
    </row>
    <row r="2509" spans="2:19" customFormat="1" hidden="1" outlineLevel="1">
      <c r="B2509" s="13" t="s">
        <v>172</v>
      </c>
      <c r="C2509" s="7" t="str">
        <f t="shared" si="659"/>
        <v>ROLO COMPACTADOR HAMM HD90 CHASSIS A05138</v>
      </c>
      <c r="D2509" s="8">
        <f t="shared" si="657"/>
        <v>46089</v>
      </c>
      <c r="E2509" s="15"/>
      <c r="F2509" s="15"/>
      <c r="G2509" s="15">
        <f t="shared" si="662"/>
        <v>0</v>
      </c>
      <c r="H2509" s="16" t="s">
        <v>262</v>
      </c>
      <c r="I2509" s="10">
        <f t="shared" si="661"/>
        <v>514.28571428571433</v>
      </c>
      <c r="J2509" s="16" t="s">
        <v>16</v>
      </c>
      <c r="K2509" s="15"/>
      <c r="L2509" s="15"/>
      <c r="M2509" s="17"/>
      <c r="N2509" s="9"/>
      <c r="O2509" s="9"/>
      <c r="P2509" s="9"/>
      <c r="Q2509" s="9"/>
      <c r="R2509" s="9"/>
      <c r="S2509" s="10">
        <f t="shared" si="660"/>
        <v>514.28571428571433</v>
      </c>
    </row>
    <row r="2510" spans="2:19" customFormat="1" hidden="1" outlineLevel="1">
      <c r="B2510" s="13" t="s">
        <v>172</v>
      </c>
      <c r="C2510" s="7" t="str">
        <f t="shared" si="659"/>
        <v>ROLO COMPACTADOR HAMM HD90 CHASSIS A05138</v>
      </c>
      <c r="D2510" s="8">
        <f t="shared" si="657"/>
        <v>46090</v>
      </c>
      <c r="E2510" s="15"/>
      <c r="F2510" s="15"/>
      <c r="G2510" s="15">
        <f t="shared" si="662"/>
        <v>0</v>
      </c>
      <c r="H2510" s="16" t="s">
        <v>262</v>
      </c>
      <c r="I2510" s="10">
        <f t="shared" si="661"/>
        <v>514.28571428571433</v>
      </c>
      <c r="J2510" s="16" t="s">
        <v>16</v>
      </c>
      <c r="K2510" s="15"/>
      <c r="L2510" s="15"/>
      <c r="M2510" s="17"/>
      <c r="N2510" s="9"/>
      <c r="O2510" s="9"/>
      <c r="P2510" s="9"/>
      <c r="Q2510" s="9"/>
      <c r="R2510" s="9"/>
      <c r="S2510" s="10">
        <f t="shared" si="660"/>
        <v>514.28571428571433</v>
      </c>
    </row>
    <row r="2511" spans="2:19" customFormat="1" hidden="1" outlineLevel="1">
      <c r="B2511" s="13" t="s">
        <v>172</v>
      </c>
      <c r="C2511" s="7" t="str">
        <f t="shared" si="659"/>
        <v>ROLO COMPACTADOR HAMM HD90 CHASSIS A05138</v>
      </c>
      <c r="D2511" s="8">
        <f t="shared" si="657"/>
        <v>46091</v>
      </c>
      <c r="E2511" s="15"/>
      <c r="F2511" s="15"/>
      <c r="G2511" s="15">
        <f t="shared" si="662"/>
        <v>0</v>
      </c>
      <c r="H2511" s="16" t="s">
        <v>262</v>
      </c>
      <c r="I2511" s="10">
        <f t="shared" si="661"/>
        <v>514.28571428571433</v>
      </c>
      <c r="J2511" s="16" t="s">
        <v>16</v>
      </c>
      <c r="K2511" s="15"/>
      <c r="L2511" s="15"/>
      <c r="M2511" s="17"/>
      <c r="N2511" s="9"/>
      <c r="O2511" s="18"/>
      <c r="P2511" s="9"/>
      <c r="Q2511" s="9"/>
      <c r="R2511" s="9"/>
      <c r="S2511" s="10">
        <f t="shared" si="660"/>
        <v>514.28571428571433</v>
      </c>
    </row>
    <row r="2512" spans="2:19" customFormat="1" hidden="1" outlineLevel="1">
      <c r="B2512" s="13" t="s">
        <v>172</v>
      </c>
      <c r="C2512" s="7" t="str">
        <f t="shared" si="659"/>
        <v>ROLO COMPACTADOR HAMM HD90 CHASSIS A05138</v>
      </c>
      <c r="D2512" s="8">
        <f t="shared" si="657"/>
        <v>46092</v>
      </c>
      <c r="E2512" s="15"/>
      <c r="F2512" s="15"/>
      <c r="G2512" s="15">
        <f t="shared" si="662"/>
        <v>0</v>
      </c>
      <c r="H2512" s="16" t="s">
        <v>262</v>
      </c>
      <c r="I2512" s="10">
        <f t="shared" si="661"/>
        <v>514.28571428571433</v>
      </c>
      <c r="J2512" s="16" t="s">
        <v>16</v>
      </c>
      <c r="K2512" s="15"/>
      <c r="L2512" s="15"/>
      <c r="M2512" s="17"/>
      <c r="N2512" s="9"/>
      <c r="O2512" s="18"/>
      <c r="P2512" s="9"/>
      <c r="Q2512" s="9"/>
      <c r="R2512" s="9"/>
      <c r="S2512" s="10">
        <f t="shared" si="660"/>
        <v>514.28571428571433</v>
      </c>
    </row>
    <row r="2513" spans="2:19" customFormat="1" hidden="1" outlineLevel="1">
      <c r="B2513" s="13" t="s">
        <v>172</v>
      </c>
      <c r="C2513" s="7" t="str">
        <f t="shared" si="659"/>
        <v>ROLO COMPACTADOR HAMM HD90 CHASSIS A05138</v>
      </c>
      <c r="D2513" s="8">
        <f t="shared" si="657"/>
        <v>46093</v>
      </c>
      <c r="E2513" s="15"/>
      <c r="F2513" s="15"/>
      <c r="G2513" s="15">
        <f t="shared" si="662"/>
        <v>0</v>
      </c>
      <c r="H2513" s="16" t="s">
        <v>262</v>
      </c>
      <c r="I2513" s="10">
        <f t="shared" si="661"/>
        <v>514.28571428571433</v>
      </c>
      <c r="J2513" s="16" t="s">
        <v>16</v>
      </c>
      <c r="K2513" s="15"/>
      <c r="L2513" s="15"/>
      <c r="M2513" s="17"/>
      <c r="N2513" s="9"/>
      <c r="O2513" s="18"/>
      <c r="P2513" s="9"/>
      <c r="Q2513" s="9"/>
      <c r="R2513" s="9"/>
      <c r="S2513" s="10">
        <f t="shared" si="660"/>
        <v>514.28571428571433</v>
      </c>
    </row>
    <row r="2514" spans="2:19" customFormat="1" hidden="1" outlineLevel="1">
      <c r="B2514" s="13" t="s">
        <v>172</v>
      </c>
      <c r="C2514" s="7" t="str">
        <f t="shared" si="659"/>
        <v>ROLO COMPACTADOR HAMM HD90 CHASSIS A05138</v>
      </c>
      <c r="D2514" s="8">
        <f t="shared" si="657"/>
        <v>46094</v>
      </c>
      <c r="E2514" s="15"/>
      <c r="F2514" s="15"/>
      <c r="G2514" s="15">
        <f t="shared" si="662"/>
        <v>0</v>
      </c>
      <c r="H2514" s="16" t="s">
        <v>262</v>
      </c>
      <c r="I2514" s="10">
        <f t="shared" si="661"/>
        <v>514.28571428571433</v>
      </c>
      <c r="J2514" s="16" t="s">
        <v>16</v>
      </c>
      <c r="K2514" s="15"/>
      <c r="L2514" s="15"/>
      <c r="M2514" s="17"/>
      <c r="N2514" s="9"/>
      <c r="O2514" s="18">
        <f t="shared" ref="O2514:O2529" si="663">O2513</f>
        <v>0</v>
      </c>
      <c r="P2514" s="9"/>
      <c r="Q2514" s="9"/>
      <c r="R2514" s="9"/>
      <c r="S2514" s="10">
        <f t="shared" si="660"/>
        <v>514.28571428571433</v>
      </c>
    </row>
    <row r="2515" spans="2:19" customFormat="1" hidden="1" outlineLevel="1">
      <c r="B2515" s="13" t="s">
        <v>172</v>
      </c>
      <c r="C2515" s="7" t="str">
        <f t="shared" si="659"/>
        <v>ROLO COMPACTADOR HAMM HD90 CHASSIS A05138</v>
      </c>
      <c r="D2515" s="8">
        <f t="shared" si="657"/>
        <v>46095</v>
      </c>
      <c r="E2515" s="15"/>
      <c r="F2515" s="15"/>
      <c r="G2515" s="15">
        <f t="shared" si="662"/>
        <v>0</v>
      </c>
      <c r="H2515" s="16" t="s">
        <v>262</v>
      </c>
      <c r="I2515" s="10">
        <f t="shared" si="661"/>
        <v>514.28571428571433</v>
      </c>
      <c r="J2515" s="16" t="s">
        <v>16</v>
      </c>
      <c r="K2515" s="15"/>
      <c r="L2515" s="15"/>
      <c r="M2515" s="17"/>
      <c r="N2515" s="9"/>
      <c r="O2515" s="18">
        <f t="shared" si="663"/>
        <v>0</v>
      </c>
      <c r="P2515" s="9"/>
      <c r="Q2515" s="9"/>
      <c r="R2515" s="9"/>
      <c r="S2515" s="10">
        <f t="shared" si="660"/>
        <v>514.28571428571433</v>
      </c>
    </row>
    <row r="2516" spans="2:19" customFormat="1" hidden="1" outlineLevel="1">
      <c r="B2516" s="13" t="s">
        <v>172</v>
      </c>
      <c r="C2516" s="7" t="str">
        <f t="shared" si="659"/>
        <v>ROLO COMPACTADOR HAMM HD90 CHASSIS A05138</v>
      </c>
      <c r="D2516" s="8">
        <f t="shared" si="657"/>
        <v>46096</v>
      </c>
      <c r="E2516" s="15"/>
      <c r="F2516" s="15"/>
      <c r="G2516" s="15">
        <f t="shared" si="662"/>
        <v>0</v>
      </c>
      <c r="H2516" s="16" t="s">
        <v>262</v>
      </c>
      <c r="I2516" s="10">
        <f t="shared" si="661"/>
        <v>514.28571428571433</v>
      </c>
      <c r="J2516" s="16" t="s">
        <v>16</v>
      </c>
      <c r="K2516" s="15"/>
      <c r="L2516" s="15"/>
      <c r="M2516" s="17"/>
      <c r="N2516" s="9"/>
      <c r="O2516" s="18">
        <f t="shared" si="663"/>
        <v>0</v>
      </c>
      <c r="P2516" s="9"/>
      <c r="Q2516" s="9"/>
      <c r="R2516" s="9"/>
      <c r="S2516" s="10">
        <f t="shared" si="660"/>
        <v>514.28571428571433</v>
      </c>
    </row>
    <row r="2517" spans="2:19" customFormat="1" hidden="1" outlineLevel="1">
      <c r="B2517" s="13" t="s">
        <v>172</v>
      </c>
      <c r="C2517" s="7" t="str">
        <f t="shared" si="659"/>
        <v>ROLO COMPACTADOR HAMM HD90 CHASSIS A05138</v>
      </c>
      <c r="D2517" s="8">
        <f t="shared" si="657"/>
        <v>46097</v>
      </c>
      <c r="E2517" s="15"/>
      <c r="F2517" s="15"/>
      <c r="G2517" s="15">
        <f t="shared" si="662"/>
        <v>0</v>
      </c>
      <c r="H2517" s="16" t="s">
        <v>262</v>
      </c>
      <c r="I2517" s="10">
        <f t="shared" si="661"/>
        <v>514.28571428571433</v>
      </c>
      <c r="J2517" s="16" t="s">
        <v>16</v>
      </c>
      <c r="K2517" s="15"/>
      <c r="L2517" s="15"/>
      <c r="M2517" s="17"/>
      <c r="N2517" s="9"/>
      <c r="O2517" s="18">
        <f t="shared" si="663"/>
        <v>0</v>
      </c>
      <c r="P2517" s="9"/>
      <c r="Q2517" s="9"/>
      <c r="R2517" s="9"/>
      <c r="S2517" s="10">
        <f t="shared" si="660"/>
        <v>514.28571428571433</v>
      </c>
    </row>
    <row r="2518" spans="2:19" customFormat="1" hidden="1" outlineLevel="1">
      <c r="B2518" s="13" t="s">
        <v>172</v>
      </c>
      <c r="C2518" s="7" t="str">
        <f t="shared" si="659"/>
        <v>ROLO COMPACTADOR HAMM HD90 CHASSIS A05138</v>
      </c>
      <c r="D2518" s="8">
        <f t="shared" si="657"/>
        <v>46098</v>
      </c>
      <c r="E2518" s="15"/>
      <c r="F2518" s="15"/>
      <c r="G2518" s="15">
        <f t="shared" si="662"/>
        <v>0</v>
      </c>
      <c r="H2518" s="16" t="s">
        <v>262</v>
      </c>
      <c r="I2518" s="10">
        <f t="shared" si="661"/>
        <v>514.28571428571433</v>
      </c>
      <c r="J2518" s="16" t="s">
        <v>16</v>
      </c>
      <c r="K2518" s="15"/>
      <c r="L2518" s="15"/>
      <c r="M2518" s="17"/>
      <c r="N2518" s="9"/>
      <c r="O2518" s="18">
        <f t="shared" si="663"/>
        <v>0</v>
      </c>
      <c r="P2518" s="9"/>
      <c r="Q2518" s="9"/>
      <c r="R2518" s="9"/>
      <c r="S2518" s="10">
        <f t="shared" si="660"/>
        <v>514.28571428571433</v>
      </c>
    </row>
    <row r="2519" spans="2:19" customFormat="1" hidden="1" outlineLevel="1">
      <c r="B2519" s="13" t="s">
        <v>172</v>
      </c>
      <c r="C2519" s="7" t="str">
        <f t="shared" si="659"/>
        <v>ROLO COMPACTADOR HAMM HD90 CHASSIS A05138</v>
      </c>
      <c r="D2519" s="8">
        <f t="shared" si="657"/>
        <v>46099</v>
      </c>
      <c r="E2519" s="15"/>
      <c r="F2519" s="15"/>
      <c r="G2519" s="15">
        <f t="shared" si="662"/>
        <v>0</v>
      </c>
      <c r="H2519" s="16" t="s">
        <v>262</v>
      </c>
      <c r="I2519" s="10">
        <f t="shared" si="661"/>
        <v>514.28571428571433</v>
      </c>
      <c r="J2519" s="16" t="s">
        <v>16</v>
      </c>
      <c r="K2519" s="15"/>
      <c r="L2519" s="15"/>
      <c r="M2519" s="17"/>
      <c r="N2519" s="9"/>
      <c r="O2519" s="18">
        <f t="shared" si="663"/>
        <v>0</v>
      </c>
      <c r="P2519" s="9"/>
      <c r="Q2519" s="9"/>
      <c r="R2519" s="9"/>
      <c r="S2519" s="10">
        <f t="shared" si="660"/>
        <v>514.28571428571433</v>
      </c>
    </row>
    <row r="2520" spans="2:19" customFormat="1" hidden="1" outlineLevel="1">
      <c r="B2520" s="13" t="s">
        <v>172</v>
      </c>
      <c r="C2520" s="7" t="str">
        <f t="shared" si="659"/>
        <v>ROLO COMPACTADOR HAMM HD90 CHASSIS A05138</v>
      </c>
      <c r="D2520" s="8">
        <f t="shared" si="657"/>
        <v>46100</v>
      </c>
      <c r="E2520" s="15"/>
      <c r="F2520" s="15"/>
      <c r="G2520" s="15">
        <f t="shared" si="662"/>
        <v>0</v>
      </c>
      <c r="H2520" s="16" t="s">
        <v>262</v>
      </c>
      <c r="I2520" s="10">
        <f t="shared" si="661"/>
        <v>514.28571428571433</v>
      </c>
      <c r="J2520" s="16" t="s">
        <v>16</v>
      </c>
      <c r="K2520" s="15"/>
      <c r="L2520" s="15"/>
      <c r="M2520" s="17"/>
      <c r="N2520" s="9"/>
      <c r="O2520" s="18">
        <f t="shared" si="663"/>
        <v>0</v>
      </c>
      <c r="P2520" s="9"/>
      <c r="Q2520" s="9"/>
      <c r="R2520" s="9"/>
      <c r="S2520" s="10">
        <f t="shared" si="660"/>
        <v>514.28571428571433</v>
      </c>
    </row>
    <row r="2521" spans="2:19" customFormat="1" hidden="1" outlineLevel="1">
      <c r="B2521" s="13" t="s">
        <v>172</v>
      </c>
      <c r="C2521" s="7" t="str">
        <f t="shared" si="659"/>
        <v>ROLO COMPACTADOR HAMM HD90 CHASSIS A05138</v>
      </c>
      <c r="D2521" s="8">
        <f t="shared" si="657"/>
        <v>46101</v>
      </c>
      <c r="E2521" s="15"/>
      <c r="F2521" s="15"/>
      <c r="G2521" s="15">
        <f t="shared" si="662"/>
        <v>0</v>
      </c>
      <c r="H2521" s="16" t="s">
        <v>262</v>
      </c>
      <c r="I2521" s="10">
        <f t="shared" si="661"/>
        <v>514.28571428571433</v>
      </c>
      <c r="J2521" s="16" t="s">
        <v>16</v>
      </c>
      <c r="K2521" s="15"/>
      <c r="L2521" s="15"/>
      <c r="M2521" s="17"/>
      <c r="N2521" s="9"/>
      <c r="O2521" s="18">
        <f t="shared" si="663"/>
        <v>0</v>
      </c>
      <c r="P2521" s="9"/>
      <c r="Q2521" s="9"/>
      <c r="R2521" s="9"/>
      <c r="S2521" s="10">
        <f t="shared" si="660"/>
        <v>514.28571428571433</v>
      </c>
    </row>
    <row r="2522" spans="2:19" customFormat="1" hidden="1" outlineLevel="1">
      <c r="B2522" s="13" t="s">
        <v>172</v>
      </c>
      <c r="C2522" s="7" t="str">
        <f t="shared" si="659"/>
        <v>ROLO COMPACTADOR HAMM HD90 CHASSIS A05138</v>
      </c>
      <c r="D2522" s="8">
        <f t="shared" si="657"/>
        <v>46102</v>
      </c>
      <c r="E2522" s="15"/>
      <c r="F2522" s="15"/>
      <c r="G2522" s="15">
        <f t="shared" si="662"/>
        <v>0</v>
      </c>
      <c r="H2522" s="16" t="s">
        <v>262</v>
      </c>
      <c r="I2522" s="10">
        <f t="shared" si="661"/>
        <v>514.28571428571433</v>
      </c>
      <c r="J2522" s="16" t="s">
        <v>16</v>
      </c>
      <c r="K2522" s="15"/>
      <c r="L2522" s="15"/>
      <c r="M2522" s="17"/>
      <c r="N2522" s="9"/>
      <c r="O2522" s="18">
        <f t="shared" si="663"/>
        <v>0</v>
      </c>
      <c r="P2522" s="9"/>
      <c r="Q2522" s="9"/>
      <c r="R2522" s="9"/>
      <c r="S2522" s="10">
        <f t="shared" si="660"/>
        <v>514.28571428571433</v>
      </c>
    </row>
    <row r="2523" spans="2:19" customFormat="1" hidden="1" outlineLevel="1">
      <c r="B2523" s="13" t="s">
        <v>172</v>
      </c>
      <c r="C2523" s="7" t="str">
        <f t="shared" si="659"/>
        <v>ROLO COMPACTADOR HAMM HD90 CHASSIS A05138</v>
      </c>
      <c r="D2523" s="8">
        <f t="shared" si="657"/>
        <v>46103</v>
      </c>
      <c r="E2523" s="15"/>
      <c r="F2523" s="15"/>
      <c r="G2523" s="15">
        <f t="shared" si="662"/>
        <v>0</v>
      </c>
      <c r="H2523" s="16" t="s">
        <v>262</v>
      </c>
      <c r="I2523" s="10">
        <f t="shared" si="661"/>
        <v>514.28571428571433</v>
      </c>
      <c r="J2523" s="16" t="s">
        <v>16</v>
      </c>
      <c r="K2523" s="15"/>
      <c r="L2523" s="15"/>
      <c r="M2523" s="17"/>
      <c r="N2523" s="9"/>
      <c r="O2523" s="18">
        <f t="shared" si="663"/>
        <v>0</v>
      </c>
      <c r="P2523" s="9"/>
      <c r="Q2523" s="9"/>
      <c r="R2523" s="9"/>
      <c r="S2523" s="10">
        <f t="shared" si="660"/>
        <v>514.28571428571433</v>
      </c>
    </row>
    <row r="2524" spans="2:19" customFormat="1" hidden="1" outlineLevel="1">
      <c r="B2524" s="13" t="s">
        <v>172</v>
      </c>
      <c r="C2524" s="7" t="str">
        <f t="shared" si="659"/>
        <v>ROLO COMPACTADOR HAMM HD90 CHASSIS A05138</v>
      </c>
      <c r="D2524" s="8">
        <f t="shared" si="657"/>
        <v>46104</v>
      </c>
      <c r="E2524" s="15"/>
      <c r="F2524" s="15"/>
      <c r="G2524" s="15">
        <f t="shared" si="662"/>
        <v>0</v>
      </c>
      <c r="H2524" s="16" t="s">
        <v>262</v>
      </c>
      <c r="I2524" s="10">
        <f t="shared" si="661"/>
        <v>514.28571428571433</v>
      </c>
      <c r="J2524" s="16" t="s">
        <v>16</v>
      </c>
      <c r="K2524" s="15"/>
      <c r="L2524" s="15"/>
      <c r="M2524" s="17"/>
      <c r="N2524" s="9"/>
      <c r="O2524" s="18">
        <f t="shared" si="663"/>
        <v>0</v>
      </c>
      <c r="P2524" s="9"/>
      <c r="Q2524" s="9"/>
      <c r="R2524" s="9"/>
      <c r="S2524" s="10">
        <f t="shared" si="660"/>
        <v>514.28571428571433</v>
      </c>
    </row>
    <row r="2525" spans="2:19" customFormat="1" hidden="1" outlineLevel="1">
      <c r="B2525" s="13" t="s">
        <v>172</v>
      </c>
      <c r="C2525" s="7" t="str">
        <f t="shared" si="659"/>
        <v>ROLO COMPACTADOR HAMM HD90 CHASSIS A05138</v>
      </c>
      <c r="D2525" s="8">
        <f t="shared" si="657"/>
        <v>46105</v>
      </c>
      <c r="E2525" s="15"/>
      <c r="F2525" s="15"/>
      <c r="G2525" s="15">
        <f t="shared" si="662"/>
        <v>0</v>
      </c>
      <c r="H2525" s="16" t="s">
        <v>262</v>
      </c>
      <c r="I2525" s="10">
        <f t="shared" si="661"/>
        <v>514.28571428571433</v>
      </c>
      <c r="J2525" s="16" t="s">
        <v>16</v>
      </c>
      <c r="K2525" s="15"/>
      <c r="L2525" s="15"/>
      <c r="M2525" s="17"/>
      <c r="N2525" s="9"/>
      <c r="O2525" s="18">
        <f t="shared" si="663"/>
        <v>0</v>
      </c>
      <c r="P2525" s="9"/>
      <c r="Q2525" s="9"/>
      <c r="R2525" s="9"/>
      <c r="S2525" s="10">
        <f t="shared" si="660"/>
        <v>514.28571428571433</v>
      </c>
    </row>
    <row r="2526" spans="2:19" customFormat="1" hidden="1" outlineLevel="1">
      <c r="B2526" s="13" t="s">
        <v>172</v>
      </c>
      <c r="C2526" s="7" t="str">
        <f t="shared" si="659"/>
        <v>ROLO COMPACTADOR HAMM HD90 CHASSIS A05138</v>
      </c>
      <c r="D2526" s="8">
        <f t="shared" si="657"/>
        <v>46106</v>
      </c>
      <c r="E2526" s="15"/>
      <c r="F2526" s="15"/>
      <c r="G2526" s="15">
        <f t="shared" si="662"/>
        <v>0</v>
      </c>
      <c r="H2526" s="16" t="s">
        <v>262</v>
      </c>
      <c r="I2526" s="10">
        <f t="shared" si="661"/>
        <v>514.28571428571433</v>
      </c>
      <c r="J2526" s="16" t="s">
        <v>16</v>
      </c>
      <c r="K2526" s="15"/>
      <c r="L2526" s="15"/>
      <c r="M2526" s="17"/>
      <c r="N2526" s="9"/>
      <c r="O2526" s="18">
        <f t="shared" si="663"/>
        <v>0</v>
      </c>
      <c r="P2526" s="9"/>
      <c r="Q2526" s="9"/>
      <c r="R2526" s="9"/>
      <c r="S2526" s="10">
        <f t="shared" si="660"/>
        <v>514.28571428571433</v>
      </c>
    </row>
    <row r="2527" spans="2:19" customFormat="1" hidden="1" outlineLevel="1">
      <c r="B2527" s="13" t="s">
        <v>172</v>
      </c>
      <c r="C2527" s="7" t="str">
        <f t="shared" si="659"/>
        <v>ROLO COMPACTADOR HAMM HD90 CHASSIS A05138</v>
      </c>
      <c r="D2527" s="8">
        <f t="shared" si="657"/>
        <v>46107</v>
      </c>
      <c r="E2527" s="15"/>
      <c r="F2527" s="15"/>
      <c r="G2527" s="15">
        <f t="shared" si="662"/>
        <v>0</v>
      </c>
      <c r="H2527" s="16" t="s">
        <v>262</v>
      </c>
      <c r="I2527" s="10">
        <f t="shared" si="661"/>
        <v>514.28571428571433</v>
      </c>
      <c r="J2527" s="16" t="s">
        <v>16</v>
      </c>
      <c r="K2527" s="15"/>
      <c r="L2527" s="15"/>
      <c r="M2527" s="17"/>
      <c r="N2527" s="9"/>
      <c r="O2527" s="18">
        <f t="shared" si="663"/>
        <v>0</v>
      </c>
      <c r="P2527" s="9"/>
      <c r="Q2527" s="9"/>
      <c r="R2527" s="9"/>
      <c r="S2527" s="10">
        <f t="shared" si="660"/>
        <v>514.28571428571433</v>
      </c>
    </row>
    <row r="2528" spans="2:19" customFormat="1" hidden="1" outlineLevel="1">
      <c r="B2528" s="13" t="s">
        <v>172</v>
      </c>
      <c r="C2528" s="7" t="str">
        <f t="shared" si="659"/>
        <v>ROLO COMPACTADOR HAMM HD90 CHASSIS A05138</v>
      </c>
      <c r="D2528" s="8">
        <f t="shared" si="657"/>
        <v>46108</v>
      </c>
      <c r="E2528" s="15"/>
      <c r="F2528" s="15"/>
      <c r="G2528" s="15">
        <f t="shared" si="662"/>
        <v>0</v>
      </c>
      <c r="H2528" s="16" t="s">
        <v>262</v>
      </c>
      <c r="I2528" s="10">
        <f t="shared" si="661"/>
        <v>514.28571428571433</v>
      </c>
      <c r="J2528" s="16" t="s">
        <v>16</v>
      </c>
      <c r="K2528" s="15"/>
      <c r="L2528" s="15"/>
      <c r="M2528" s="17"/>
      <c r="N2528" s="9"/>
      <c r="O2528" s="18">
        <f t="shared" si="663"/>
        <v>0</v>
      </c>
      <c r="P2528" s="9"/>
      <c r="Q2528" s="9"/>
      <c r="R2528" s="9"/>
      <c r="S2528" s="10">
        <f t="shared" si="660"/>
        <v>514.28571428571433</v>
      </c>
    </row>
    <row r="2529" spans="2:19" customFormat="1" hidden="1" outlineLevel="1">
      <c r="B2529" s="13" t="s">
        <v>172</v>
      </c>
      <c r="C2529" s="7" t="str">
        <f t="shared" si="659"/>
        <v>ROLO COMPACTADOR HAMM HD90 CHASSIS A05138</v>
      </c>
      <c r="D2529" s="8">
        <f t="shared" si="657"/>
        <v>46112</v>
      </c>
      <c r="E2529" s="15"/>
      <c r="F2529" s="15"/>
      <c r="G2529" s="15">
        <f t="shared" si="662"/>
        <v>0</v>
      </c>
      <c r="H2529" s="16" t="s">
        <v>262</v>
      </c>
      <c r="I2529" s="10">
        <f t="shared" si="661"/>
        <v>514.28571428571433</v>
      </c>
      <c r="J2529" s="16" t="s">
        <v>16</v>
      </c>
      <c r="K2529" s="15"/>
      <c r="L2529" s="15"/>
      <c r="M2529" s="17"/>
      <c r="N2529" s="9"/>
      <c r="O2529" s="18">
        <f t="shared" si="663"/>
        <v>0</v>
      </c>
      <c r="P2529" s="9"/>
      <c r="Q2529" s="9"/>
      <c r="R2529" s="9"/>
      <c r="S2529" s="10">
        <f t="shared" si="660"/>
        <v>514.28571428571433</v>
      </c>
    </row>
    <row r="2530" spans="2:19" customFormat="1" collapsed="1">
      <c r="B2530" s="13" t="s">
        <v>172</v>
      </c>
      <c r="D2530" s="1"/>
      <c r="E2530" s="2"/>
      <c r="F2530" s="2"/>
      <c r="G2530" s="2"/>
      <c r="K2530" s="2"/>
      <c r="L2530" s="2"/>
      <c r="O2530" s="2"/>
      <c r="P2530" s="2"/>
      <c r="Q2530" s="2"/>
      <c r="R2530" s="2"/>
    </row>
    <row r="2531" spans="2:19" customFormat="1">
      <c r="B2531" s="13" t="s">
        <v>172</v>
      </c>
      <c r="C2531" s="3" t="s">
        <v>281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35" t="str">
        <f>M$1</f>
        <v>BM JANEIRO 2026</v>
      </c>
      <c r="N2531" s="135"/>
      <c r="O2531" s="135"/>
      <c r="P2531" s="19" t="s">
        <v>10</v>
      </c>
      <c r="Q2531" s="136" t="s">
        <v>194</v>
      </c>
      <c r="R2531" s="136"/>
      <c r="S2531" s="136"/>
    </row>
    <row r="2532" spans="2:19" customFormat="1">
      <c r="B2532" s="14"/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customFormat="1" hidden="1" outlineLevel="1">
      <c r="B2533" s="11" t="s">
        <v>174</v>
      </c>
      <c r="C2533" s="7" t="str">
        <f>C$2531</f>
        <v>ESPARGIDOR MERCEDES ATEGO 1719 PLACA OLX-8A75 ANO 2012</v>
      </c>
      <c r="D2533" s="8">
        <f t="shared" ref="D2533:D2560" si="664">D2471</f>
        <v>46082</v>
      </c>
      <c r="E2533" s="15"/>
      <c r="F2533" s="15"/>
      <c r="G2533" s="15">
        <f t="shared" ref="G2533:G2536" si="665">F2533-E2533</f>
        <v>0</v>
      </c>
      <c r="H2533" s="16" t="s">
        <v>205</v>
      </c>
      <c r="I2533" s="10">
        <f>P2533</f>
        <v>714.28571428571433</v>
      </c>
      <c r="J2533" s="16" t="s">
        <v>16</v>
      </c>
      <c r="K2533" s="15"/>
      <c r="L2533" s="15"/>
      <c r="M2533" s="17"/>
      <c r="N2533" s="9"/>
      <c r="O2533" s="9">
        <v>20000</v>
      </c>
      <c r="P2533" s="9">
        <f>O2533/28</f>
        <v>714.28571428571433</v>
      </c>
      <c r="Q2533" s="9"/>
      <c r="R2533" s="9"/>
      <c r="S2533" s="10">
        <f t="shared" ref="S2533:S2560" si="666">SUM(R2533+Q2533+I2533)</f>
        <v>714.28571428571433</v>
      </c>
    </row>
    <row r="2534" spans="2:19" customFormat="1" hidden="1" outlineLevel="1">
      <c r="B2534" s="12" t="s">
        <v>0</v>
      </c>
      <c r="C2534" s="7" t="str">
        <f t="shared" ref="C2534:C2560" si="667">C$2531</f>
        <v>ESPARGIDOR MERCEDES ATEGO 1719 PLACA OLX-8A75 ANO 2012</v>
      </c>
      <c r="D2534" s="8">
        <f t="shared" si="664"/>
        <v>46083</v>
      </c>
      <c r="E2534" s="15">
        <v>51605</v>
      </c>
      <c r="F2534" s="15">
        <v>51670</v>
      </c>
      <c r="G2534" s="15">
        <f t="shared" si="665"/>
        <v>65</v>
      </c>
      <c r="H2534" s="16" t="s">
        <v>205</v>
      </c>
      <c r="I2534" s="10">
        <f>I2533</f>
        <v>714.28571428571433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9"/>
      <c r="S2534" s="10">
        <f t="shared" si="666"/>
        <v>714.28571428571433</v>
      </c>
    </row>
    <row r="2535" spans="2:19" customFormat="1" hidden="1" outlineLevel="1">
      <c r="B2535" s="13" t="s">
        <v>174</v>
      </c>
      <c r="C2535" s="7" t="str">
        <f>C$2531</f>
        <v>ESPARGIDOR MERCEDES ATEGO 1719 PLACA OLX-8A75 ANO 2012</v>
      </c>
      <c r="D2535" s="8">
        <f t="shared" si="664"/>
        <v>46084</v>
      </c>
      <c r="E2535" s="15">
        <v>51670</v>
      </c>
      <c r="F2535" s="15">
        <v>51718</v>
      </c>
      <c r="G2535" s="15">
        <f t="shared" si="665"/>
        <v>48</v>
      </c>
      <c r="H2535" s="16" t="s">
        <v>205</v>
      </c>
      <c r="I2535" s="10">
        <f t="shared" ref="I2535:I2560" si="668">I2534</f>
        <v>714.28571428571433</v>
      </c>
      <c r="J2535" s="16"/>
      <c r="K2535" s="15">
        <v>1</v>
      </c>
      <c r="L2535" s="15"/>
      <c r="M2535" s="17"/>
      <c r="N2535" s="9"/>
      <c r="O2535" s="9"/>
      <c r="P2535" s="9"/>
      <c r="Q2535" s="9"/>
      <c r="R2535" s="9"/>
      <c r="S2535" s="10">
        <f t="shared" si="666"/>
        <v>714.28571428571433</v>
      </c>
    </row>
    <row r="2536" spans="2:19" customFormat="1" hidden="1" outlineLevel="1">
      <c r="B2536" s="13" t="s">
        <v>174</v>
      </c>
      <c r="C2536" s="7" t="str">
        <f t="shared" si="667"/>
        <v>ESPARGIDOR MERCEDES ATEGO 1719 PLACA OLX-8A75 ANO 2012</v>
      </c>
      <c r="D2536" s="8">
        <f t="shared" si="664"/>
        <v>46085</v>
      </c>
      <c r="E2536" s="15">
        <v>51718</v>
      </c>
      <c r="F2536" s="15">
        <v>51793</v>
      </c>
      <c r="G2536" s="15">
        <f t="shared" si="665"/>
        <v>75</v>
      </c>
      <c r="H2536" s="16" t="s">
        <v>205</v>
      </c>
      <c r="I2536" s="10">
        <f t="shared" si="668"/>
        <v>714.28571428571433</v>
      </c>
      <c r="J2536" s="16"/>
      <c r="K2536" s="15">
        <v>1</v>
      </c>
      <c r="L2536" s="15">
        <v>140</v>
      </c>
      <c r="M2536" s="17">
        <v>46057</v>
      </c>
      <c r="N2536" s="9"/>
      <c r="O2536" s="9"/>
      <c r="P2536" s="9"/>
      <c r="Q2536" s="9"/>
      <c r="R2536" s="9"/>
      <c r="S2536" s="10">
        <f t="shared" si="666"/>
        <v>714.28571428571433</v>
      </c>
    </row>
    <row r="2537" spans="2:19" customFormat="1" hidden="1" outlineLevel="1">
      <c r="B2537" s="13" t="s">
        <v>174</v>
      </c>
      <c r="C2537" s="7" t="str">
        <f t="shared" si="667"/>
        <v>ESPARGIDOR MERCEDES ATEGO 1719 PLACA OLX-8A75 ANO 2012</v>
      </c>
      <c r="D2537" s="8">
        <f t="shared" si="664"/>
        <v>46086</v>
      </c>
      <c r="E2537" s="15"/>
      <c r="F2537" s="15"/>
      <c r="G2537" s="15">
        <f t="shared" ref="G2537:G2560" si="669">F2537-E2537</f>
        <v>0</v>
      </c>
      <c r="H2537" s="16" t="s">
        <v>205</v>
      </c>
      <c r="I2537" s="10">
        <f t="shared" si="668"/>
        <v>714.28571428571433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9"/>
      <c r="S2537" s="10">
        <f t="shared" si="666"/>
        <v>714.28571428571433</v>
      </c>
    </row>
    <row r="2538" spans="2:19" customFormat="1" hidden="1" outlineLevel="1">
      <c r="B2538" s="13" t="s">
        <v>174</v>
      </c>
      <c r="C2538" s="7" t="str">
        <f t="shared" si="667"/>
        <v>ESPARGIDOR MERCEDES ATEGO 1719 PLACA OLX-8A75 ANO 2012</v>
      </c>
      <c r="D2538" s="114">
        <f t="shared" si="664"/>
        <v>46087</v>
      </c>
      <c r="E2538" s="15">
        <v>51793</v>
      </c>
      <c r="F2538" s="15">
        <v>52033</v>
      </c>
      <c r="G2538" s="15">
        <f t="shared" si="669"/>
        <v>240</v>
      </c>
      <c r="H2538" s="16" t="s">
        <v>205</v>
      </c>
      <c r="I2538" s="10">
        <f t="shared" si="668"/>
        <v>714.28571428571433</v>
      </c>
      <c r="J2538" s="16"/>
      <c r="K2538" s="15">
        <v>1</v>
      </c>
      <c r="L2538" s="15"/>
      <c r="M2538" s="17"/>
      <c r="N2538" s="9"/>
      <c r="O2538" s="18"/>
      <c r="P2538" s="9"/>
      <c r="Q2538" s="9"/>
      <c r="R2538" s="9"/>
      <c r="S2538" s="10">
        <f t="shared" si="666"/>
        <v>714.28571428571433</v>
      </c>
    </row>
    <row r="2539" spans="2:19" customFormat="1" hidden="1" outlineLevel="1">
      <c r="B2539" s="13" t="s">
        <v>174</v>
      </c>
      <c r="C2539" s="7" t="str">
        <f t="shared" si="667"/>
        <v>ESPARGIDOR MERCEDES ATEGO 1719 PLACA OLX-8A75 ANO 2012</v>
      </c>
      <c r="D2539" s="8">
        <f t="shared" si="664"/>
        <v>46088</v>
      </c>
      <c r="E2539" s="15"/>
      <c r="F2539" s="15"/>
      <c r="G2539" s="15">
        <f t="shared" si="669"/>
        <v>0</v>
      </c>
      <c r="H2539" s="16" t="s">
        <v>205</v>
      </c>
      <c r="I2539" s="10">
        <f t="shared" si="668"/>
        <v>714.28571428571433</v>
      </c>
      <c r="J2539" s="16" t="s">
        <v>16</v>
      </c>
      <c r="K2539" s="15"/>
      <c r="L2539" s="15"/>
      <c r="M2539" s="17"/>
      <c r="N2539" s="9"/>
      <c r="O2539" s="18"/>
      <c r="P2539" s="9"/>
      <c r="Q2539" s="9"/>
      <c r="R2539" s="9"/>
      <c r="S2539" s="10">
        <f t="shared" si="666"/>
        <v>714.28571428571433</v>
      </c>
    </row>
    <row r="2540" spans="2:19" customFormat="1" hidden="1" outlineLevel="1">
      <c r="B2540" s="13" t="s">
        <v>174</v>
      </c>
      <c r="C2540" s="7" t="str">
        <f t="shared" si="667"/>
        <v>ESPARGIDOR MERCEDES ATEGO 1719 PLACA OLX-8A75 ANO 2012</v>
      </c>
      <c r="D2540" s="8">
        <f t="shared" si="664"/>
        <v>46089</v>
      </c>
      <c r="E2540" s="15"/>
      <c r="F2540" s="15"/>
      <c r="G2540" s="15">
        <f t="shared" si="669"/>
        <v>0</v>
      </c>
      <c r="H2540" s="16" t="s">
        <v>205</v>
      </c>
      <c r="I2540" s="10">
        <f t="shared" si="668"/>
        <v>714.28571428571433</v>
      </c>
      <c r="J2540" s="16" t="s">
        <v>16</v>
      </c>
      <c r="K2540" s="15"/>
      <c r="L2540" s="15"/>
      <c r="M2540" s="17"/>
      <c r="N2540" s="9"/>
      <c r="O2540" s="18"/>
      <c r="P2540" s="9"/>
      <c r="Q2540" s="9"/>
      <c r="R2540" s="9"/>
      <c r="S2540" s="10">
        <f t="shared" si="666"/>
        <v>714.28571428571433</v>
      </c>
    </row>
    <row r="2541" spans="2:19" customFormat="1" hidden="1" outlineLevel="1">
      <c r="B2541" s="13" t="s">
        <v>174</v>
      </c>
      <c r="C2541" s="7" t="str">
        <f t="shared" si="667"/>
        <v>ESPARGIDOR MERCEDES ATEGO 1719 PLACA OLX-8A75 ANO 2012</v>
      </c>
      <c r="D2541" s="8">
        <f t="shared" si="664"/>
        <v>46090</v>
      </c>
      <c r="E2541" s="15"/>
      <c r="F2541" s="15"/>
      <c r="G2541" s="15">
        <f t="shared" si="669"/>
        <v>0</v>
      </c>
      <c r="H2541" s="16" t="s">
        <v>205</v>
      </c>
      <c r="I2541" s="10">
        <f t="shared" si="668"/>
        <v>714.28571428571433</v>
      </c>
      <c r="J2541" s="16" t="s">
        <v>16</v>
      </c>
      <c r="K2541" s="15"/>
      <c r="L2541" s="15"/>
      <c r="M2541" s="17"/>
      <c r="N2541" s="9"/>
      <c r="O2541" s="18"/>
      <c r="P2541" s="9"/>
      <c r="Q2541" s="9"/>
      <c r="R2541" s="9"/>
      <c r="S2541" s="10">
        <f t="shared" si="666"/>
        <v>714.28571428571433</v>
      </c>
    </row>
    <row r="2542" spans="2:19" customFormat="1" hidden="1" outlineLevel="1">
      <c r="B2542" s="13" t="s">
        <v>174</v>
      </c>
      <c r="C2542" s="7" t="str">
        <f t="shared" si="667"/>
        <v>ESPARGIDOR MERCEDES ATEGO 1719 PLACA OLX-8A75 ANO 2012</v>
      </c>
      <c r="D2542" s="8">
        <f t="shared" si="664"/>
        <v>46091</v>
      </c>
      <c r="E2542" s="15"/>
      <c r="F2542" s="15"/>
      <c r="G2542" s="15">
        <f t="shared" si="669"/>
        <v>0</v>
      </c>
      <c r="H2542" s="16" t="s">
        <v>205</v>
      </c>
      <c r="I2542" s="10">
        <f t="shared" si="668"/>
        <v>714.28571428571433</v>
      </c>
      <c r="J2542" s="16" t="s">
        <v>16</v>
      </c>
      <c r="K2542" s="15"/>
      <c r="L2542" s="15"/>
      <c r="M2542" s="17"/>
      <c r="N2542" s="9"/>
      <c r="O2542" s="18"/>
      <c r="P2542" s="9"/>
      <c r="Q2542" s="9"/>
      <c r="R2542" s="9"/>
      <c r="S2542" s="10">
        <f t="shared" si="666"/>
        <v>714.28571428571433</v>
      </c>
    </row>
    <row r="2543" spans="2:19" customFormat="1" hidden="1" outlineLevel="1">
      <c r="B2543" s="13" t="s">
        <v>174</v>
      </c>
      <c r="C2543" s="7" t="str">
        <f t="shared" si="667"/>
        <v>ESPARGIDOR MERCEDES ATEGO 1719 PLACA OLX-8A75 ANO 2012</v>
      </c>
      <c r="D2543" s="8">
        <f t="shared" si="664"/>
        <v>46092</v>
      </c>
      <c r="E2543" s="15">
        <v>52033</v>
      </c>
      <c r="F2543" s="15">
        <v>52086</v>
      </c>
      <c r="G2543" s="15">
        <f>F2543-E2543</f>
        <v>53</v>
      </c>
      <c r="H2543" s="16" t="s">
        <v>205</v>
      </c>
      <c r="I2543" s="10">
        <f t="shared" si="668"/>
        <v>714.28571428571433</v>
      </c>
      <c r="J2543" s="16"/>
      <c r="K2543" s="15">
        <v>1</v>
      </c>
      <c r="L2543" s="15">
        <v>70</v>
      </c>
      <c r="M2543" s="17">
        <v>46064</v>
      </c>
      <c r="N2543" s="9"/>
      <c r="O2543" s="18"/>
      <c r="P2543" s="9"/>
      <c r="Q2543" s="9"/>
      <c r="R2543" s="9"/>
      <c r="S2543" s="10">
        <f t="shared" si="666"/>
        <v>714.28571428571433</v>
      </c>
    </row>
    <row r="2544" spans="2:19" customFormat="1" hidden="1" outlineLevel="1">
      <c r="B2544" s="13" t="s">
        <v>174</v>
      </c>
      <c r="C2544" s="7" t="str">
        <f t="shared" si="667"/>
        <v>ESPARGIDOR MERCEDES ATEGO 1719 PLACA OLX-8A75 ANO 2012</v>
      </c>
      <c r="D2544" s="8">
        <f t="shared" si="664"/>
        <v>46093</v>
      </c>
      <c r="E2544" s="15">
        <v>52086</v>
      </c>
      <c r="F2544" s="15">
        <v>52115</v>
      </c>
      <c r="G2544" s="15">
        <f t="shared" si="669"/>
        <v>29</v>
      </c>
      <c r="H2544" s="16" t="s">
        <v>205</v>
      </c>
      <c r="I2544" s="10">
        <f t="shared" si="668"/>
        <v>714.28571428571433</v>
      </c>
      <c r="J2544" s="16"/>
      <c r="K2544" s="15">
        <v>1</v>
      </c>
      <c r="L2544" s="15">
        <v>80</v>
      </c>
      <c r="M2544" s="17">
        <v>46065</v>
      </c>
      <c r="N2544" s="9"/>
      <c r="O2544" s="18">
        <f t="shared" ref="O2544:O2560" si="670">O2543</f>
        <v>0</v>
      </c>
      <c r="P2544" s="9"/>
      <c r="Q2544" s="9"/>
      <c r="R2544" s="9"/>
      <c r="S2544" s="10">
        <f t="shared" si="666"/>
        <v>714.28571428571433</v>
      </c>
    </row>
    <row r="2545" spans="2:19" customFormat="1" hidden="1" outlineLevel="1">
      <c r="B2545" s="13" t="s">
        <v>174</v>
      </c>
      <c r="C2545" s="7" t="str">
        <f t="shared" si="667"/>
        <v>ESPARGIDOR MERCEDES ATEGO 1719 PLACA OLX-8A75 ANO 2012</v>
      </c>
      <c r="D2545" s="8">
        <f t="shared" si="664"/>
        <v>46094</v>
      </c>
      <c r="E2545" s="15">
        <v>52115</v>
      </c>
      <c r="F2545" s="15">
        <v>52223</v>
      </c>
      <c r="G2545" s="15">
        <f t="shared" si="669"/>
        <v>108</v>
      </c>
      <c r="H2545" s="16" t="s">
        <v>205</v>
      </c>
      <c r="I2545" s="10">
        <f t="shared" si="668"/>
        <v>714.28571428571433</v>
      </c>
      <c r="J2545" s="16"/>
      <c r="K2545" s="15">
        <v>1</v>
      </c>
      <c r="L2545" s="15">
        <v>60</v>
      </c>
      <c r="M2545" s="17">
        <v>46066</v>
      </c>
      <c r="N2545" s="9"/>
      <c r="O2545" s="18">
        <f t="shared" si="670"/>
        <v>0</v>
      </c>
      <c r="P2545" s="9"/>
      <c r="Q2545" s="9"/>
      <c r="R2545" s="9"/>
      <c r="S2545" s="10">
        <f t="shared" si="666"/>
        <v>714.28571428571433</v>
      </c>
    </row>
    <row r="2546" spans="2:19" customFormat="1" hidden="1" outlineLevel="1">
      <c r="B2546" s="13" t="s">
        <v>174</v>
      </c>
      <c r="C2546" s="7" t="str">
        <f t="shared" si="667"/>
        <v>ESPARGIDOR MERCEDES ATEGO 1719 PLACA OLX-8A75 ANO 2012</v>
      </c>
      <c r="D2546" s="8">
        <f t="shared" si="664"/>
        <v>46095</v>
      </c>
      <c r="E2546" s="15"/>
      <c r="F2546" s="15"/>
      <c r="G2546" s="15">
        <f>F2546-E2546</f>
        <v>0</v>
      </c>
      <c r="H2546" s="16" t="s">
        <v>205</v>
      </c>
      <c r="I2546" s="10">
        <f t="shared" si="668"/>
        <v>714.28571428571433</v>
      </c>
      <c r="J2546" s="16" t="s">
        <v>16</v>
      </c>
      <c r="K2546" s="15"/>
      <c r="L2546" s="15"/>
      <c r="M2546" s="17"/>
      <c r="N2546" s="9"/>
      <c r="O2546" s="18">
        <f t="shared" si="670"/>
        <v>0</v>
      </c>
      <c r="P2546" s="9"/>
      <c r="Q2546" s="9"/>
      <c r="R2546" s="9"/>
      <c r="S2546" s="10">
        <f t="shared" si="666"/>
        <v>714.28571428571433</v>
      </c>
    </row>
    <row r="2547" spans="2:19" customFormat="1" hidden="1" outlineLevel="1">
      <c r="B2547" s="13" t="s">
        <v>174</v>
      </c>
      <c r="C2547" s="7" t="str">
        <f t="shared" si="667"/>
        <v>ESPARGIDOR MERCEDES ATEGO 1719 PLACA OLX-8A75 ANO 2012</v>
      </c>
      <c r="D2547" s="8">
        <f t="shared" si="664"/>
        <v>46096</v>
      </c>
      <c r="E2547" s="15"/>
      <c r="F2547" s="15"/>
      <c r="G2547" s="15">
        <f>F2547-E2547</f>
        <v>0</v>
      </c>
      <c r="H2547" s="16" t="s">
        <v>205</v>
      </c>
      <c r="I2547" s="10">
        <f t="shared" si="668"/>
        <v>714.28571428571433</v>
      </c>
      <c r="J2547" s="16" t="s">
        <v>16</v>
      </c>
      <c r="K2547" s="15"/>
      <c r="L2547" s="15"/>
      <c r="M2547" s="17"/>
      <c r="N2547" s="9"/>
      <c r="O2547" s="18">
        <f t="shared" si="670"/>
        <v>0</v>
      </c>
      <c r="P2547" s="9"/>
      <c r="Q2547" s="9"/>
      <c r="R2547" s="9"/>
      <c r="S2547" s="10">
        <f t="shared" si="666"/>
        <v>714.28571428571433</v>
      </c>
    </row>
    <row r="2548" spans="2:19" customFormat="1" hidden="1" outlineLevel="1">
      <c r="B2548" s="13" t="s">
        <v>174</v>
      </c>
      <c r="C2548" s="7" t="str">
        <f t="shared" si="667"/>
        <v>ESPARGIDOR MERCEDES ATEGO 1719 PLACA OLX-8A75 ANO 2012</v>
      </c>
      <c r="D2548" s="8">
        <f t="shared" si="664"/>
        <v>46097</v>
      </c>
      <c r="E2548" s="15"/>
      <c r="F2548" s="15"/>
      <c r="G2548" s="15">
        <f>F2548-E2548</f>
        <v>0</v>
      </c>
      <c r="H2548" s="16" t="s">
        <v>205</v>
      </c>
      <c r="I2548" s="10">
        <f t="shared" si="668"/>
        <v>714.28571428571433</v>
      </c>
      <c r="J2548" s="16" t="s">
        <v>16</v>
      </c>
      <c r="K2548" s="15"/>
      <c r="L2548" s="15"/>
      <c r="M2548" s="17"/>
      <c r="N2548" s="9"/>
      <c r="O2548" s="18">
        <f t="shared" si="670"/>
        <v>0</v>
      </c>
      <c r="P2548" s="9"/>
      <c r="Q2548" s="9"/>
      <c r="R2548" s="9"/>
      <c r="S2548" s="10">
        <f t="shared" si="666"/>
        <v>714.28571428571433</v>
      </c>
    </row>
    <row r="2549" spans="2:19" customFormat="1" hidden="1" outlineLevel="1">
      <c r="B2549" s="13" t="s">
        <v>174</v>
      </c>
      <c r="C2549" s="7" t="str">
        <f t="shared" si="667"/>
        <v>ESPARGIDOR MERCEDES ATEGO 1719 PLACA OLX-8A75 ANO 2012</v>
      </c>
      <c r="D2549" s="8">
        <f t="shared" si="664"/>
        <v>46098</v>
      </c>
      <c r="E2549" s="15"/>
      <c r="F2549" s="15"/>
      <c r="G2549" s="15">
        <f>F2549-E2549</f>
        <v>0</v>
      </c>
      <c r="H2549" s="16" t="s">
        <v>205</v>
      </c>
      <c r="I2549" s="10">
        <f t="shared" si="668"/>
        <v>714.28571428571433</v>
      </c>
      <c r="J2549" s="16" t="s">
        <v>16</v>
      </c>
      <c r="K2549" s="15"/>
      <c r="L2549" s="15"/>
      <c r="M2549" s="17"/>
      <c r="N2549" s="9"/>
      <c r="O2549" s="18">
        <f t="shared" si="670"/>
        <v>0</v>
      </c>
      <c r="P2549" s="9"/>
      <c r="Q2549" s="9"/>
      <c r="R2549" s="9"/>
      <c r="S2549" s="10">
        <f t="shared" si="666"/>
        <v>714.28571428571433</v>
      </c>
    </row>
    <row r="2550" spans="2:19" customFormat="1" hidden="1" outlineLevel="1">
      <c r="B2550" s="13" t="s">
        <v>174</v>
      </c>
      <c r="C2550" s="7" t="str">
        <f t="shared" si="667"/>
        <v>ESPARGIDOR MERCEDES ATEGO 1719 PLACA OLX-8A75 ANO 2012</v>
      </c>
      <c r="D2550" s="8">
        <f t="shared" si="664"/>
        <v>46099</v>
      </c>
      <c r="E2550" s="15"/>
      <c r="F2550" s="15"/>
      <c r="G2550" s="15">
        <f>F2550-E2550</f>
        <v>0</v>
      </c>
      <c r="H2550" s="16" t="s">
        <v>205</v>
      </c>
      <c r="I2550" s="10">
        <f t="shared" si="668"/>
        <v>714.28571428571433</v>
      </c>
      <c r="J2550" s="16" t="s">
        <v>16</v>
      </c>
      <c r="K2550" s="15"/>
      <c r="L2550" s="15"/>
      <c r="M2550" s="17"/>
      <c r="N2550" s="9"/>
      <c r="O2550" s="18">
        <f t="shared" si="670"/>
        <v>0</v>
      </c>
      <c r="P2550" s="9"/>
      <c r="Q2550" s="9"/>
      <c r="R2550" s="9"/>
      <c r="S2550" s="10">
        <f t="shared" si="666"/>
        <v>714.28571428571433</v>
      </c>
    </row>
    <row r="2551" spans="2:19" customFormat="1" hidden="1" outlineLevel="1">
      <c r="B2551" s="13" t="s">
        <v>174</v>
      </c>
      <c r="C2551" s="7" t="str">
        <f t="shared" si="667"/>
        <v>ESPARGIDOR MERCEDES ATEGO 1719 PLACA OLX-8A75 ANO 2012</v>
      </c>
      <c r="D2551" s="8">
        <f t="shared" si="664"/>
        <v>46100</v>
      </c>
      <c r="E2551" s="15">
        <v>52223</v>
      </c>
      <c r="F2551" s="15">
        <v>52339</v>
      </c>
      <c r="G2551" s="15">
        <f t="shared" si="669"/>
        <v>116</v>
      </c>
      <c r="H2551" s="16" t="s">
        <v>205</v>
      </c>
      <c r="I2551" s="10">
        <f t="shared" si="668"/>
        <v>714.28571428571433</v>
      </c>
      <c r="J2551" s="16"/>
      <c r="K2551" s="15">
        <v>1</v>
      </c>
      <c r="L2551" s="15">
        <v>180</v>
      </c>
      <c r="M2551" s="17">
        <v>46072</v>
      </c>
      <c r="N2551" s="9"/>
      <c r="O2551" s="18">
        <f t="shared" si="670"/>
        <v>0</v>
      </c>
      <c r="P2551" s="9"/>
      <c r="Q2551" s="9"/>
      <c r="R2551" s="9"/>
      <c r="S2551" s="10">
        <f t="shared" si="666"/>
        <v>714.28571428571433</v>
      </c>
    </row>
    <row r="2552" spans="2:19" customFormat="1" hidden="1" outlineLevel="1">
      <c r="B2552" s="13" t="s">
        <v>174</v>
      </c>
      <c r="C2552" s="7" t="str">
        <f t="shared" si="667"/>
        <v>ESPARGIDOR MERCEDES ATEGO 1719 PLACA OLX-8A75 ANO 2012</v>
      </c>
      <c r="D2552" s="8">
        <f t="shared" si="664"/>
        <v>46101</v>
      </c>
      <c r="E2552" s="15">
        <v>52339</v>
      </c>
      <c r="F2552" s="15">
        <v>52359</v>
      </c>
      <c r="G2552" s="15">
        <f t="shared" si="669"/>
        <v>20</v>
      </c>
      <c r="H2552" s="16" t="s">
        <v>205</v>
      </c>
      <c r="I2552" s="10">
        <f t="shared" si="668"/>
        <v>714.28571428571433</v>
      </c>
      <c r="J2552" s="16"/>
      <c r="K2552" s="15">
        <v>1</v>
      </c>
      <c r="L2552" s="15"/>
      <c r="M2552" s="17"/>
      <c r="N2552" s="9"/>
      <c r="O2552" s="18">
        <f t="shared" si="670"/>
        <v>0</v>
      </c>
      <c r="P2552" s="9"/>
      <c r="Q2552" s="9"/>
      <c r="R2552" s="9"/>
      <c r="S2552" s="10">
        <f t="shared" si="666"/>
        <v>714.28571428571433</v>
      </c>
    </row>
    <row r="2553" spans="2:19" customFormat="1" hidden="1" outlineLevel="1">
      <c r="B2553" s="13" t="s">
        <v>174</v>
      </c>
      <c r="C2553" s="7" t="str">
        <f t="shared" si="667"/>
        <v>ESPARGIDOR MERCEDES ATEGO 1719 PLACA OLX-8A75 ANO 2012</v>
      </c>
      <c r="D2553" s="8">
        <f t="shared" si="664"/>
        <v>46102</v>
      </c>
      <c r="E2553" s="15">
        <v>52359</v>
      </c>
      <c r="F2553" s="15">
        <v>52631</v>
      </c>
      <c r="G2553" s="15">
        <f t="shared" si="669"/>
        <v>272</v>
      </c>
      <c r="H2553" s="16" t="s">
        <v>205</v>
      </c>
      <c r="I2553" s="10">
        <f t="shared" si="668"/>
        <v>714.28571428571433</v>
      </c>
      <c r="J2553" s="16"/>
      <c r="K2553" s="15">
        <v>1</v>
      </c>
      <c r="L2553" s="15"/>
      <c r="M2553" s="17"/>
      <c r="N2553" s="9"/>
      <c r="O2553" s="18">
        <f t="shared" si="670"/>
        <v>0</v>
      </c>
      <c r="P2553" s="9"/>
      <c r="Q2553" s="9"/>
      <c r="R2553" s="9"/>
      <c r="S2553" s="10">
        <f t="shared" si="666"/>
        <v>714.28571428571433</v>
      </c>
    </row>
    <row r="2554" spans="2:19" customFormat="1" hidden="1" outlineLevel="1">
      <c r="B2554" s="13" t="s">
        <v>174</v>
      </c>
      <c r="C2554" s="7" t="str">
        <f t="shared" si="667"/>
        <v>ESPARGIDOR MERCEDES ATEGO 1719 PLACA OLX-8A75 ANO 2012</v>
      </c>
      <c r="D2554" s="8">
        <f t="shared" si="664"/>
        <v>46103</v>
      </c>
      <c r="E2554" s="15"/>
      <c r="F2554" s="15"/>
      <c r="G2554" s="15">
        <f t="shared" si="669"/>
        <v>0</v>
      </c>
      <c r="H2554" s="16" t="s">
        <v>205</v>
      </c>
      <c r="I2554" s="10">
        <f t="shared" si="668"/>
        <v>714.28571428571433</v>
      </c>
      <c r="J2554" s="16" t="s">
        <v>16</v>
      </c>
      <c r="K2554" s="15"/>
      <c r="L2554" s="15"/>
      <c r="M2554" s="17"/>
      <c r="N2554" s="9"/>
      <c r="O2554" s="18">
        <f t="shared" si="670"/>
        <v>0</v>
      </c>
      <c r="P2554" s="9"/>
      <c r="Q2554" s="9"/>
      <c r="R2554" s="9"/>
      <c r="S2554" s="10">
        <f t="shared" si="666"/>
        <v>714.28571428571433</v>
      </c>
    </row>
    <row r="2555" spans="2:19" customFormat="1" hidden="1" outlineLevel="1">
      <c r="B2555" s="13" t="s">
        <v>174</v>
      </c>
      <c r="C2555" s="7" t="str">
        <f t="shared" si="667"/>
        <v>ESPARGIDOR MERCEDES ATEGO 1719 PLACA OLX-8A75 ANO 2012</v>
      </c>
      <c r="D2555" s="8">
        <f t="shared" si="664"/>
        <v>46104</v>
      </c>
      <c r="E2555" s="15"/>
      <c r="F2555" s="15"/>
      <c r="G2555" s="15">
        <f t="shared" si="669"/>
        <v>0</v>
      </c>
      <c r="H2555" s="16" t="s">
        <v>205</v>
      </c>
      <c r="I2555" s="10">
        <f t="shared" si="668"/>
        <v>714.28571428571433</v>
      </c>
      <c r="J2555" s="16" t="s">
        <v>16</v>
      </c>
      <c r="K2555" s="15"/>
      <c r="L2555" s="15"/>
      <c r="M2555" s="17"/>
      <c r="N2555" s="9"/>
      <c r="O2555" s="18">
        <f t="shared" si="670"/>
        <v>0</v>
      </c>
      <c r="P2555" s="9"/>
      <c r="Q2555" s="9"/>
      <c r="R2555" s="9"/>
      <c r="S2555" s="10">
        <f t="shared" si="666"/>
        <v>714.28571428571433</v>
      </c>
    </row>
    <row r="2556" spans="2:19" customFormat="1" hidden="1" outlineLevel="1">
      <c r="B2556" s="13" t="s">
        <v>174</v>
      </c>
      <c r="C2556" s="7" t="str">
        <f t="shared" si="667"/>
        <v>ESPARGIDOR MERCEDES ATEGO 1719 PLACA OLX-8A75 ANO 2012</v>
      </c>
      <c r="D2556" s="8">
        <f t="shared" si="664"/>
        <v>46105</v>
      </c>
      <c r="E2556" s="15">
        <v>52631</v>
      </c>
      <c r="F2556" s="15">
        <v>52655</v>
      </c>
      <c r="G2556" s="15">
        <f t="shared" si="669"/>
        <v>24</v>
      </c>
      <c r="H2556" s="16" t="s">
        <v>205</v>
      </c>
      <c r="I2556" s="10">
        <f t="shared" si="668"/>
        <v>714.28571428571433</v>
      </c>
      <c r="J2556" s="16"/>
      <c r="K2556" s="15">
        <v>1</v>
      </c>
      <c r="L2556" s="15">
        <v>60</v>
      </c>
      <c r="M2556" s="17"/>
      <c r="N2556" s="9"/>
      <c r="O2556" s="18">
        <f t="shared" si="670"/>
        <v>0</v>
      </c>
      <c r="P2556" s="9"/>
      <c r="Q2556" s="9"/>
      <c r="R2556" s="9"/>
      <c r="S2556" s="10">
        <f t="shared" si="666"/>
        <v>714.28571428571433</v>
      </c>
    </row>
    <row r="2557" spans="2:19" customFormat="1" hidden="1" outlineLevel="1">
      <c r="B2557" s="13" t="s">
        <v>174</v>
      </c>
      <c r="C2557" s="7" t="str">
        <f t="shared" si="667"/>
        <v>ESPARGIDOR MERCEDES ATEGO 1719 PLACA OLX-8A75 ANO 2012</v>
      </c>
      <c r="D2557" s="8">
        <f t="shared" si="664"/>
        <v>46106</v>
      </c>
      <c r="E2557" s="15"/>
      <c r="F2557" s="15"/>
      <c r="G2557" s="15">
        <f t="shared" si="669"/>
        <v>0</v>
      </c>
      <c r="H2557" s="16" t="s">
        <v>205</v>
      </c>
      <c r="I2557" s="10">
        <f t="shared" si="668"/>
        <v>714.28571428571433</v>
      </c>
      <c r="J2557" s="16" t="s">
        <v>16</v>
      </c>
      <c r="K2557" s="15"/>
      <c r="L2557" s="15"/>
      <c r="M2557" s="17"/>
      <c r="N2557" s="9"/>
      <c r="O2557" s="18">
        <f t="shared" si="670"/>
        <v>0</v>
      </c>
      <c r="P2557" s="9"/>
      <c r="Q2557" s="9"/>
      <c r="R2557" s="9"/>
      <c r="S2557" s="10">
        <f t="shared" si="666"/>
        <v>714.28571428571433</v>
      </c>
    </row>
    <row r="2558" spans="2:19" customFormat="1" hidden="1" outlineLevel="1">
      <c r="B2558" s="13" t="s">
        <v>174</v>
      </c>
      <c r="C2558" s="7" t="str">
        <f t="shared" si="667"/>
        <v>ESPARGIDOR MERCEDES ATEGO 1719 PLACA OLX-8A75 ANO 2012</v>
      </c>
      <c r="D2558" s="8">
        <f t="shared" si="664"/>
        <v>46107</v>
      </c>
      <c r="E2558" s="15"/>
      <c r="F2558" s="15"/>
      <c r="G2558" s="15">
        <f t="shared" si="669"/>
        <v>0</v>
      </c>
      <c r="H2558" s="16" t="s">
        <v>205</v>
      </c>
      <c r="I2558" s="10">
        <f t="shared" si="668"/>
        <v>714.28571428571433</v>
      </c>
      <c r="J2558" s="16" t="s">
        <v>16</v>
      </c>
      <c r="K2558" s="15"/>
      <c r="L2558" s="15"/>
      <c r="M2558" s="17"/>
      <c r="N2558" s="9"/>
      <c r="O2558" s="18">
        <f t="shared" si="670"/>
        <v>0</v>
      </c>
      <c r="P2558" s="9"/>
      <c r="Q2558" s="9"/>
      <c r="R2558" s="9"/>
      <c r="S2558" s="10">
        <f t="shared" si="666"/>
        <v>714.28571428571433</v>
      </c>
    </row>
    <row r="2559" spans="2:19" customFormat="1" hidden="1" outlineLevel="1">
      <c r="B2559" s="13" t="s">
        <v>174</v>
      </c>
      <c r="C2559" s="7" t="str">
        <f t="shared" si="667"/>
        <v>ESPARGIDOR MERCEDES ATEGO 1719 PLACA OLX-8A75 ANO 2012</v>
      </c>
      <c r="D2559" s="8">
        <f t="shared" si="664"/>
        <v>46108</v>
      </c>
      <c r="E2559" s="15"/>
      <c r="F2559" s="15"/>
      <c r="G2559" s="15">
        <f t="shared" si="669"/>
        <v>0</v>
      </c>
      <c r="H2559" s="16" t="s">
        <v>205</v>
      </c>
      <c r="I2559" s="10">
        <f t="shared" si="668"/>
        <v>714.28571428571433</v>
      </c>
      <c r="J2559" s="16" t="s">
        <v>16</v>
      </c>
      <c r="K2559" s="15"/>
      <c r="L2559" s="15"/>
      <c r="M2559" s="17"/>
      <c r="N2559" s="9"/>
      <c r="O2559" s="18">
        <f t="shared" si="670"/>
        <v>0</v>
      </c>
      <c r="P2559" s="9"/>
      <c r="Q2559" s="9"/>
      <c r="R2559" s="9"/>
      <c r="S2559" s="10">
        <f t="shared" si="666"/>
        <v>714.28571428571433</v>
      </c>
    </row>
    <row r="2560" spans="2:19" customFormat="1" hidden="1" outlineLevel="1">
      <c r="B2560" s="13" t="s">
        <v>174</v>
      </c>
      <c r="C2560" s="7" t="str">
        <f t="shared" si="667"/>
        <v>ESPARGIDOR MERCEDES ATEGO 1719 PLACA OLX-8A75 ANO 2012</v>
      </c>
      <c r="D2560" s="8">
        <f t="shared" si="664"/>
        <v>46112</v>
      </c>
      <c r="E2560" s="15"/>
      <c r="F2560" s="15"/>
      <c r="G2560" s="15">
        <f t="shared" si="669"/>
        <v>0</v>
      </c>
      <c r="H2560" s="16" t="s">
        <v>205</v>
      </c>
      <c r="I2560" s="10">
        <f t="shared" si="668"/>
        <v>714.28571428571433</v>
      </c>
      <c r="J2560" s="16" t="s">
        <v>16</v>
      </c>
      <c r="K2560" s="15"/>
      <c r="L2560" s="15"/>
      <c r="M2560" s="17"/>
      <c r="N2560" s="9"/>
      <c r="O2560" s="18">
        <f t="shared" si="670"/>
        <v>0</v>
      </c>
      <c r="P2560" s="9"/>
      <c r="Q2560" s="9"/>
      <c r="R2560" s="9"/>
      <c r="S2560" s="10">
        <f t="shared" si="666"/>
        <v>714.28571428571433</v>
      </c>
    </row>
    <row r="2561" spans="2:19" customFormat="1" collapsed="1">
      <c r="B2561" s="13" t="s">
        <v>174</v>
      </c>
      <c r="D2561" s="1"/>
      <c r="E2561" s="2"/>
      <c r="F2561" s="2"/>
      <c r="G2561" s="2"/>
      <c r="K2561" s="2"/>
      <c r="L2561" s="2"/>
      <c r="O2561" s="2"/>
      <c r="P2561" s="2"/>
      <c r="Q2561" s="2"/>
      <c r="R2561" s="2"/>
    </row>
    <row r="2562" spans="2:19" customFormat="1">
      <c r="B2562" s="13" t="s">
        <v>174</v>
      </c>
      <c r="C2562" s="3" t="s">
        <v>176</v>
      </c>
      <c r="D2562" s="3"/>
      <c r="E2562" s="4"/>
      <c r="F2562" s="4"/>
      <c r="G2562" s="4"/>
      <c r="H2562" s="3"/>
      <c r="I2562" s="3"/>
      <c r="J2562" s="3"/>
      <c r="K2562" s="4"/>
      <c r="L2562" s="4"/>
      <c r="M2562" s="135" t="str">
        <f>M$1</f>
        <v>BM JANEIRO 2026</v>
      </c>
      <c r="N2562" s="135"/>
      <c r="O2562" s="135"/>
      <c r="P2562" s="19" t="s">
        <v>10</v>
      </c>
      <c r="Q2562" s="136" t="s">
        <v>255</v>
      </c>
      <c r="R2562" s="136"/>
      <c r="S2562" s="136"/>
    </row>
    <row r="2563" spans="2:19" customFormat="1">
      <c r="B2563" s="14"/>
      <c r="C2563" s="5" t="s">
        <v>1</v>
      </c>
      <c r="D2563" s="5" t="s">
        <v>11</v>
      </c>
      <c r="E2563" s="6" t="s">
        <v>12</v>
      </c>
      <c r="F2563" s="6" t="s">
        <v>13</v>
      </c>
      <c r="G2563" s="6" t="s">
        <v>14</v>
      </c>
      <c r="H2563" s="5" t="s">
        <v>3</v>
      </c>
      <c r="I2563" s="6" t="s">
        <v>15</v>
      </c>
      <c r="J2563" s="6" t="s">
        <v>16</v>
      </c>
      <c r="K2563" s="6" t="s">
        <v>17</v>
      </c>
      <c r="L2563" s="6" t="s">
        <v>18</v>
      </c>
      <c r="M2563" s="5" t="s">
        <v>11</v>
      </c>
      <c r="N2563" s="5" t="s">
        <v>19</v>
      </c>
      <c r="O2563" s="6" t="s">
        <v>2</v>
      </c>
      <c r="P2563" s="6" t="s">
        <v>20</v>
      </c>
      <c r="Q2563" s="6" t="s">
        <v>21</v>
      </c>
      <c r="R2563" s="6" t="s">
        <v>22</v>
      </c>
      <c r="S2563" s="6" t="s">
        <v>23</v>
      </c>
    </row>
    <row r="2564" spans="2:19" customFormat="1" hidden="1" outlineLevel="1">
      <c r="B2564" s="11" t="s">
        <v>175</v>
      </c>
      <c r="C2564" s="7" t="str">
        <f>C$2562</f>
        <v>ESPARGIDOR BM 1518 LK ANO 1988 PLACA GNU5976</v>
      </c>
      <c r="D2564" s="8">
        <f t="shared" ref="D2564:D2591" si="671">D2502</f>
        <v>46082</v>
      </c>
      <c r="E2564" s="15"/>
      <c r="F2564" s="15"/>
      <c r="G2564" s="15"/>
      <c r="H2564" s="16" t="s">
        <v>6</v>
      </c>
      <c r="I2564" s="10">
        <f>P2564</f>
        <v>714.28571428571433</v>
      </c>
      <c r="J2564" s="16" t="s">
        <v>201</v>
      </c>
      <c r="K2564" s="15"/>
      <c r="L2564" s="15"/>
      <c r="M2564" s="17"/>
      <c r="N2564" s="9"/>
      <c r="O2564" s="9">
        <v>20000</v>
      </c>
      <c r="P2564" s="9">
        <f>O2564/28</f>
        <v>714.28571428571433</v>
      </c>
      <c r="Q2564" s="9"/>
      <c r="R2564" s="72"/>
      <c r="S2564" s="10">
        <f>SUM(R2564+Q2564+I2564)</f>
        <v>714.28571428571433</v>
      </c>
    </row>
    <row r="2565" spans="2:19" customFormat="1" hidden="1" outlineLevel="1">
      <c r="B2565" s="12" t="s">
        <v>0</v>
      </c>
      <c r="C2565" s="7" t="str">
        <f t="shared" ref="C2565:C2591" si="672">C$2562</f>
        <v>ESPARGIDOR BM 1518 LK ANO 1988 PLACA GNU5976</v>
      </c>
      <c r="D2565" s="8">
        <f t="shared" si="671"/>
        <v>46083</v>
      </c>
      <c r="E2565" s="15"/>
      <c r="F2565" s="15"/>
      <c r="G2565" s="15">
        <f t="shared" ref="G2565:G2567" si="673">F2565-E2565</f>
        <v>0</v>
      </c>
      <c r="H2565" s="16" t="s">
        <v>6</v>
      </c>
      <c r="I2565" s="10">
        <f>I2564</f>
        <v>714.28571428571433</v>
      </c>
      <c r="J2565" s="16" t="s">
        <v>201</v>
      </c>
      <c r="K2565" s="15"/>
      <c r="L2565" s="15"/>
      <c r="M2565" s="17"/>
      <c r="N2565" s="9"/>
      <c r="O2565" s="9"/>
      <c r="P2565" s="9"/>
      <c r="Q2565" s="9"/>
      <c r="R2565" s="72"/>
      <c r="S2565" s="10">
        <f t="shared" ref="S2565:S2591" si="674">SUM(R2565+Q2565+I2565)</f>
        <v>714.28571428571433</v>
      </c>
    </row>
    <row r="2566" spans="2:19" customFormat="1" hidden="1" outlineLevel="1">
      <c r="B2566" s="13" t="s">
        <v>175</v>
      </c>
      <c r="C2566" s="7" t="str">
        <f t="shared" si="672"/>
        <v>ESPARGIDOR BM 1518 LK ANO 1988 PLACA GNU5976</v>
      </c>
      <c r="D2566" s="8">
        <f t="shared" si="671"/>
        <v>46084</v>
      </c>
      <c r="E2566" s="15"/>
      <c r="F2566" s="15"/>
      <c r="G2566" s="15">
        <f t="shared" si="673"/>
        <v>0</v>
      </c>
      <c r="H2566" s="16" t="s">
        <v>6</v>
      </c>
      <c r="I2566" s="10">
        <f t="shared" ref="I2566:I2591" si="675">I2565</f>
        <v>714.28571428571433</v>
      </c>
      <c r="J2566" s="16" t="s">
        <v>201</v>
      </c>
      <c r="K2566" s="15"/>
      <c r="L2566" s="15"/>
      <c r="M2566" s="17"/>
      <c r="N2566" s="9"/>
      <c r="O2566" s="9"/>
      <c r="P2566" s="9"/>
      <c r="Q2566" s="9"/>
      <c r="R2566" s="72"/>
      <c r="S2566" s="10">
        <f t="shared" si="674"/>
        <v>714.28571428571433</v>
      </c>
    </row>
    <row r="2567" spans="2:19" customFormat="1" hidden="1" outlineLevel="1">
      <c r="B2567" s="13" t="s">
        <v>175</v>
      </c>
      <c r="C2567" s="7" t="str">
        <f t="shared" si="672"/>
        <v>ESPARGIDOR BM 1518 LK ANO 1988 PLACA GNU5976</v>
      </c>
      <c r="D2567" s="8">
        <f t="shared" si="671"/>
        <v>46085</v>
      </c>
      <c r="E2567" s="15"/>
      <c r="F2567" s="15"/>
      <c r="G2567" s="15">
        <f t="shared" si="673"/>
        <v>0</v>
      </c>
      <c r="H2567" s="16" t="s">
        <v>6</v>
      </c>
      <c r="I2567" s="10">
        <f t="shared" si="675"/>
        <v>714.28571428571433</v>
      </c>
      <c r="J2567" s="16" t="s">
        <v>201</v>
      </c>
      <c r="K2567" s="15"/>
      <c r="L2567" s="15"/>
      <c r="M2567" s="17"/>
      <c r="N2567" s="9"/>
      <c r="O2567" s="9"/>
      <c r="P2567" s="9"/>
      <c r="Q2567" s="9"/>
      <c r="R2567" s="72"/>
      <c r="S2567" s="10">
        <f t="shared" si="674"/>
        <v>714.28571428571433</v>
      </c>
    </row>
    <row r="2568" spans="2:19" customFormat="1" hidden="1" outlineLevel="1">
      <c r="B2568" s="13" t="s">
        <v>175</v>
      </c>
      <c r="C2568" s="7" t="str">
        <f t="shared" si="672"/>
        <v>ESPARGIDOR BM 1518 LK ANO 1988 PLACA GNU5976</v>
      </c>
      <c r="D2568" s="8">
        <f t="shared" si="671"/>
        <v>46086</v>
      </c>
      <c r="E2568" s="15"/>
      <c r="F2568" s="15"/>
      <c r="G2568" s="15">
        <f>F2568-E2568</f>
        <v>0</v>
      </c>
      <c r="H2568" s="16" t="s">
        <v>6</v>
      </c>
      <c r="I2568" s="10">
        <f t="shared" si="675"/>
        <v>714.28571428571433</v>
      </c>
      <c r="J2568" s="16" t="s">
        <v>201</v>
      </c>
      <c r="K2568" s="15"/>
      <c r="L2568" s="15"/>
      <c r="M2568" s="17"/>
      <c r="N2568" s="9"/>
      <c r="O2568" s="9"/>
      <c r="P2568" s="9"/>
      <c r="Q2568" s="9"/>
      <c r="R2568" s="72"/>
      <c r="S2568" s="10">
        <f t="shared" si="674"/>
        <v>714.28571428571433</v>
      </c>
    </row>
    <row r="2569" spans="2:19" customFormat="1" hidden="1" outlineLevel="1">
      <c r="B2569" s="13" t="s">
        <v>175</v>
      </c>
      <c r="C2569" s="7" t="str">
        <f t="shared" si="672"/>
        <v>ESPARGIDOR BM 1518 LK ANO 1988 PLACA GNU5976</v>
      </c>
      <c r="D2569" s="8">
        <f t="shared" si="671"/>
        <v>46087</v>
      </c>
      <c r="E2569" s="15"/>
      <c r="F2569" s="15"/>
      <c r="G2569" s="15">
        <f>F2569-E2569</f>
        <v>0</v>
      </c>
      <c r="H2569" s="16" t="s">
        <v>6</v>
      </c>
      <c r="I2569" s="10">
        <f t="shared" si="675"/>
        <v>714.28571428571433</v>
      </c>
      <c r="J2569" s="16" t="s">
        <v>201</v>
      </c>
      <c r="K2569" s="15"/>
      <c r="L2569" s="15"/>
      <c r="M2569" s="17"/>
      <c r="N2569" s="9"/>
      <c r="O2569" s="9"/>
      <c r="P2569" s="9"/>
      <c r="Q2569" s="9"/>
      <c r="R2569" s="72"/>
      <c r="S2569" s="10">
        <f t="shared" si="674"/>
        <v>714.28571428571433</v>
      </c>
    </row>
    <row r="2570" spans="2:19" customFormat="1" hidden="1" outlineLevel="1">
      <c r="B2570" s="13" t="s">
        <v>175</v>
      </c>
      <c r="C2570" s="7" t="str">
        <f t="shared" si="672"/>
        <v>ESPARGIDOR BM 1518 LK ANO 1988 PLACA GNU5976</v>
      </c>
      <c r="D2570" s="8">
        <f t="shared" si="671"/>
        <v>46088</v>
      </c>
      <c r="E2570" s="15"/>
      <c r="F2570" s="15"/>
      <c r="G2570" s="15">
        <f>F2570-E2570</f>
        <v>0</v>
      </c>
      <c r="H2570" s="16" t="s">
        <v>6</v>
      </c>
      <c r="I2570" s="10">
        <f t="shared" si="675"/>
        <v>714.28571428571433</v>
      </c>
      <c r="J2570" s="16" t="s">
        <v>201</v>
      </c>
      <c r="K2570" s="15"/>
      <c r="L2570" s="15"/>
      <c r="M2570" s="17"/>
      <c r="N2570" s="9"/>
      <c r="O2570" s="9"/>
      <c r="P2570" s="9"/>
      <c r="Q2570" s="9"/>
      <c r="R2570" s="72"/>
      <c r="S2570" s="10">
        <f t="shared" si="674"/>
        <v>714.28571428571433</v>
      </c>
    </row>
    <row r="2571" spans="2:19" customFormat="1" hidden="1" outlineLevel="1">
      <c r="B2571" s="13" t="s">
        <v>175</v>
      </c>
      <c r="C2571" s="7" t="str">
        <f t="shared" si="672"/>
        <v>ESPARGIDOR BM 1518 LK ANO 1988 PLACA GNU5976</v>
      </c>
      <c r="D2571" s="8">
        <f t="shared" si="671"/>
        <v>46089</v>
      </c>
      <c r="E2571" s="15"/>
      <c r="F2571" s="15"/>
      <c r="G2571" s="15">
        <f>F2571-E2571</f>
        <v>0</v>
      </c>
      <c r="H2571" s="16" t="s">
        <v>6</v>
      </c>
      <c r="I2571" s="10">
        <f t="shared" si="675"/>
        <v>714.28571428571433</v>
      </c>
      <c r="J2571" s="16" t="s">
        <v>201</v>
      </c>
      <c r="K2571" s="15"/>
      <c r="L2571" s="15"/>
      <c r="M2571" s="17"/>
      <c r="N2571" s="9"/>
      <c r="O2571" s="18"/>
      <c r="P2571" s="9"/>
      <c r="Q2571" s="9"/>
      <c r="R2571" s="72"/>
      <c r="S2571" s="10">
        <f t="shared" si="674"/>
        <v>714.28571428571433</v>
      </c>
    </row>
    <row r="2572" spans="2:19" customFormat="1" hidden="1" outlineLevel="1">
      <c r="B2572" s="13" t="s">
        <v>175</v>
      </c>
      <c r="C2572" s="7" t="str">
        <f t="shared" si="672"/>
        <v>ESPARGIDOR BM 1518 LK ANO 1988 PLACA GNU5976</v>
      </c>
      <c r="D2572" s="8">
        <f t="shared" si="671"/>
        <v>46090</v>
      </c>
      <c r="E2572" s="15"/>
      <c r="F2572" s="15"/>
      <c r="G2572" s="15">
        <f>F2572-E2572</f>
        <v>0</v>
      </c>
      <c r="H2572" s="16" t="s">
        <v>6</v>
      </c>
      <c r="I2572" s="10">
        <f t="shared" si="675"/>
        <v>714.28571428571433</v>
      </c>
      <c r="J2572" s="16" t="s">
        <v>201</v>
      </c>
      <c r="K2572" s="15"/>
      <c r="L2572" s="15"/>
      <c r="M2572" s="17"/>
      <c r="N2572" s="9"/>
      <c r="O2572" s="18"/>
      <c r="P2572" s="9"/>
      <c r="Q2572" s="9"/>
      <c r="R2572" s="72"/>
      <c r="S2572" s="10">
        <f t="shared" si="674"/>
        <v>714.28571428571433</v>
      </c>
    </row>
    <row r="2573" spans="2:19" customFormat="1" hidden="1" outlineLevel="1">
      <c r="B2573" s="13" t="s">
        <v>175</v>
      </c>
      <c r="C2573" s="7" t="str">
        <f t="shared" si="672"/>
        <v>ESPARGIDOR BM 1518 LK ANO 1988 PLACA GNU5976</v>
      </c>
      <c r="D2573" s="8">
        <f t="shared" si="671"/>
        <v>46091</v>
      </c>
      <c r="E2573" s="15"/>
      <c r="F2573" s="15"/>
      <c r="G2573" s="15">
        <f t="shared" ref="G2573:G2591" si="676">F2573-E2573</f>
        <v>0</v>
      </c>
      <c r="H2573" s="16" t="s">
        <v>6</v>
      </c>
      <c r="I2573" s="10">
        <f t="shared" si="675"/>
        <v>714.28571428571433</v>
      </c>
      <c r="J2573" s="16" t="s">
        <v>201</v>
      </c>
      <c r="K2573" s="15"/>
      <c r="L2573" s="15"/>
      <c r="M2573" s="17"/>
      <c r="N2573" s="9"/>
      <c r="O2573" s="18">
        <f t="shared" ref="O2573:O2591" si="677">O2572</f>
        <v>0</v>
      </c>
      <c r="P2573" s="9"/>
      <c r="Q2573" s="9"/>
      <c r="R2573" s="72"/>
      <c r="S2573" s="10">
        <f t="shared" si="674"/>
        <v>714.28571428571433</v>
      </c>
    </row>
    <row r="2574" spans="2:19" customFormat="1" hidden="1" outlineLevel="1">
      <c r="B2574" s="13" t="s">
        <v>175</v>
      </c>
      <c r="C2574" s="7" t="str">
        <f t="shared" si="672"/>
        <v>ESPARGIDOR BM 1518 LK ANO 1988 PLACA GNU5976</v>
      </c>
      <c r="D2574" s="8">
        <f t="shared" si="671"/>
        <v>46092</v>
      </c>
      <c r="E2574" s="15"/>
      <c r="F2574" s="15"/>
      <c r="G2574" s="15">
        <f t="shared" si="676"/>
        <v>0</v>
      </c>
      <c r="H2574" s="16" t="s">
        <v>6</v>
      </c>
      <c r="I2574" s="10">
        <f t="shared" si="675"/>
        <v>714.28571428571433</v>
      </c>
      <c r="J2574" s="16" t="s">
        <v>201</v>
      </c>
      <c r="K2574" s="15"/>
      <c r="L2574" s="15"/>
      <c r="M2574" s="17"/>
      <c r="N2574" s="9"/>
      <c r="O2574" s="18">
        <f t="shared" si="677"/>
        <v>0</v>
      </c>
      <c r="P2574" s="9"/>
      <c r="Q2574" s="9"/>
      <c r="R2574" s="72"/>
      <c r="S2574" s="10">
        <f t="shared" si="674"/>
        <v>714.28571428571433</v>
      </c>
    </row>
    <row r="2575" spans="2:19" customFormat="1" hidden="1" outlineLevel="1">
      <c r="B2575" s="13" t="s">
        <v>175</v>
      </c>
      <c r="C2575" s="7" t="str">
        <f t="shared" si="672"/>
        <v>ESPARGIDOR BM 1518 LK ANO 1988 PLACA GNU5976</v>
      </c>
      <c r="D2575" s="8">
        <f t="shared" si="671"/>
        <v>46093</v>
      </c>
      <c r="E2575" s="15"/>
      <c r="F2575" s="15"/>
      <c r="G2575" s="15">
        <f t="shared" si="676"/>
        <v>0</v>
      </c>
      <c r="H2575" s="16" t="s">
        <v>6</v>
      </c>
      <c r="I2575" s="10">
        <f t="shared" si="675"/>
        <v>714.28571428571433</v>
      </c>
      <c r="J2575" s="16" t="s">
        <v>201</v>
      </c>
      <c r="K2575" s="15"/>
      <c r="L2575" s="15"/>
      <c r="M2575" s="17"/>
      <c r="N2575" s="9"/>
      <c r="O2575" s="18">
        <f t="shared" si="677"/>
        <v>0</v>
      </c>
      <c r="P2575" s="9"/>
      <c r="Q2575" s="9"/>
      <c r="R2575" s="72"/>
      <c r="S2575" s="10">
        <f t="shared" si="674"/>
        <v>714.28571428571433</v>
      </c>
    </row>
    <row r="2576" spans="2:19" customFormat="1" hidden="1" outlineLevel="1">
      <c r="B2576" s="13" t="s">
        <v>175</v>
      </c>
      <c r="C2576" s="7" t="str">
        <f t="shared" si="672"/>
        <v>ESPARGIDOR BM 1518 LK ANO 1988 PLACA GNU5976</v>
      </c>
      <c r="D2576" s="8">
        <f t="shared" si="671"/>
        <v>46094</v>
      </c>
      <c r="E2576" s="15"/>
      <c r="F2576" s="15"/>
      <c r="G2576" s="15">
        <f t="shared" si="676"/>
        <v>0</v>
      </c>
      <c r="H2576" s="16" t="s">
        <v>6</v>
      </c>
      <c r="I2576" s="10">
        <f t="shared" si="675"/>
        <v>714.28571428571433</v>
      </c>
      <c r="J2576" s="16" t="s">
        <v>201</v>
      </c>
      <c r="K2576" s="15"/>
      <c r="L2576" s="15"/>
      <c r="M2576" s="17"/>
      <c r="N2576" s="9"/>
      <c r="O2576" s="18">
        <f t="shared" si="677"/>
        <v>0</v>
      </c>
      <c r="P2576" s="9"/>
      <c r="Q2576" s="9"/>
      <c r="R2576" s="72"/>
      <c r="S2576" s="10">
        <f t="shared" si="674"/>
        <v>714.28571428571433</v>
      </c>
    </row>
    <row r="2577" spans="2:19" customFormat="1" hidden="1" outlineLevel="1">
      <c r="B2577" s="13" t="s">
        <v>175</v>
      </c>
      <c r="C2577" s="7" t="str">
        <f t="shared" si="672"/>
        <v>ESPARGIDOR BM 1518 LK ANO 1988 PLACA GNU5976</v>
      </c>
      <c r="D2577" s="8">
        <f t="shared" si="671"/>
        <v>46095</v>
      </c>
      <c r="E2577" s="15"/>
      <c r="F2577" s="15"/>
      <c r="G2577" s="15">
        <f t="shared" si="676"/>
        <v>0</v>
      </c>
      <c r="H2577" s="16" t="s">
        <v>6</v>
      </c>
      <c r="I2577" s="10">
        <f t="shared" si="675"/>
        <v>714.28571428571433</v>
      </c>
      <c r="J2577" s="16" t="s">
        <v>201</v>
      </c>
      <c r="K2577" s="15"/>
      <c r="L2577" s="15"/>
      <c r="M2577" s="17"/>
      <c r="N2577" s="9"/>
      <c r="O2577" s="18">
        <f t="shared" si="677"/>
        <v>0</v>
      </c>
      <c r="P2577" s="9"/>
      <c r="Q2577" s="9"/>
      <c r="R2577" s="72"/>
      <c r="S2577" s="10">
        <f t="shared" si="674"/>
        <v>714.28571428571433</v>
      </c>
    </row>
    <row r="2578" spans="2:19" customFormat="1" hidden="1" outlineLevel="1">
      <c r="B2578" s="13" t="s">
        <v>175</v>
      </c>
      <c r="C2578" s="7" t="str">
        <f t="shared" si="672"/>
        <v>ESPARGIDOR BM 1518 LK ANO 1988 PLACA GNU5976</v>
      </c>
      <c r="D2578" s="8">
        <f t="shared" si="671"/>
        <v>46096</v>
      </c>
      <c r="E2578" s="15"/>
      <c r="F2578" s="15"/>
      <c r="G2578" s="15">
        <f t="shared" si="676"/>
        <v>0</v>
      </c>
      <c r="H2578" s="16" t="s">
        <v>6</v>
      </c>
      <c r="I2578" s="10">
        <f t="shared" si="675"/>
        <v>714.28571428571433</v>
      </c>
      <c r="J2578" s="16" t="s">
        <v>201</v>
      </c>
      <c r="K2578" s="15"/>
      <c r="L2578" s="15"/>
      <c r="M2578" s="17"/>
      <c r="N2578" s="9"/>
      <c r="O2578" s="18">
        <f t="shared" si="677"/>
        <v>0</v>
      </c>
      <c r="P2578" s="9"/>
      <c r="Q2578" s="9"/>
      <c r="R2578" s="72"/>
      <c r="S2578" s="10">
        <f t="shared" si="674"/>
        <v>714.28571428571433</v>
      </c>
    </row>
    <row r="2579" spans="2:19" customFormat="1" hidden="1" outlineLevel="1">
      <c r="B2579" s="13" t="s">
        <v>175</v>
      </c>
      <c r="C2579" s="7" t="str">
        <f t="shared" si="672"/>
        <v>ESPARGIDOR BM 1518 LK ANO 1988 PLACA GNU5976</v>
      </c>
      <c r="D2579" s="8">
        <f t="shared" si="671"/>
        <v>46097</v>
      </c>
      <c r="E2579" s="15"/>
      <c r="F2579" s="15"/>
      <c r="G2579" s="15">
        <f t="shared" si="676"/>
        <v>0</v>
      </c>
      <c r="H2579" s="16" t="s">
        <v>6</v>
      </c>
      <c r="I2579" s="10">
        <f t="shared" si="675"/>
        <v>714.28571428571433</v>
      </c>
      <c r="J2579" s="16" t="s">
        <v>201</v>
      </c>
      <c r="K2579" s="15"/>
      <c r="L2579" s="15"/>
      <c r="M2579" s="17"/>
      <c r="N2579" s="9"/>
      <c r="O2579" s="18">
        <f t="shared" si="677"/>
        <v>0</v>
      </c>
      <c r="P2579" s="9"/>
      <c r="Q2579" s="9"/>
      <c r="R2579" s="72"/>
      <c r="S2579" s="10">
        <f t="shared" si="674"/>
        <v>714.28571428571433</v>
      </c>
    </row>
    <row r="2580" spans="2:19" customFormat="1" hidden="1" outlineLevel="1">
      <c r="B2580" s="13" t="s">
        <v>175</v>
      </c>
      <c r="C2580" s="7" t="str">
        <f t="shared" si="672"/>
        <v>ESPARGIDOR BM 1518 LK ANO 1988 PLACA GNU5976</v>
      </c>
      <c r="D2580" s="8">
        <f t="shared" si="671"/>
        <v>46098</v>
      </c>
      <c r="E2580" s="15"/>
      <c r="F2580" s="15"/>
      <c r="G2580" s="15">
        <f t="shared" si="676"/>
        <v>0</v>
      </c>
      <c r="H2580" s="16" t="s">
        <v>6</v>
      </c>
      <c r="I2580" s="10">
        <f t="shared" si="675"/>
        <v>714.28571428571433</v>
      </c>
      <c r="J2580" s="16" t="s">
        <v>201</v>
      </c>
      <c r="K2580" s="15"/>
      <c r="L2580" s="15"/>
      <c r="M2580" s="17"/>
      <c r="N2580" s="9"/>
      <c r="O2580" s="18">
        <f t="shared" si="677"/>
        <v>0</v>
      </c>
      <c r="P2580" s="9"/>
      <c r="Q2580" s="9"/>
      <c r="R2580" s="72"/>
      <c r="S2580" s="10">
        <f t="shared" si="674"/>
        <v>714.28571428571433</v>
      </c>
    </row>
    <row r="2581" spans="2:19" customFormat="1" hidden="1" outlineLevel="1">
      <c r="B2581" s="13" t="s">
        <v>175</v>
      </c>
      <c r="C2581" s="7" t="str">
        <f t="shared" si="672"/>
        <v>ESPARGIDOR BM 1518 LK ANO 1988 PLACA GNU5976</v>
      </c>
      <c r="D2581" s="8">
        <f t="shared" si="671"/>
        <v>46099</v>
      </c>
      <c r="E2581" s="15"/>
      <c r="F2581" s="15"/>
      <c r="G2581" s="15">
        <f t="shared" si="676"/>
        <v>0</v>
      </c>
      <c r="H2581" s="16" t="s">
        <v>6</v>
      </c>
      <c r="I2581" s="10">
        <f t="shared" si="675"/>
        <v>714.28571428571433</v>
      </c>
      <c r="J2581" s="16" t="s">
        <v>201</v>
      </c>
      <c r="K2581" s="15"/>
      <c r="L2581" s="15"/>
      <c r="M2581" s="17"/>
      <c r="N2581" s="9"/>
      <c r="O2581" s="18">
        <f t="shared" si="677"/>
        <v>0</v>
      </c>
      <c r="P2581" s="9"/>
      <c r="Q2581" s="9"/>
      <c r="R2581" s="72"/>
      <c r="S2581" s="10">
        <f t="shared" si="674"/>
        <v>714.28571428571433</v>
      </c>
    </row>
    <row r="2582" spans="2:19" customFormat="1" hidden="1" outlineLevel="1">
      <c r="B2582" s="13" t="s">
        <v>175</v>
      </c>
      <c r="C2582" s="7" t="str">
        <f t="shared" si="672"/>
        <v>ESPARGIDOR BM 1518 LK ANO 1988 PLACA GNU5976</v>
      </c>
      <c r="D2582" s="8">
        <f t="shared" si="671"/>
        <v>46100</v>
      </c>
      <c r="E2582" s="15"/>
      <c r="F2582" s="15"/>
      <c r="G2582" s="15">
        <f t="shared" si="676"/>
        <v>0</v>
      </c>
      <c r="H2582" s="16" t="s">
        <v>6</v>
      </c>
      <c r="I2582" s="10">
        <f t="shared" si="675"/>
        <v>714.28571428571433</v>
      </c>
      <c r="J2582" s="16" t="s">
        <v>201</v>
      </c>
      <c r="K2582" s="15"/>
      <c r="L2582" s="15"/>
      <c r="M2582" s="17"/>
      <c r="N2582" s="9"/>
      <c r="O2582" s="18">
        <f t="shared" si="677"/>
        <v>0</v>
      </c>
      <c r="P2582" s="9"/>
      <c r="Q2582" s="9"/>
      <c r="R2582" s="72"/>
      <c r="S2582" s="10">
        <f t="shared" si="674"/>
        <v>714.28571428571433</v>
      </c>
    </row>
    <row r="2583" spans="2:19" customFormat="1" hidden="1" outlineLevel="1">
      <c r="B2583" s="13" t="s">
        <v>175</v>
      </c>
      <c r="C2583" s="7" t="str">
        <f t="shared" si="672"/>
        <v>ESPARGIDOR BM 1518 LK ANO 1988 PLACA GNU5976</v>
      </c>
      <c r="D2583" s="8">
        <f t="shared" si="671"/>
        <v>46101</v>
      </c>
      <c r="E2583" s="15"/>
      <c r="F2583" s="15"/>
      <c r="G2583" s="15">
        <f t="shared" si="676"/>
        <v>0</v>
      </c>
      <c r="H2583" s="16" t="s">
        <v>6</v>
      </c>
      <c r="I2583" s="10">
        <f t="shared" si="675"/>
        <v>714.28571428571433</v>
      </c>
      <c r="J2583" s="16" t="s">
        <v>201</v>
      </c>
      <c r="K2583" s="15"/>
      <c r="L2583" s="15"/>
      <c r="M2583" s="17"/>
      <c r="N2583" s="9"/>
      <c r="O2583" s="18">
        <f t="shared" si="677"/>
        <v>0</v>
      </c>
      <c r="P2583" s="9"/>
      <c r="Q2583" s="9"/>
      <c r="R2583" s="72"/>
      <c r="S2583" s="10">
        <f t="shared" si="674"/>
        <v>714.28571428571433</v>
      </c>
    </row>
    <row r="2584" spans="2:19" customFormat="1" hidden="1" outlineLevel="1">
      <c r="B2584" s="13" t="s">
        <v>175</v>
      </c>
      <c r="C2584" s="7" t="str">
        <f t="shared" si="672"/>
        <v>ESPARGIDOR BM 1518 LK ANO 1988 PLACA GNU5976</v>
      </c>
      <c r="D2584" s="8">
        <f t="shared" si="671"/>
        <v>46102</v>
      </c>
      <c r="E2584" s="15"/>
      <c r="F2584" s="15"/>
      <c r="G2584" s="15">
        <f t="shared" si="676"/>
        <v>0</v>
      </c>
      <c r="H2584" s="16" t="s">
        <v>6</v>
      </c>
      <c r="I2584" s="10">
        <f t="shared" si="675"/>
        <v>714.28571428571433</v>
      </c>
      <c r="J2584" s="16" t="s">
        <v>201</v>
      </c>
      <c r="K2584" s="15"/>
      <c r="L2584" s="15"/>
      <c r="M2584" s="17"/>
      <c r="N2584" s="9"/>
      <c r="O2584" s="18">
        <f t="shared" si="677"/>
        <v>0</v>
      </c>
      <c r="P2584" s="9"/>
      <c r="Q2584" s="9"/>
      <c r="R2584" s="72"/>
      <c r="S2584" s="10">
        <f t="shared" si="674"/>
        <v>714.28571428571433</v>
      </c>
    </row>
    <row r="2585" spans="2:19" customFormat="1" hidden="1" outlineLevel="1">
      <c r="B2585" s="13" t="s">
        <v>175</v>
      </c>
      <c r="C2585" s="7" t="str">
        <f t="shared" si="672"/>
        <v>ESPARGIDOR BM 1518 LK ANO 1988 PLACA GNU5976</v>
      </c>
      <c r="D2585" s="8">
        <f t="shared" si="671"/>
        <v>46103</v>
      </c>
      <c r="E2585" s="15"/>
      <c r="F2585" s="15"/>
      <c r="G2585" s="15">
        <f t="shared" si="676"/>
        <v>0</v>
      </c>
      <c r="H2585" s="16" t="s">
        <v>6</v>
      </c>
      <c r="I2585" s="10">
        <f t="shared" si="675"/>
        <v>714.28571428571433</v>
      </c>
      <c r="J2585" s="16" t="s">
        <v>201</v>
      </c>
      <c r="K2585" s="15"/>
      <c r="L2585" s="15"/>
      <c r="M2585" s="17"/>
      <c r="N2585" s="9"/>
      <c r="O2585" s="18">
        <f t="shared" si="677"/>
        <v>0</v>
      </c>
      <c r="P2585" s="9"/>
      <c r="Q2585" s="9"/>
      <c r="R2585" s="72"/>
      <c r="S2585" s="10">
        <f t="shared" si="674"/>
        <v>714.28571428571433</v>
      </c>
    </row>
    <row r="2586" spans="2:19" customFormat="1" hidden="1" outlineLevel="1">
      <c r="B2586" s="13" t="s">
        <v>175</v>
      </c>
      <c r="C2586" s="7" t="str">
        <f t="shared" si="672"/>
        <v>ESPARGIDOR BM 1518 LK ANO 1988 PLACA GNU5976</v>
      </c>
      <c r="D2586" s="8">
        <f t="shared" si="671"/>
        <v>46104</v>
      </c>
      <c r="E2586" s="15"/>
      <c r="F2586" s="15"/>
      <c r="G2586" s="15">
        <f t="shared" si="676"/>
        <v>0</v>
      </c>
      <c r="H2586" s="16" t="s">
        <v>6</v>
      </c>
      <c r="I2586" s="10">
        <f t="shared" si="675"/>
        <v>714.28571428571433</v>
      </c>
      <c r="J2586" s="16" t="s">
        <v>201</v>
      </c>
      <c r="K2586" s="15"/>
      <c r="L2586" s="15"/>
      <c r="M2586" s="17"/>
      <c r="N2586" s="9"/>
      <c r="O2586" s="18">
        <f t="shared" si="677"/>
        <v>0</v>
      </c>
      <c r="P2586" s="9"/>
      <c r="Q2586" s="9"/>
      <c r="R2586" s="72"/>
      <c r="S2586" s="10">
        <f t="shared" si="674"/>
        <v>714.28571428571433</v>
      </c>
    </row>
    <row r="2587" spans="2:19" customFormat="1" hidden="1" outlineLevel="1">
      <c r="B2587" s="13" t="s">
        <v>175</v>
      </c>
      <c r="C2587" s="7" t="str">
        <f t="shared" si="672"/>
        <v>ESPARGIDOR BM 1518 LK ANO 1988 PLACA GNU5976</v>
      </c>
      <c r="D2587" s="8">
        <f t="shared" si="671"/>
        <v>46105</v>
      </c>
      <c r="E2587" s="15"/>
      <c r="F2587" s="15"/>
      <c r="G2587" s="15">
        <f t="shared" si="676"/>
        <v>0</v>
      </c>
      <c r="H2587" s="16" t="s">
        <v>6</v>
      </c>
      <c r="I2587" s="10">
        <f t="shared" si="675"/>
        <v>714.28571428571433</v>
      </c>
      <c r="J2587" s="16" t="s">
        <v>201</v>
      </c>
      <c r="K2587" s="15"/>
      <c r="L2587" s="15"/>
      <c r="M2587" s="17"/>
      <c r="N2587" s="9"/>
      <c r="O2587" s="18">
        <f t="shared" si="677"/>
        <v>0</v>
      </c>
      <c r="P2587" s="9"/>
      <c r="Q2587" s="9"/>
      <c r="R2587" s="72"/>
      <c r="S2587" s="10">
        <f t="shared" si="674"/>
        <v>714.28571428571433</v>
      </c>
    </row>
    <row r="2588" spans="2:19" customFormat="1" hidden="1" outlineLevel="1">
      <c r="B2588" s="13" t="s">
        <v>175</v>
      </c>
      <c r="C2588" s="7" t="str">
        <f t="shared" si="672"/>
        <v>ESPARGIDOR BM 1518 LK ANO 1988 PLACA GNU5976</v>
      </c>
      <c r="D2588" s="8">
        <f t="shared" si="671"/>
        <v>46106</v>
      </c>
      <c r="E2588" s="15"/>
      <c r="F2588" s="15"/>
      <c r="G2588" s="15">
        <f t="shared" si="676"/>
        <v>0</v>
      </c>
      <c r="H2588" s="16" t="s">
        <v>6</v>
      </c>
      <c r="I2588" s="10">
        <f t="shared" si="675"/>
        <v>714.28571428571433</v>
      </c>
      <c r="J2588" s="16" t="s">
        <v>201</v>
      </c>
      <c r="K2588" s="15"/>
      <c r="L2588" s="15"/>
      <c r="M2588" s="17"/>
      <c r="N2588" s="9"/>
      <c r="O2588" s="18">
        <f t="shared" si="677"/>
        <v>0</v>
      </c>
      <c r="P2588" s="9"/>
      <c r="Q2588" s="9"/>
      <c r="R2588" s="72"/>
      <c r="S2588" s="10">
        <f t="shared" si="674"/>
        <v>714.28571428571433</v>
      </c>
    </row>
    <row r="2589" spans="2:19" customFormat="1" hidden="1" outlineLevel="1">
      <c r="B2589" s="13" t="s">
        <v>175</v>
      </c>
      <c r="C2589" s="7" t="str">
        <f t="shared" si="672"/>
        <v>ESPARGIDOR BM 1518 LK ANO 1988 PLACA GNU5976</v>
      </c>
      <c r="D2589" s="8">
        <f t="shared" si="671"/>
        <v>46107</v>
      </c>
      <c r="E2589" s="15"/>
      <c r="F2589" s="15"/>
      <c r="G2589" s="15">
        <f t="shared" si="676"/>
        <v>0</v>
      </c>
      <c r="H2589" s="16" t="s">
        <v>6</v>
      </c>
      <c r="I2589" s="10">
        <f t="shared" si="675"/>
        <v>714.28571428571433</v>
      </c>
      <c r="J2589" s="16" t="s">
        <v>201</v>
      </c>
      <c r="K2589" s="15"/>
      <c r="L2589" s="15"/>
      <c r="M2589" s="17"/>
      <c r="N2589" s="9"/>
      <c r="O2589" s="18">
        <f t="shared" si="677"/>
        <v>0</v>
      </c>
      <c r="P2589" s="9"/>
      <c r="Q2589" s="9"/>
      <c r="R2589" s="72"/>
      <c r="S2589" s="10">
        <f t="shared" si="674"/>
        <v>714.28571428571433</v>
      </c>
    </row>
    <row r="2590" spans="2:19" customFormat="1" hidden="1" outlineLevel="1">
      <c r="B2590" s="13" t="s">
        <v>175</v>
      </c>
      <c r="C2590" s="7" t="str">
        <f t="shared" si="672"/>
        <v>ESPARGIDOR BM 1518 LK ANO 1988 PLACA GNU5976</v>
      </c>
      <c r="D2590" s="8">
        <f t="shared" si="671"/>
        <v>46108</v>
      </c>
      <c r="E2590" s="15"/>
      <c r="F2590" s="15"/>
      <c r="G2590" s="15">
        <f t="shared" si="676"/>
        <v>0</v>
      </c>
      <c r="H2590" s="16" t="s">
        <v>6</v>
      </c>
      <c r="I2590" s="10">
        <f t="shared" si="675"/>
        <v>714.28571428571433</v>
      </c>
      <c r="J2590" s="16" t="s">
        <v>201</v>
      </c>
      <c r="K2590" s="15"/>
      <c r="L2590" s="15"/>
      <c r="M2590" s="17"/>
      <c r="N2590" s="9"/>
      <c r="O2590" s="18">
        <f t="shared" si="677"/>
        <v>0</v>
      </c>
      <c r="P2590" s="9"/>
      <c r="Q2590" s="9"/>
      <c r="R2590" s="72"/>
      <c r="S2590" s="10">
        <f t="shared" si="674"/>
        <v>714.28571428571433</v>
      </c>
    </row>
    <row r="2591" spans="2:19" customFormat="1" hidden="1" outlineLevel="1">
      <c r="B2591" s="13" t="s">
        <v>175</v>
      </c>
      <c r="C2591" s="7" t="str">
        <f t="shared" si="672"/>
        <v>ESPARGIDOR BM 1518 LK ANO 1988 PLACA GNU5976</v>
      </c>
      <c r="D2591" s="8">
        <f t="shared" si="671"/>
        <v>46112</v>
      </c>
      <c r="E2591" s="15"/>
      <c r="F2591" s="15"/>
      <c r="G2591" s="15">
        <f t="shared" si="676"/>
        <v>0</v>
      </c>
      <c r="H2591" s="16" t="s">
        <v>6</v>
      </c>
      <c r="I2591" s="10">
        <f t="shared" si="675"/>
        <v>714.28571428571433</v>
      </c>
      <c r="J2591" s="16" t="s">
        <v>201</v>
      </c>
      <c r="K2591" s="15"/>
      <c r="L2591" s="15"/>
      <c r="M2591" s="17"/>
      <c r="N2591" s="9"/>
      <c r="O2591" s="18">
        <f t="shared" si="677"/>
        <v>0</v>
      </c>
      <c r="P2591" s="9"/>
      <c r="Q2591" s="9"/>
      <c r="R2591" s="72"/>
      <c r="S2591" s="10">
        <f t="shared" si="674"/>
        <v>714.28571428571433</v>
      </c>
    </row>
    <row r="2592" spans="2:19" customFormat="1" collapsed="1">
      <c r="B2592" s="13" t="s">
        <v>175</v>
      </c>
      <c r="D2592" s="1"/>
      <c r="E2592" s="2"/>
      <c r="F2592" s="2"/>
      <c r="G2592" s="2"/>
      <c r="K2592" s="2"/>
      <c r="L2592" s="2"/>
      <c r="O2592" s="2"/>
      <c r="P2592" s="2"/>
      <c r="Q2592" s="2"/>
      <c r="R2592" s="2"/>
    </row>
    <row r="2593" spans="2:19" customFormat="1">
      <c r="B2593" s="13" t="s">
        <v>175</v>
      </c>
      <c r="C2593" s="3" t="s">
        <v>178</v>
      </c>
      <c r="D2593" s="3"/>
      <c r="E2593" s="4"/>
      <c r="F2593" s="4"/>
      <c r="G2593" s="4"/>
      <c r="H2593" s="3"/>
      <c r="I2593" s="3"/>
      <c r="J2593" s="3"/>
      <c r="K2593" s="4"/>
      <c r="L2593" s="4"/>
      <c r="M2593" s="135" t="str">
        <f>M$1</f>
        <v>BM JANEIRO 2026</v>
      </c>
      <c r="N2593" s="135"/>
      <c r="O2593" s="135"/>
      <c r="P2593" s="19" t="s">
        <v>10</v>
      </c>
      <c r="Q2593" s="136"/>
      <c r="R2593" s="136"/>
      <c r="S2593" s="136"/>
    </row>
    <row r="2594" spans="2:19" customFormat="1">
      <c r="B2594" s="14"/>
      <c r="C2594" s="5" t="s">
        <v>1</v>
      </c>
      <c r="D2594" s="5" t="s">
        <v>11</v>
      </c>
      <c r="E2594" s="6" t="s">
        <v>125</v>
      </c>
      <c r="F2594" s="6" t="s">
        <v>126</v>
      </c>
      <c r="G2594" s="6" t="s">
        <v>14</v>
      </c>
      <c r="H2594" s="5" t="s">
        <v>3</v>
      </c>
      <c r="I2594" s="6" t="s">
        <v>15</v>
      </c>
      <c r="J2594" s="6" t="s">
        <v>16</v>
      </c>
      <c r="K2594" s="6" t="s">
        <v>17</v>
      </c>
      <c r="L2594" s="6" t="s">
        <v>18</v>
      </c>
      <c r="M2594" s="5" t="s">
        <v>11</v>
      </c>
      <c r="N2594" s="5" t="s">
        <v>19</v>
      </c>
      <c r="O2594" s="6" t="s">
        <v>179</v>
      </c>
      <c r="P2594" s="6" t="s">
        <v>20</v>
      </c>
      <c r="Q2594" s="6" t="s">
        <v>21</v>
      </c>
      <c r="R2594" s="6" t="s">
        <v>22</v>
      </c>
      <c r="S2594" s="6" t="s">
        <v>23</v>
      </c>
    </row>
    <row r="2595" spans="2:19" customFormat="1" hidden="1" outlineLevel="1">
      <c r="B2595" s="68" t="s">
        <v>177</v>
      </c>
      <c r="C2595" s="7" t="str">
        <f t="shared" ref="C2595:C2622" si="678">C$2593</f>
        <v>MDR CARRETA ESPALHADOR DE AGREGADOS 20 M3</v>
      </c>
      <c r="D2595" s="8">
        <f t="shared" ref="D2595:D2622" si="679">D2533</f>
        <v>46082</v>
      </c>
      <c r="E2595" s="15"/>
      <c r="F2595" s="15"/>
      <c r="G2595" s="15">
        <f>F2595*E2595</f>
        <v>0</v>
      </c>
      <c r="H2595" s="16" t="s">
        <v>6</v>
      </c>
      <c r="I2595" s="10">
        <f>P2595</f>
        <v>0</v>
      </c>
      <c r="J2595" s="16" t="s">
        <v>201</v>
      </c>
      <c r="K2595" s="15"/>
      <c r="L2595" s="15"/>
      <c r="M2595" s="17"/>
      <c r="N2595" s="8"/>
      <c r="O2595" s="9">
        <v>1</v>
      </c>
      <c r="P2595" s="9">
        <f>O2595*G2595</f>
        <v>0</v>
      </c>
      <c r="Q2595" s="9"/>
      <c r="R2595" s="85">
        <v>0</v>
      </c>
      <c r="S2595" s="10">
        <f>R2595+Q2595+P2595</f>
        <v>0</v>
      </c>
    </row>
    <row r="2596" spans="2:19" customFormat="1" hidden="1" outlineLevel="1">
      <c r="B2596" s="12" t="s">
        <v>0</v>
      </c>
      <c r="C2596" s="7" t="str">
        <f t="shared" si="678"/>
        <v>MDR CARRETA ESPALHADOR DE AGREGADOS 20 M3</v>
      </c>
      <c r="D2596" s="8">
        <f t="shared" si="679"/>
        <v>46083</v>
      </c>
      <c r="E2596" s="15"/>
      <c r="F2596" s="15"/>
      <c r="G2596" s="15">
        <f t="shared" ref="G2596:G2622" si="680">F2596*E2596</f>
        <v>0</v>
      </c>
      <c r="H2596" s="16" t="s">
        <v>6</v>
      </c>
      <c r="I2596" s="10">
        <f t="shared" ref="I2596:I2622" si="681">P2596</f>
        <v>0</v>
      </c>
      <c r="J2596" s="16" t="s">
        <v>201</v>
      </c>
      <c r="K2596" s="15"/>
      <c r="L2596" s="15"/>
      <c r="M2596" s="16"/>
      <c r="N2596" s="8"/>
      <c r="O2596" s="18">
        <f>O2595</f>
        <v>1</v>
      </c>
      <c r="P2596" s="9">
        <f t="shared" ref="P2596:P2622" si="682">O2596*G2596</f>
        <v>0</v>
      </c>
      <c r="Q2596" s="9"/>
      <c r="R2596" s="85">
        <v>0</v>
      </c>
      <c r="S2596" s="10">
        <f t="shared" ref="S2596:S2622" si="683">SUM(R2596+Q2596+I2596)</f>
        <v>0</v>
      </c>
    </row>
    <row r="2597" spans="2:19" customFormat="1" hidden="1" outlineLevel="1">
      <c r="B2597" s="13" t="s">
        <v>177</v>
      </c>
      <c r="C2597" s="7" t="str">
        <f t="shared" si="678"/>
        <v>MDR CARRETA ESPALHADOR DE AGREGADOS 20 M3</v>
      </c>
      <c r="D2597" s="8">
        <f t="shared" si="679"/>
        <v>46084</v>
      </c>
      <c r="E2597" s="15"/>
      <c r="F2597" s="15"/>
      <c r="G2597" s="15">
        <f t="shared" si="680"/>
        <v>0</v>
      </c>
      <c r="H2597" s="16" t="s">
        <v>6</v>
      </c>
      <c r="I2597" s="10">
        <f t="shared" si="681"/>
        <v>0</v>
      </c>
      <c r="J2597" s="16" t="s">
        <v>201</v>
      </c>
      <c r="K2597" s="15"/>
      <c r="L2597" s="15"/>
      <c r="M2597" s="16"/>
      <c r="N2597" s="8"/>
      <c r="O2597" s="18">
        <f t="shared" ref="O2597:O2622" si="684">O2596</f>
        <v>1</v>
      </c>
      <c r="P2597" s="9">
        <f t="shared" si="682"/>
        <v>0</v>
      </c>
      <c r="Q2597" s="9"/>
      <c r="R2597" s="85">
        <v>0</v>
      </c>
      <c r="S2597" s="10">
        <f t="shared" si="683"/>
        <v>0</v>
      </c>
    </row>
    <row r="2598" spans="2:19" customFormat="1" hidden="1" outlineLevel="1">
      <c r="B2598" s="13" t="s">
        <v>177</v>
      </c>
      <c r="C2598" s="7" t="str">
        <f t="shared" si="678"/>
        <v>MDR CARRETA ESPALHADOR DE AGREGADOS 20 M3</v>
      </c>
      <c r="D2598" s="8">
        <f t="shared" si="679"/>
        <v>46085</v>
      </c>
      <c r="E2598" s="15"/>
      <c r="F2598" s="15"/>
      <c r="G2598" s="15">
        <f t="shared" si="680"/>
        <v>0</v>
      </c>
      <c r="H2598" s="16" t="s">
        <v>6</v>
      </c>
      <c r="I2598" s="10">
        <f t="shared" si="681"/>
        <v>0</v>
      </c>
      <c r="J2598" s="16" t="s">
        <v>201</v>
      </c>
      <c r="K2598" s="15"/>
      <c r="L2598" s="15"/>
      <c r="M2598" s="16"/>
      <c r="N2598" s="8"/>
      <c r="O2598" s="18">
        <f t="shared" si="684"/>
        <v>1</v>
      </c>
      <c r="P2598" s="9">
        <f t="shared" si="682"/>
        <v>0</v>
      </c>
      <c r="Q2598" s="9"/>
      <c r="R2598" s="85">
        <v>0</v>
      </c>
      <c r="S2598" s="10">
        <f t="shared" si="683"/>
        <v>0</v>
      </c>
    </row>
    <row r="2599" spans="2:19" customFormat="1" hidden="1" outlineLevel="1">
      <c r="B2599" s="13" t="s">
        <v>177</v>
      </c>
      <c r="C2599" s="7" t="str">
        <f t="shared" si="678"/>
        <v>MDR CARRETA ESPALHADOR DE AGREGADOS 20 M3</v>
      </c>
      <c r="D2599" s="8">
        <f t="shared" si="679"/>
        <v>46086</v>
      </c>
      <c r="E2599" s="15"/>
      <c r="F2599" s="15"/>
      <c r="G2599" s="15">
        <f t="shared" si="680"/>
        <v>0</v>
      </c>
      <c r="H2599" s="16" t="s">
        <v>6</v>
      </c>
      <c r="I2599" s="10">
        <f t="shared" si="681"/>
        <v>0</v>
      </c>
      <c r="J2599" s="16" t="s">
        <v>201</v>
      </c>
      <c r="K2599" s="15"/>
      <c r="L2599" s="15"/>
      <c r="M2599" s="16"/>
      <c r="N2599" s="8"/>
      <c r="O2599" s="18">
        <f t="shared" si="684"/>
        <v>1</v>
      </c>
      <c r="P2599" s="9">
        <f t="shared" si="682"/>
        <v>0</v>
      </c>
      <c r="Q2599" s="9"/>
      <c r="R2599" s="85">
        <v>0</v>
      </c>
      <c r="S2599" s="10">
        <f t="shared" si="683"/>
        <v>0</v>
      </c>
    </row>
    <row r="2600" spans="2:19" customFormat="1" hidden="1" outlineLevel="1">
      <c r="B2600" s="13" t="s">
        <v>177</v>
      </c>
      <c r="C2600" s="7" t="str">
        <f t="shared" si="678"/>
        <v>MDR CARRETA ESPALHADOR DE AGREGADOS 20 M3</v>
      </c>
      <c r="D2600" s="8">
        <f t="shared" si="679"/>
        <v>46087</v>
      </c>
      <c r="E2600" s="15"/>
      <c r="F2600" s="15"/>
      <c r="G2600" s="15">
        <f t="shared" si="680"/>
        <v>0</v>
      </c>
      <c r="H2600" s="16" t="s">
        <v>6</v>
      </c>
      <c r="I2600" s="10">
        <f t="shared" si="681"/>
        <v>0</v>
      </c>
      <c r="J2600" s="16" t="s">
        <v>201</v>
      </c>
      <c r="K2600" s="15"/>
      <c r="L2600" s="15"/>
      <c r="M2600" s="16"/>
      <c r="N2600" s="8"/>
      <c r="O2600" s="18">
        <f t="shared" si="684"/>
        <v>1</v>
      </c>
      <c r="P2600" s="9">
        <f t="shared" si="682"/>
        <v>0</v>
      </c>
      <c r="Q2600" s="9"/>
      <c r="R2600" s="85">
        <v>0</v>
      </c>
      <c r="S2600" s="10">
        <f t="shared" si="683"/>
        <v>0</v>
      </c>
    </row>
    <row r="2601" spans="2:19" customFormat="1" hidden="1" outlineLevel="1">
      <c r="B2601" s="13" t="s">
        <v>177</v>
      </c>
      <c r="C2601" s="7" t="str">
        <f t="shared" si="678"/>
        <v>MDR CARRETA ESPALHADOR DE AGREGADOS 20 M3</v>
      </c>
      <c r="D2601" s="8">
        <f t="shared" si="679"/>
        <v>46088</v>
      </c>
      <c r="E2601" s="15"/>
      <c r="F2601" s="15"/>
      <c r="G2601" s="15">
        <f t="shared" si="680"/>
        <v>0</v>
      </c>
      <c r="H2601" s="16" t="s">
        <v>6</v>
      </c>
      <c r="I2601" s="10">
        <f t="shared" si="681"/>
        <v>0</v>
      </c>
      <c r="J2601" s="16" t="s">
        <v>201</v>
      </c>
      <c r="K2601" s="15"/>
      <c r="L2601" s="15"/>
      <c r="M2601" s="16"/>
      <c r="N2601" s="8"/>
      <c r="O2601" s="18">
        <f t="shared" si="684"/>
        <v>1</v>
      </c>
      <c r="P2601" s="9">
        <f t="shared" si="682"/>
        <v>0</v>
      </c>
      <c r="Q2601" s="9"/>
      <c r="R2601" s="85">
        <v>0</v>
      </c>
      <c r="S2601" s="10">
        <f t="shared" si="683"/>
        <v>0</v>
      </c>
    </row>
    <row r="2602" spans="2:19" customFormat="1" hidden="1" outlineLevel="1">
      <c r="B2602" s="13" t="s">
        <v>177</v>
      </c>
      <c r="C2602" s="7" t="str">
        <f t="shared" si="678"/>
        <v>MDR CARRETA ESPALHADOR DE AGREGADOS 20 M3</v>
      </c>
      <c r="D2602" s="8">
        <f t="shared" si="679"/>
        <v>46089</v>
      </c>
      <c r="E2602" s="15"/>
      <c r="F2602" s="15"/>
      <c r="G2602" s="15">
        <f t="shared" si="680"/>
        <v>0</v>
      </c>
      <c r="H2602" s="16" t="s">
        <v>6</v>
      </c>
      <c r="I2602" s="10">
        <f t="shared" si="681"/>
        <v>0</v>
      </c>
      <c r="J2602" s="16" t="s">
        <v>201</v>
      </c>
      <c r="K2602" s="15"/>
      <c r="L2602" s="15"/>
      <c r="M2602" s="16"/>
      <c r="N2602" s="8"/>
      <c r="O2602" s="18">
        <f t="shared" si="684"/>
        <v>1</v>
      </c>
      <c r="P2602" s="9">
        <f t="shared" si="682"/>
        <v>0</v>
      </c>
      <c r="Q2602" s="9"/>
      <c r="R2602" s="85">
        <v>0</v>
      </c>
      <c r="S2602" s="10">
        <f t="shared" si="683"/>
        <v>0</v>
      </c>
    </row>
    <row r="2603" spans="2:19" customFormat="1" hidden="1" outlineLevel="1">
      <c r="B2603" s="13" t="s">
        <v>177</v>
      </c>
      <c r="C2603" s="7" t="str">
        <f t="shared" si="678"/>
        <v>MDR CARRETA ESPALHADOR DE AGREGADOS 20 M3</v>
      </c>
      <c r="D2603" s="8">
        <f t="shared" si="679"/>
        <v>46090</v>
      </c>
      <c r="E2603" s="15"/>
      <c r="F2603" s="15"/>
      <c r="G2603" s="15">
        <f t="shared" si="680"/>
        <v>0</v>
      </c>
      <c r="H2603" s="16" t="s">
        <v>6</v>
      </c>
      <c r="I2603" s="10">
        <f t="shared" si="681"/>
        <v>0</v>
      </c>
      <c r="J2603" s="16" t="s">
        <v>201</v>
      </c>
      <c r="K2603" s="15"/>
      <c r="L2603" s="15"/>
      <c r="M2603" s="16"/>
      <c r="N2603" s="8"/>
      <c r="O2603" s="18">
        <f t="shared" si="684"/>
        <v>1</v>
      </c>
      <c r="P2603" s="9">
        <f t="shared" si="682"/>
        <v>0</v>
      </c>
      <c r="Q2603" s="9"/>
      <c r="R2603" s="85">
        <v>0</v>
      </c>
      <c r="S2603" s="10">
        <f t="shared" si="683"/>
        <v>0</v>
      </c>
    </row>
    <row r="2604" spans="2:19" customFormat="1" hidden="1" outlineLevel="1">
      <c r="B2604" s="13" t="s">
        <v>177</v>
      </c>
      <c r="C2604" s="7" t="str">
        <f t="shared" si="678"/>
        <v>MDR CARRETA ESPALHADOR DE AGREGADOS 20 M3</v>
      </c>
      <c r="D2604" s="8">
        <f t="shared" si="679"/>
        <v>46091</v>
      </c>
      <c r="E2604" s="15"/>
      <c r="F2604" s="15"/>
      <c r="G2604" s="15">
        <f t="shared" si="680"/>
        <v>0</v>
      </c>
      <c r="H2604" s="16" t="s">
        <v>6</v>
      </c>
      <c r="I2604" s="10">
        <f t="shared" si="681"/>
        <v>0</v>
      </c>
      <c r="J2604" s="16" t="s">
        <v>201</v>
      </c>
      <c r="K2604" s="15"/>
      <c r="L2604" s="15"/>
      <c r="M2604" s="16"/>
      <c r="N2604" s="8"/>
      <c r="O2604" s="18">
        <f t="shared" si="684"/>
        <v>1</v>
      </c>
      <c r="P2604" s="9">
        <f t="shared" si="682"/>
        <v>0</v>
      </c>
      <c r="Q2604" s="9"/>
      <c r="R2604" s="85">
        <v>0</v>
      </c>
      <c r="S2604" s="10">
        <f t="shared" si="683"/>
        <v>0</v>
      </c>
    </row>
    <row r="2605" spans="2:19" customFormat="1" hidden="1" outlineLevel="1">
      <c r="B2605" s="13" t="s">
        <v>177</v>
      </c>
      <c r="C2605" s="7" t="str">
        <f t="shared" si="678"/>
        <v>MDR CARRETA ESPALHADOR DE AGREGADOS 20 M3</v>
      </c>
      <c r="D2605" s="8">
        <f t="shared" si="679"/>
        <v>46092</v>
      </c>
      <c r="E2605" s="15"/>
      <c r="F2605" s="15"/>
      <c r="G2605" s="15">
        <f t="shared" si="680"/>
        <v>0</v>
      </c>
      <c r="H2605" s="16" t="s">
        <v>6</v>
      </c>
      <c r="I2605" s="10">
        <f t="shared" si="681"/>
        <v>0</v>
      </c>
      <c r="J2605" s="16" t="s">
        <v>201</v>
      </c>
      <c r="K2605" s="15"/>
      <c r="L2605" s="15"/>
      <c r="M2605" s="16"/>
      <c r="N2605" s="8"/>
      <c r="O2605" s="18">
        <f t="shared" si="684"/>
        <v>1</v>
      </c>
      <c r="P2605" s="9">
        <f t="shared" si="682"/>
        <v>0</v>
      </c>
      <c r="Q2605" s="9"/>
      <c r="R2605" s="85">
        <v>0</v>
      </c>
      <c r="S2605" s="10">
        <f t="shared" si="683"/>
        <v>0</v>
      </c>
    </row>
    <row r="2606" spans="2:19" customFormat="1" hidden="1" outlineLevel="1">
      <c r="B2606" s="13" t="s">
        <v>177</v>
      </c>
      <c r="C2606" s="7" t="str">
        <f t="shared" si="678"/>
        <v>MDR CARRETA ESPALHADOR DE AGREGADOS 20 M3</v>
      </c>
      <c r="D2606" s="8">
        <f t="shared" si="679"/>
        <v>46093</v>
      </c>
      <c r="E2606" s="15"/>
      <c r="F2606" s="15"/>
      <c r="G2606" s="15">
        <f t="shared" si="680"/>
        <v>0</v>
      </c>
      <c r="H2606" s="16" t="s">
        <v>6</v>
      </c>
      <c r="I2606" s="10">
        <f t="shared" si="681"/>
        <v>0</v>
      </c>
      <c r="J2606" s="16" t="s">
        <v>201</v>
      </c>
      <c r="K2606" s="15"/>
      <c r="L2606" s="15"/>
      <c r="M2606" s="16"/>
      <c r="N2606" s="8"/>
      <c r="O2606" s="18">
        <f t="shared" si="684"/>
        <v>1</v>
      </c>
      <c r="P2606" s="9">
        <f t="shared" si="682"/>
        <v>0</v>
      </c>
      <c r="Q2606" s="9"/>
      <c r="R2606" s="85">
        <v>0</v>
      </c>
      <c r="S2606" s="10">
        <f t="shared" si="683"/>
        <v>0</v>
      </c>
    </row>
    <row r="2607" spans="2:19" customFormat="1" hidden="1" outlineLevel="1">
      <c r="B2607" s="13" t="s">
        <v>177</v>
      </c>
      <c r="C2607" s="7" t="str">
        <f t="shared" si="678"/>
        <v>MDR CARRETA ESPALHADOR DE AGREGADOS 20 M3</v>
      </c>
      <c r="D2607" s="8">
        <f t="shared" si="679"/>
        <v>46094</v>
      </c>
      <c r="E2607" s="15"/>
      <c r="F2607" s="15"/>
      <c r="G2607" s="15">
        <f t="shared" si="680"/>
        <v>0</v>
      </c>
      <c r="H2607" s="16" t="s">
        <v>6</v>
      </c>
      <c r="I2607" s="10">
        <f t="shared" si="681"/>
        <v>0</v>
      </c>
      <c r="J2607" s="16" t="s">
        <v>201</v>
      </c>
      <c r="K2607" s="15"/>
      <c r="L2607" s="15"/>
      <c r="M2607" s="16"/>
      <c r="N2607" s="8"/>
      <c r="O2607" s="18">
        <f t="shared" si="684"/>
        <v>1</v>
      </c>
      <c r="P2607" s="9">
        <f t="shared" si="682"/>
        <v>0</v>
      </c>
      <c r="Q2607" s="9"/>
      <c r="R2607" s="85">
        <v>0</v>
      </c>
      <c r="S2607" s="10">
        <f t="shared" si="683"/>
        <v>0</v>
      </c>
    </row>
    <row r="2608" spans="2:19" customFormat="1" hidden="1" outlineLevel="1">
      <c r="B2608" s="13" t="s">
        <v>177</v>
      </c>
      <c r="C2608" s="7" t="str">
        <f t="shared" si="678"/>
        <v>MDR CARRETA ESPALHADOR DE AGREGADOS 20 M3</v>
      </c>
      <c r="D2608" s="8">
        <f t="shared" si="679"/>
        <v>46095</v>
      </c>
      <c r="E2608" s="15"/>
      <c r="F2608" s="15"/>
      <c r="G2608" s="15">
        <f t="shared" si="680"/>
        <v>0</v>
      </c>
      <c r="H2608" s="16" t="s">
        <v>6</v>
      </c>
      <c r="I2608" s="10">
        <f t="shared" si="681"/>
        <v>0</v>
      </c>
      <c r="J2608" s="16" t="s">
        <v>201</v>
      </c>
      <c r="K2608" s="15"/>
      <c r="L2608" s="15"/>
      <c r="M2608" s="16"/>
      <c r="N2608" s="8"/>
      <c r="O2608" s="18">
        <f t="shared" si="684"/>
        <v>1</v>
      </c>
      <c r="P2608" s="9">
        <f t="shared" si="682"/>
        <v>0</v>
      </c>
      <c r="Q2608" s="9"/>
      <c r="R2608" s="85">
        <v>0</v>
      </c>
      <c r="S2608" s="10">
        <f t="shared" si="683"/>
        <v>0</v>
      </c>
    </row>
    <row r="2609" spans="2:19" customFormat="1" hidden="1" outlineLevel="1">
      <c r="B2609" s="13" t="s">
        <v>177</v>
      </c>
      <c r="C2609" s="7" t="str">
        <f t="shared" si="678"/>
        <v>MDR CARRETA ESPALHADOR DE AGREGADOS 20 M3</v>
      </c>
      <c r="D2609" s="8">
        <f t="shared" si="679"/>
        <v>46096</v>
      </c>
      <c r="E2609" s="15"/>
      <c r="F2609" s="15"/>
      <c r="G2609" s="15">
        <f t="shared" si="680"/>
        <v>0</v>
      </c>
      <c r="H2609" s="16" t="s">
        <v>6</v>
      </c>
      <c r="I2609" s="10">
        <f t="shared" si="681"/>
        <v>0</v>
      </c>
      <c r="J2609" s="16" t="s">
        <v>201</v>
      </c>
      <c r="K2609" s="15"/>
      <c r="L2609" s="15"/>
      <c r="M2609" s="16"/>
      <c r="N2609" s="8"/>
      <c r="O2609" s="18">
        <f t="shared" si="684"/>
        <v>1</v>
      </c>
      <c r="P2609" s="9">
        <f t="shared" si="682"/>
        <v>0</v>
      </c>
      <c r="Q2609" s="9"/>
      <c r="R2609" s="85">
        <v>0</v>
      </c>
      <c r="S2609" s="10">
        <f t="shared" si="683"/>
        <v>0</v>
      </c>
    </row>
    <row r="2610" spans="2:19" customFormat="1" hidden="1" outlineLevel="1">
      <c r="B2610" s="13" t="s">
        <v>177</v>
      </c>
      <c r="C2610" s="7" t="str">
        <f t="shared" si="678"/>
        <v>MDR CARRETA ESPALHADOR DE AGREGADOS 20 M3</v>
      </c>
      <c r="D2610" s="8">
        <f t="shared" si="679"/>
        <v>46097</v>
      </c>
      <c r="E2610" s="15"/>
      <c r="F2610" s="15"/>
      <c r="G2610" s="15">
        <f t="shared" si="680"/>
        <v>0</v>
      </c>
      <c r="H2610" s="16" t="s">
        <v>6</v>
      </c>
      <c r="I2610" s="10">
        <f t="shared" si="681"/>
        <v>0</v>
      </c>
      <c r="J2610" s="16" t="s">
        <v>201</v>
      </c>
      <c r="K2610" s="15"/>
      <c r="L2610" s="15"/>
      <c r="M2610" s="16"/>
      <c r="N2610" s="8"/>
      <c r="O2610" s="18">
        <f t="shared" si="684"/>
        <v>1</v>
      </c>
      <c r="P2610" s="9">
        <f t="shared" si="682"/>
        <v>0</v>
      </c>
      <c r="Q2610" s="9"/>
      <c r="R2610" s="85">
        <v>0</v>
      </c>
      <c r="S2610" s="10">
        <f t="shared" si="683"/>
        <v>0</v>
      </c>
    </row>
    <row r="2611" spans="2:19" customFormat="1" hidden="1" outlineLevel="1">
      <c r="B2611" s="13" t="s">
        <v>177</v>
      </c>
      <c r="C2611" s="7" t="str">
        <f t="shared" si="678"/>
        <v>MDR CARRETA ESPALHADOR DE AGREGADOS 20 M3</v>
      </c>
      <c r="D2611" s="8">
        <f t="shared" si="679"/>
        <v>46098</v>
      </c>
      <c r="E2611" s="15"/>
      <c r="F2611" s="15"/>
      <c r="G2611" s="15">
        <f t="shared" si="680"/>
        <v>0</v>
      </c>
      <c r="H2611" s="16" t="s">
        <v>6</v>
      </c>
      <c r="I2611" s="10">
        <f t="shared" si="681"/>
        <v>0</v>
      </c>
      <c r="J2611" s="16" t="s">
        <v>201</v>
      </c>
      <c r="K2611" s="15"/>
      <c r="L2611" s="15"/>
      <c r="M2611" s="16"/>
      <c r="N2611" s="8"/>
      <c r="O2611" s="18">
        <f t="shared" si="684"/>
        <v>1</v>
      </c>
      <c r="P2611" s="9">
        <f t="shared" si="682"/>
        <v>0</v>
      </c>
      <c r="Q2611" s="9"/>
      <c r="R2611" s="85">
        <v>0</v>
      </c>
      <c r="S2611" s="10">
        <f t="shared" si="683"/>
        <v>0</v>
      </c>
    </row>
    <row r="2612" spans="2:19" customFormat="1" hidden="1" outlineLevel="1">
      <c r="B2612" s="13" t="s">
        <v>177</v>
      </c>
      <c r="C2612" s="7" t="str">
        <f t="shared" si="678"/>
        <v>MDR CARRETA ESPALHADOR DE AGREGADOS 20 M3</v>
      </c>
      <c r="D2612" s="8">
        <f t="shared" si="679"/>
        <v>46099</v>
      </c>
      <c r="E2612" s="15"/>
      <c r="F2612" s="15"/>
      <c r="G2612" s="15">
        <f t="shared" si="680"/>
        <v>0</v>
      </c>
      <c r="H2612" s="16" t="s">
        <v>6</v>
      </c>
      <c r="I2612" s="10">
        <f t="shared" si="681"/>
        <v>0</v>
      </c>
      <c r="J2612" s="16" t="s">
        <v>201</v>
      </c>
      <c r="K2612" s="15"/>
      <c r="L2612" s="15"/>
      <c r="M2612" s="16"/>
      <c r="N2612" s="8"/>
      <c r="O2612" s="18">
        <f t="shared" si="684"/>
        <v>1</v>
      </c>
      <c r="P2612" s="9">
        <f t="shared" si="682"/>
        <v>0</v>
      </c>
      <c r="Q2612" s="9"/>
      <c r="R2612" s="85">
        <v>0</v>
      </c>
      <c r="S2612" s="10">
        <f t="shared" si="683"/>
        <v>0</v>
      </c>
    </row>
    <row r="2613" spans="2:19" customFormat="1" hidden="1" outlineLevel="1">
      <c r="B2613" s="13" t="s">
        <v>177</v>
      </c>
      <c r="C2613" s="7" t="str">
        <f t="shared" si="678"/>
        <v>MDR CARRETA ESPALHADOR DE AGREGADOS 20 M3</v>
      </c>
      <c r="D2613" s="8">
        <f t="shared" si="679"/>
        <v>46100</v>
      </c>
      <c r="E2613" s="15"/>
      <c r="F2613" s="15"/>
      <c r="G2613" s="15">
        <f t="shared" si="680"/>
        <v>0</v>
      </c>
      <c r="H2613" s="16" t="s">
        <v>6</v>
      </c>
      <c r="I2613" s="10">
        <f t="shared" si="681"/>
        <v>0</v>
      </c>
      <c r="J2613" s="16" t="s">
        <v>201</v>
      </c>
      <c r="K2613" s="15"/>
      <c r="L2613" s="15"/>
      <c r="M2613" s="16"/>
      <c r="N2613" s="8"/>
      <c r="O2613" s="18">
        <f t="shared" si="684"/>
        <v>1</v>
      </c>
      <c r="P2613" s="9">
        <f t="shared" si="682"/>
        <v>0</v>
      </c>
      <c r="Q2613" s="9"/>
      <c r="R2613" s="85">
        <v>0</v>
      </c>
      <c r="S2613" s="10">
        <f t="shared" si="683"/>
        <v>0</v>
      </c>
    </row>
    <row r="2614" spans="2:19" customFormat="1" hidden="1" outlineLevel="1">
      <c r="B2614" s="13" t="s">
        <v>177</v>
      </c>
      <c r="C2614" s="7" t="str">
        <f t="shared" si="678"/>
        <v>MDR CARRETA ESPALHADOR DE AGREGADOS 20 M3</v>
      </c>
      <c r="D2614" s="8">
        <f t="shared" si="679"/>
        <v>46101</v>
      </c>
      <c r="E2614" s="15"/>
      <c r="F2614" s="15"/>
      <c r="G2614" s="15">
        <f t="shared" si="680"/>
        <v>0</v>
      </c>
      <c r="H2614" s="16" t="s">
        <v>6</v>
      </c>
      <c r="I2614" s="10">
        <f t="shared" si="681"/>
        <v>0</v>
      </c>
      <c r="J2614" s="16" t="s">
        <v>201</v>
      </c>
      <c r="K2614" s="15"/>
      <c r="L2614" s="15"/>
      <c r="M2614" s="16"/>
      <c r="N2614" s="8"/>
      <c r="O2614" s="18">
        <f t="shared" si="684"/>
        <v>1</v>
      </c>
      <c r="P2614" s="9">
        <f t="shared" si="682"/>
        <v>0</v>
      </c>
      <c r="Q2614" s="9"/>
      <c r="R2614" s="85">
        <v>0</v>
      </c>
      <c r="S2614" s="10">
        <f t="shared" si="683"/>
        <v>0</v>
      </c>
    </row>
    <row r="2615" spans="2:19" customFormat="1" hidden="1" outlineLevel="1">
      <c r="B2615" s="13" t="s">
        <v>177</v>
      </c>
      <c r="C2615" s="7" t="str">
        <f t="shared" si="678"/>
        <v>MDR CARRETA ESPALHADOR DE AGREGADOS 20 M3</v>
      </c>
      <c r="D2615" s="8">
        <f t="shared" si="679"/>
        <v>46102</v>
      </c>
      <c r="E2615" s="15"/>
      <c r="F2615" s="15"/>
      <c r="G2615" s="15">
        <f t="shared" si="680"/>
        <v>0</v>
      </c>
      <c r="H2615" s="16" t="s">
        <v>6</v>
      </c>
      <c r="I2615" s="10">
        <f t="shared" si="681"/>
        <v>0</v>
      </c>
      <c r="J2615" s="16" t="s">
        <v>201</v>
      </c>
      <c r="K2615" s="15"/>
      <c r="L2615" s="15"/>
      <c r="M2615" s="16"/>
      <c r="N2615" s="8"/>
      <c r="O2615" s="18">
        <f t="shared" si="684"/>
        <v>1</v>
      </c>
      <c r="P2615" s="9">
        <f t="shared" si="682"/>
        <v>0</v>
      </c>
      <c r="Q2615" s="9"/>
      <c r="R2615" s="85">
        <v>0</v>
      </c>
      <c r="S2615" s="10">
        <f t="shared" si="683"/>
        <v>0</v>
      </c>
    </row>
    <row r="2616" spans="2:19" customFormat="1" hidden="1" outlineLevel="1">
      <c r="B2616" s="13" t="s">
        <v>177</v>
      </c>
      <c r="C2616" s="7" t="str">
        <f t="shared" si="678"/>
        <v>MDR CARRETA ESPALHADOR DE AGREGADOS 20 M3</v>
      </c>
      <c r="D2616" s="8">
        <f t="shared" si="679"/>
        <v>46103</v>
      </c>
      <c r="E2616" s="15"/>
      <c r="F2616" s="15"/>
      <c r="G2616" s="15">
        <f t="shared" si="680"/>
        <v>0</v>
      </c>
      <c r="H2616" s="16" t="s">
        <v>6</v>
      </c>
      <c r="I2616" s="10">
        <f t="shared" si="681"/>
        <v>0</v>
      </c>
      <c r="J2616" s="16" t="s">
        <v>201</v>
      </c>
      <c r="K2616" s="15"/>
      <c r="L2616" s="15"/>
      <c r="M2616" s="16"/>
      <c r="N2616" s="8"/>
      <c r="O2616" s="18">
        <f t="shared" si="684"/>
        <v>1</v>
      </c>
      <c r="P2616" s="9">
        <f t="shared" si="682"/>
        <v>0</v>
      </c>
      <c r="Q2616" s="9"/>
      <c r="R2616" s="85">
        <v>0</v>
      </c>
      <c r="S2616" s="10">
        <f t="shared" si="683"/>
        <v>0</v>
      </c>
    </row>
    <row r="2617" spans="2:19" customFormat="1" hidden="1" outlineLevel="1">
      <c r="B2617" s="13" t="s">
        <v>177</v>
      </c>
      <c r="C2617" s="7" t="str">
        <f t="shared" si="678"/>
        <v>MDR CARRETA ESPALHADOR DE AGREGADOS 20 M3</v>
      </c>
      <c r="D2617" s="8">
        <f t="shared" si="679"/>
        <v>46104</v>
      </c>
      <c r="E2617" s="15"/>
      <c r="F2617" s="15"/>
      <c r="G2617" s="15">
        <f t="shared" si="680"/>
        <v>0</v>
      </c>
      <c r="H2617" s="16" t="s">
        <v>6</v>
      </c>
      <c r="I2617" s="10">
        <f t="shared" si="681"/>
        <v>0</v>
      </c>
      <c r="J2617" s="16" t="s">
        <v>201</v>
      </c>
      <c r="K2617" s="15"/>
      <c r="L2617" s="15"/>
      <c r="M2617" s="16"/>
      <c r="N2617" s="8"/>
      <c r="O2617" s="18">
        <f t="shared" si="684"/>
        <v>1</v>
      </c>
      <c r="P2617" s="9">
        <f t="shared" si="682"/>
        <v>0</v>
      </c>
      <c r="Q2617" s="9"/>
      <c r="R2617" s="85">
        <v>0</v>
      </c>
      <c r="S2617" s="10">
        <f t="shared" si="683"/>
        <v>0</v>
      </c>
    </row>
    <row r="2618" spans="2:19" customFormat="1" hidden="1" outlineLevel="1">
      <c r="B2618" s="13" t="s">
        <v>177</v>
      </c>
      <c r="C2618" s="7" t="str">
        <f t="shared" si="678"/>
        <v>MDR CARRETA ESPALHADOR DE AGREGADOS 20 M3</v>
      </c>
      <c r="D2618" s="8">
        <f t="shared" si="679"/>
        <v>46105</v>
      </c>
      <c r="E2618" s="15"/>
      <c r="F2618" s="15"/>
      <c r="G2618" s="15">
        <f t="shared" si="680"/>
        <v>0</v>
      </c>
      <c r="H2618" s="16" t="s">
        <v>6</v>
      </c>
      <c r="I2618" s="10">
        <f t="shared" si="681"/>
        <v>0</v>
      </c>
      <c r="J2618" s="16" t="s">
        <v>201</v>
      </c>
      <c r="K2618" s="15"/>
      <c r="L2618" s="15"/>
      <c r="M2618" s="16"/>
      <c r="N2618" s="8"/>
      <c r="O2618" s="18">
        <f t="shared" si="684"/>
        <v>1</v>
      </c>
      <c r="P2618" s="9">
        <f t="shared" si="682"/>
        <v>0</v>
      </c>
      <c r="Q2618" s="9"/>
      <c r="R2618" s="85">
        <v>0</v>
      </c>
      <c r="S2618" s="10">
        <f t="shared" si="683"/>
        <v>0</v>
      </c>
    </row>
    <row r="2619" spans="2:19" customFormat="1" hidden="1" outlineLevel="1">
      <c r="B2619" s="13" t="s">
        <v>177</v>
      </c>
      <c r="C2619" s="7" t="str">
        <f t="shared" si="678"/>
        <v>MDR CARRETA ESPALHADOR DE AGREGADOS 20 M3</v>
      </c>
      <c r="D2619" s="8">
        <f t="shared" si="679"/>
        <v>46106</v>
      </c>
      <c r="E2619" s="15"/>
      <c r="F2619" s="15"/>
      <c r="G2619" s="15">
        <f t="shared" si="680"/>
        <v>0</v>
      </c>
      <c r="H2619" s="16" t="s">
        <v>6</v>
      </c>
      <c r="I2619" s="10">
        <f t="shared" si="681"/>
        <v>0</v>
      </c>
      <c r="J2619" s="16" t="s">
        <v>201</v>
      </c>
      <c r="K2619" s="15"/>
      <c r="L2619" s="15"/>
      <c r="M2619" s="16"/>
      <c r="N2619" s="8"/>
      <c r="O2619" s="18">
        <f t="shared" si="684"/>
        <v>1</v>
      </c>
      <c r="P2619" s="9">
        <f t="shared" si="682"/>
        <v>0</v>
      </c>
      <c r="Q2619" s="9"/>
      <c r="R2619" s="85">
        <v>0</v>
      </c>
      <c r="S2619" s="10">
        <f t="shared" si="683"/>
        <v>0</v>
      </c>
    </row>
    <row r="2620" spans="2:19" customFormat="1" hidden="1" outlineLevel="1">
      <c r="B2620" s="13" t="s">
        <v>177</v>
      </c>
      <c r="C2620" s="7" t="str">
        <f t="shared" si="678"/>
        <v>MDR CARRETA ESPALHADOR DE AGREGADOS 20 M3</v>
      </c>
      <c r="D2620" s="8">
        <f t="shared" si="679"/>
        <v>46107</v>
      </c>
      <c r="E2620" s="15"/>
      <c r="F2620" s="15"/>
      <c r="G2620" s="15">
        <f t="shared" si="680"/>
        <v>0</v>
      </c>
      <c r="H2620" s="16" t="s">
        <v>6</v>
      </c>
      <c r="I2620" s="10">
        <f t="shared" si="681"/>
        <v>0</v>
      </c>
      <c r="J2620" s="16" t="s">
        <v>201</v>
      </c>
      <c r="K2620" s="15"/>
      <c r="L2620" s="15"/>
      <c r="M2620" s="16"/>
      <c r="N2620" s="8"/>
      <c r="O2620" s="18">
        <f t="shared" si="684"/>
        <v>1</v>
      </c>
      <c r="P2620" s="9">
        <f t="shared" si="682"/>
        <v>0</v>
      </c>
      <c r="Q2620" s="9"/>
      <c r="R2620" s="85">
        <v>0</v>
      </c>
      <c r="S2620" s="10">
        <f t="shared" si="683"/>
        <v>0</v>
      </c>
    </row>
    <row r="2621" spans="2:19" customFormat="1" hidden="1" outlineLevel="1">
      <c r="B2621" s="13" t="s">
        <v>177</v>
      </c>
      <c r="C2621" s="7" t="str">
        <f t="shared" si="678"/>
        <v>MDR CARRETA ESPALHADOR DE AGREGADOS 20 M3</v>
      </c>
      <c r="D2621" s="8">
        <f t="shared" si="679"/>
        <v>46108</v>
      </c>
      <c r="E2621" s="15"/>
      <c r="F2621" s="15"/>
      <c r="G2621" s="15">
        <f t="shared" si="680"/>
        <v>0</v>
      </c>
      <c r="H2621" s="16" t="s">
        <v>6</v>
      </c>
      <c r="I2621" s="10">
        <f t="shared" si="681"/>
        <v>0</v>
      </c>
      <c r="J2621" s="16" t="s">
        <v>201</v>
      </c>
      <c r="K2621" s="15"/>
      <c r="L2621" s="15"/>
      <c r="M2621" s="16"/>
      <c r="N2621" s="8"/>
      <c r="O2621" s="18">
        <f t="shared" si="684"/>
        <v>1</v>
      </c>
      <c r="P2621" s="9">
        <f t="shared" si="682"/>
        <v>0</v>
      </c>
      <c r="Q2621" s="9"/>
      <c r="R2621" s="85">
        <v>0</v>
      </c>
      <c r="S2621" s="10">
        <f t="shared" si="683"/>
        <v>0</v>
      </c>
    </row>
    <row r="2622" spans="2:19" customFormat="1" hidden="1" outlineLevel="1">
      <c r="B2622" s="13" t="s">
        <v>177</v>
      </c>
      <c r="C2622" s="7" t="str">
        <f t="shared" si="678"/>
        <v>MDR CARRETA ESPALHADOR DE AGREGADOS 20 M3</v>
      </c>
      <c r="D2622" s="8">
        <f t="shared" si="679"/>
        <v>46112</v>
      </c>
      <c r="E2622" s="15"/>
      <c r="F2622" s="15"/>
      <c r="G2622" s="15">
        <f t="shared" si="680"/>
        <v>0</v>
      </c>
      <c r="H2622" s="16" t="s">
        <v>6</v>
      </c>
      <c r="I2622" s="10">
        <f t="shared" si="681"/>
        <v>0</v>
      </c>
      <c r="J2622" s="16" t="s">
        <v>201</v>
      </c>
      <c r="K2622" s="15"/>
      <c r="L2622" s="15"/>
      <c r="M2622" s="17"/>
      <c r="N2622" s="8"/>
      <c r="O2622" s="18">
        <f t="shared" si="684"/>
        <v>1</v>
      </c>
      <c r="P2622" s="9">
        <f t="shared" si="682"/>
        <v>0</v>
      </c>
      <c r="Q2622" s="9"/>
      <c r="R2622" s="85">
        <v>0</v>
      </c>
      <c r="S2622" s="10">
        <f t="shared" si="683"/>
        <v>0</v>
      </c>
    </row>
    <row r="2623" spans="2:19" customFormat="1" collapsed="1">
      <c r="B2623" s="13" t="s">
        <v>177</v>
      </c>
      <c r="D2623" s="1"/>
      <c r="E2623" s="2"/>
      <c r="F2623" s="2"/>
      <c r="G2623" s="2"/>
      <c r="K2623" s="2"/>
      <c r="L2623" s="2"/>
      <c r="O2623" s="2"/>
      <c r="P2623" s="2"/>
      <c r="Q2623" s="2"/>
      <c r="R2623" s="2"/>
    </row>
    <row r="2624" spans="2:19" customFormat="1">
      <c r="B2624" s="13" t="s">
        <v>177</v>
      </c>
      <c r="C2624" s="3" t="s">
        <v>181</v>
      </c>
      <c r="D2624" s="3"/>
      <c r="E2624" s="4"/>
      <c r="F2624" s="4"/>
      <c r="G2624" s="4"/>
      <c r="H2624" s="3"/>
      <c r="I2624" s="3"/>
      <c r="J2624" s="3"/>
      <c r="K2624" s="4"/>
      <c r="L2624" s="4"/>
      <c r="M2624" s="135" t="str">
        <f>M$1</f>
        <v>BM JANEIRO 2026</v>
      </c>
      <c r="N2624" s="135"/>
      <c r="O2624" s="135"/>
      <c r="P2624" s="19" t="s">
        <v>10</v>
      </c>
      <c r="Q2624" s="136"/>
      <c r="R2624" s="136"/>
      <c r="S2624" s="136"/>
    </row>
    <row r="2625" spans="2:19" customFormat="1">
      <c r="B2625" s="14"/>
      <c r="C2625" s="5" t="s">
        <v>1</v>
      </c>
      <c r="D2625" s="5" t="s">
        <v>11</v>
      </c>
      <c r="E2625" s="6" t="s">
        <v>12</v>
      </c>
      <c r="F2625" s="6" t="s">
        <v>13</v>
      </c>
      <c r="G2625" s="6" t="s">
        <v>14</v>
      </c>
      <c r="H2625" s="5" t="s">
        <v>3</v>
      </c>
      <c r="I2625" s="6" t="s">
        <v>15</v>
      </c>
      <c r="J2625" s="6" t="s">
        <v>16</v>
      </c>
      <c r="K2625" s="6" t="s">
        <v>17</v>
      </c>
      <c r="L2625" s="6" t="s">
        <v>18</v>
      </c>
      <c r="M2625" s="5" t="s">
        <v>11</v>
      </c>
      <c r="N2625" s="5" t="s">
        <v>19</v>
      </c>
      <c r="O2625" s="6" t="s">
        <v>2</v>
      </c>
      <c r="P2625" s="6" t="s">
        <v>20</v>
      </c>
      <c r="Q2625" s="6" t="s">
        <v>21</v>
      </c>
      <c r="R2625" s="6" t="s">
        <v>22</v>
      </c>
      <c r="S2625" s="6" t="s">
        <v>23</v>
      </c>
    </row>
    <row r="2626" spans="2:19" customFormat="1" hidden="1" outlineLevel="1">
      <c r="B2626" s="68" t="s">
        <v>180</v>
      </c>
      <c r="C2626" s="7" t="str">
        <f t="shared" ref="C2626:C2653" si="685">C$2624</f>
        <v>VASSOURA MEC EMAQ SERIE 24072</v>
      </c>
      <c r="D2626" s="8">
        <f t="shared" ref="D2626:D2653" si="686">D2564</f>
        <v>46082</v>
      </c>
      <c r="E2626" s="15"/>
      <c r="F2626" s="15"/>
      <c r="G2626" s="15">
        <f t="shared" ref="G2626:G2629" si="687">F2626-E2626</f>
        <v>0</v>
      </c>
      <c r="H2626" s="16" t="s">
        <v>6</v>
      </c>
      <c r="I2626" s="10">
        <f>P2626</f>
        <v>0</v>
      </c>
      <c r="J2626" s="16" t="s">
        <v>201</v>
      </c>
      <c r="K2626" s="15"/>
      <c r="L2626" s="15"/>
      <c r="M2626" s="17"/>
      <c r="N2626" s="8"/>
      <c r="O2626" s="9">
        <v>5000</v>
      </c>
      <c r="P2626" s="9"/>
      <c r="Q2626" s="9"/>
      <c r="R2626" s="85">
        <v>0</v>
      </c>
      <c r="S2626" s="10">
        <f t="shared" ref="S2626:S2640" si="688">SUM(R2626+Q2626+I2626)</f>
        <v>0</v>
      </c>
    </row>
    <row r="2627" spans="2:19" customFormat="1" hidden="1" outlineLevel="1">
      <c r="B2627" s="12" t="s">
        <v>0</v>
      </c>
      <c r="C2627" s="7" t="str">
        <f t="shared" si="685"/>
        <v>VASSOURA MEC EMAQ SERIE 24072</v>
      </c>
      <c r="D2627" s="8">
        <f t="shared" si="686"/>
        <v>46083</v>
      </c>
      <c r="E2627" s="15"/>
      <c r="F2627" s="15"/>
      <c r="G2627" s="15">
        <f t="shared" si="687"/>
        <v>0</v>
      </c>
      <c r="H2627" s="16" t="s">
        <v>6</v>
      </c>
      <c r="I2627" s="10">
        <f>I2626</f>
        <v>0</v>
      </c>
      <c r="J2627" s="16" t="s">
        <v>201</v>
      </c>
      <c r="K2627" s="15"/>
      <c r="L2627" s="15"/>
      <c r="M2627" s="16"/>
      <c r="N2627" s="8"/>
      <c r="O2627" s="9"/>
      <c r="P2627" s="9"/>
      <c r="Q2627" s="9"/>
      <c r="R2627" s="85">
        <v>0</v>
      </c>
      <c r="S2627" s="10">
        <f t="shared" si="688"/>
        <v>0</v>
      </c>
    </row>
    <row r="2628" spans="2:19" customFormat="1" hidden="1" outlineLevel="1">
      <c r="B2628" s="13" t="s">
        <v>180</v>
      </c>
      <c r="C2628" s="7" t="str">
        <f t="shared" si="685"/>
        <v>VASSOURA MEC EMAQ SERIE 24072</v>
      </c>
      <c r="D2628" s="8">
        <f t="shared" si="686"/>
        <v>46084</v>
      </c>
      <c r="E2628" s="15"/>
      <c r="F2628" s="15"/>
      <c r="G2628" s="15">
        <f t="shared" si="687"/>
        <v>0</v>
      </c>
      <c r="H2628" s="16" t="s">
        <v>6</v>
      </c>
      <c r="I2628" s="10">
        <f t="shared" ref="I2628:I2653" si="689">I2627</f>
        <v>0</v>
      </c>
      <c r="J2628" s="16" t="s">
        <v>201</v>
      </c>
      <c r="K2628" s="15"/>
      <c r="L2628" s="15"/>
      <c r="M2628" s="16"/>
      <c r="N2628" s="8"/>
      <c r="O2628" s="9"/>
      <c r="P2628" s="9"/>
      <c r="Q2628" s="9"/>
      <c r="R2628" s="85">
        <v>0</v>
      </c>
      <c r="S2628" s="10">
        <f t="shared" si="688"/>
        <v>0</v>
      </c>
    </row>
    <row r="2629" spans="2:19" customFormat="1" hidden="1" outlineLevel="1">
      <c r="B2629" s="13" t="s">
        <v>180</v>
      </c>
      <c r="C2629" s="7" t="str">
        <f t="shared" si="685"/>
        <v>VASSOURA MEC EMAQ SERIE 24072</v>
      </c>
      <c r="D2629" s="8">
        <f t="shared" si="686"/>
        <v>46085</v>
      </c>
      <c r="E2629" s="15"/>
      <c r="F2629" s="15"/>
      <c r="G2629" s="15">
        <f t="shared" si="687"/>
        <v>0</v>
      </c>
      <c r="H2629" s="16" t="s">
        <v>6</v>
      </c>
      <c r="I2629" s="10">
        <f t="shared" si="689"/>
        <v>0</v>
      </c>
      <c r="J2629" s="16" t="s">
        <v>201</v>
      </c>
      <c r="K2629" s="15"/>
      <c r="L2629" s="15"/>
      <c r="M2629" s="16"/>
      <c r="N2629" s="8"/>
      <c r="O2629" s="9"/>
      <c r="P2629" s="9"/>
      <c r="Q2629" s="9"/>
      <c r="R2629" s="85">
        <v>0</v>
      </c>
      <c r="S2629" s="10">
        <f t="shared" si="688"/>
        <v>0</v>
      </c>
    </row>
    <row r="2630" spans="2:19" customFormat="1" hidden="1" outlineLevel="1">
      <c r="B2630" s="13" t="s">
        <v>180</v>
      </c>
      <c r="C2630" s="7" t="str">
        <f t="shared" si="685"/>
        <v>VASSOURA MEC EMAQ SERIE 24072</v>
      </c>
      <c r="D2630" s="8">
        <f t="shared" si="686"/>
        <v>46086</v>
      </c>
      <c r="E2630" s="15"/>
      <c r="F2630" s="15"/>
      <c r="G2630" s="15">
        <f t="shared" ref="G2630:G2653" si="690">F2630-E2630</f>
        <v>0</v>
      </c>
      <c r="H2630" s="16" t="s">
        <v>6</v>
      </c>
      <c r="I2630" s="10">
        <f t="shared" si="689"/>
        <v>0</v>
      </c>
      <c r="J2630" s="16" t="s">
        <v>201</v>
      </c>
      <c r="K2630" s="15"/>
      <c r="L2630" s="15"/>
      <c r="M2630" s="16"/>
      <c r="N2630" s="8"/>
      <c r="O2630" s="18"/>
      <c r="P2630" s="9"/>
      <c r="Q2630" s="9"/>
      <c r="R2630" s="85">
        <v>0</v>
      </c>
      <c r="S2630" s="10">
        <f t="shared" si="688"/>
        <v>0</v>
      </c>
    </row>
    <row r="2631" spans="2:19" customFormat="1" hidden="1" outlineLevel="1">
      <c r="B2631" s="13" t="s">
        <v>180</v>
      </c>
      <c r="C2631" s="7" t="str">
        <f t="shared" si="685"/>
        <v>VASSOURA MEC EMAQ SERIE 24072</v>
      </c>
      <c r="D2631" s="8">
        <f t="shared" si="686"/>
        <v>46087</v>
      </c>
      <c r="E2631" s="15"/>
      <c r="F2631" s="15"/>
      <c r="G2631" s="15">
        <f t="shared" si="690"/>
        <v>0</v>
      </c>
      <c r="H2631" s="16" t="s">
        <v>6</v>
      </c>
      <c r="I2631" s="10">
        <f t="shared" si="689"/>
        <v>0</v>
      </c>
      <c r="J2631" s="16" t="s">
        <v>201</v>
      </c>
      <c r="K2631" s="15"/>
      <c r="L2631" s="15"/>
      <c r="M2631" s="16"/>
      <c r="N2631" s="8"/>
      <c r="O2631" s="18"/>
      <c r="P2631" s="9"/>
      <c r="Q2631" s="9"/>
      <c r="R2631" s="85">
        <v>0</v>
      </c>
      <c r="S2631" s="10">
        <f t="shared" si="688"/>
        <v>0</v>
      </c>
    </row>
    <row r="2632" spans="2:19" customFormat="1" hidden="1" outlineLevel="1">
      <c r="B2632" s="13" t="s">
        <v>180</v>
      </c>
      <c r="C2632" s="7" t="str">
        <f t="shared" si="685"/>
        <v>VASSOURA MEC EMAQ SERIE 24072</v>
      </c>
      <c r="D2632" s="8">
        <f t="shared" si="686"/>
        <v>46088</v>
      </c>
      <c r="E2632" s="15"/>
      <c r="F2632" s="15"/>
      <c r="G2632" s="15">
        <f t="shared" si="690"/>
        <v>0</v>
      </c>
      <c r="H2632" s="16" t="s">
        <v>6</v>
      </c>
      <c r="I2632" s="10">
        <f t="shared" si="689"/>
        <v>0</v>
      </c>
      <c r="J2632" s="16" t="s">
        <v>201</v>
      </c>
      <c r="K2632" s="15"/>
      <c r="L2632" s="15"/>
      <c r="M2632" s="16"/>
      <c r="N2632" s="8"/>
      <c r="O2632" s="18"/>
      <c r="P2632" s="9"/>
      <c r="Q2632" s="9"/>
      <c r="R2632" s="85">
        <v>0</v>
      </c>
      <c r="S2632" s="10">
        <f t="shared" si="688"/>
        <v>0</v>
      </c>
    </row>
    <row r="2633" spans="2:19" customFormat="1" hidden="1" outlineLevel="1">
      <c r="B2633" s="13" t="s">
        <v>180</v>
      </c>
      <c r="C2633" s="7" t="str">
        <f t="shared" si="685"/>
        <v>VASSOURA MEC EMAQ SERIE 24072</v>
      </c>
      <c r="D2633" s="8">
        <f t="shared" si="686"/>
        <v>46089</v>
      </c>
      <c r="E2633" s="15"/>
      <c r="F2633" s="15"/>
      <c r="G2633" s="15">
        <f t="shared" si="690"/>
        <v>0</v>
      </c>
      <c r="H2633" s="16" t="s">
        <v>6</v>
      </c>
      <c r="I2633" s="10">
        <f t="shared" si="689"/>
        <v>0</v>
      </c>
      <c r="J2633" s="16" t="s">
        <v>201</v>
      </c>
      <c r="K2633" s="15"/>
      <c r="L2633" s="15"/>
      <c r="M2633" s="16"/>
      <c r="N2633" s="8"/>
      <c r="O2633" s="18"/>
      <c r="P2633" s="9"/>
      <c r="Q2633" s="9"/>
      <c r="R2633" s="85">
        <v>0</v>
      </c>
      <c r="S2633" s="10">
        <f t="shared" si="688"/>
        <v>0</v>
      </c>
    </row>
    <row r="2634" spans="2:19" customFormat="1" hidden="1" outlineLevel="1">
      <c r="B2634" s="13" t="s">
        <v>180</v>
      </c>
      <c r="C2634" s="7" t="str">
        <f t="shared" si="685"/>
        <v>VASSOURA MEC EMAQ SERIE 24072</v>
      </c>
      <c r="D2634" s="8">
        <f t="shared" si="686"/>
        <v>46090</v>
      </c>
      <c r="E2634" s="15"/>
      <c r="F2634" s="15"/>
      <c r="G2634" s="15">
        <f t="shared" si="690"/>
        <v>0</v>
      </c>
      <c r="H2634" s="16" t="s">
        <v>6</v>
      </c>
      <c r="I2634" s="10">
        <f t="shared" si="689"/>
        <v>0</v>
      </c>
      <c r="J2634" s="16" t="s">
        <v>201</v>
      </c>
      <c r="K2634" s="15"/>
      <c r="L2634" s="15"/>
      <c r="M2634" s="16"/>
      <c r="N2634" s="8"/>
      <c r="O2634" s="18"/>
      <c r="P2634" s="9"/>
      <c r="Q2634" s="9"/>
      <c r="R2634" s="85">
        <v>0</v>
      </c>
      <c r="S2634" s="10">
        <f t="shared" si="688"/>
        <v>0</v>
      </c>
    </row>
    <row r="2635" spans="2:19" customFormat="1" hidden="1" outlineLevel="1">
      <c r="B2635" s="13" t="s">
        <v>180</v>
      </c>
      <c r="C2635" s="7" t="str">
        <f t="shared" si="685"/>
        <v>VASSOURA MEC EMAQ SERIE 24072</v>
      </c>
      <c r="D2635" s="8">
        <f t="shared" si="686"/>
        <v>46091</v>
      </c>
      <c r="E2635" s="15"/>
      <c r="F2635" s="15"/>
      <c r="G2635" s="15">
        <f t="shared" si="690"/>
        <v>0</v>
      </c>
      <c r="H2635" s="16" t="s">
        <v>6</v>
      </c>
      <c r="I2635" s="10">
        <f t="shared" si="689"/>
        <v>0</v>
      </c>
      <c r="J2635" s="16" t="s">
        <v>201</v>
      </c>
      <c r="K2635" s="15"/>
      <c r="L2635" s="15"/>
      <c r="M2635" s="16"/>
      <c r="N2635" s="8"/>
      <c r="O2635" s="18"/>
      <c r="P2635" s="9"/>
      <c r="Q2635" s="9"/>
      <c r="R2635" s="85">
        <v>0</v>
      </c>
      <c r="S2635" s="10">
        <f t="shared" si="688"/>
        <v>0</v>
      </c>
    </row>
    <row r="2636" spans="2:19" customFormat="1" hidden="1" outlineLevel="1">
      <c r="B2636" s="13" t="s">
        <v>180</v>
      </c>
      <c r="C2636" s="7" t="str">
        <f t="shared" si="685"/>
        <v>VASSOURA MEC EMAQ SERIE 24072</v>
      </c>
      <c r="D2636" s="8">
        <f t="shared" si="686"/>
        <v>46092</v>
      </c>
      <c r="E2636" s="15"/>
      <c r="F2636" s="15"/>
      <c r="G2636" s="15">
        <f t="shared" si="690"/>
        <v>0</v>
      </c>
      <c r="H2636" s="16" t="s">
        <v>6</v>
      </c>
      <c r="I2636" s="10">
        <f t="shared" si="689"/>
        <v>0</v>
      </c>
      <c r="J2636" s="16" t="s">
        <v>201</v>
      </c>
      <c r="K2636" s="15"/>
      <c r="L2636" s="15"/>
      <c r="M2636" s="16"/>
      <c r="N2636" s="8"/>
      <c r="O2636" s="18">
        <f t="shared" ref="O2636:O2653" si="691">O2635</f>
        <v>0</v>
      </c>
      <c r="P2636" s="9"/>
      <c r="Q2636" s="9"/>
      <c r="R2636" s="85">
        <v>0</v>
      </c>
      <c r="S2636" s="10">
        <f t="shared" si="688"/>
        <v>0</v>
      </c>
    </row>
    <row r="2637" spans="2:19" customFormat="1" hidden="1" outlineLevel="1">
      <c r="B2637" s="13" t="s">
        <v>180</v>
      </c>
      <c r="C2637" s="7" t="str">
        <f t="shared" si="685"/>
        <v>VASSOURA MEC EMAQ SERIE 24072</v>
      </c>
      <c r="D2637" s="8">
        <f t="shared" si="686"/>
        <v>46093</v>
      </c>
      <c r="E2637" s="15"/>
      <c r="F2637" s="15"/>
      <c r="G2637" s="15">
        <f t="shared" si="690"/>
        <v>0</v>
      </c>
      <c r="H2637" s="16" t="s">
        <v>6</v>
      </c>
      <c r="I2637" s="10">
        <f t="shared" si="689"/>
        <v>0</v>
      </c>
      <c r="J2637" s="16" t="s">
        <v>201</v>
      </c>
      <c r="K2637" s="15"/>
      <c r="L2637" s="15"/>
      <c r="M2637" s="16"/>
      <c r="N2637" s="8"/>
      <c r="O2637" s="18">
        <f t="shared" si="691"/>
        <v>0</v>
      </c>
      <c r="P2637" s="9"/>
      <c r="Q2637" s="9"/>
      <c r="R2637" s="85">
        <v>0</v>
      </c>
      <c r="S2637" s="10">
        <f t="shared" si="688"/>
        <v>0</v>
      </c>
    </row>
    <row r="2638" spans="2:19" customFormat="1" hidden="1" outlineLevel="1">
      <c r="B2638" s="13" t="s">
        <v>180</v>
      </c>
      <c r="C2638" s="7" t="str">
        <f t="shared" si="685"/>
        <v>VASSOURA MEC EMAQ SERIE 24072</v>
      </c>
      <c r="D2638" s="8">
        <f t="shared" si="686"/>
        <v>46094</v>
      </c>
      <c r="E2638" s="15"/>
      <c r="F2638" s="15"/>
      <c r="G2638" s="15">
        <f t="shared" si="690"/>
        <v>0</v>
      </c>
      <c r="H2638" s="16" t="s">
        <v>6</v>
      </c>
      <c r="I2638" s="10">
        <f t="shared" si="689"/>
        <v>0</v>
      </c>
      <c r="J2638" s="16" t="s">
        <v>201</v>
      </c>
      <c r="K2638" s="15"/>
      <c r="L2638" s="15"/>
      <c r="M2638" s="16"/>
      <c r="N2638" s="8"/>
      <c r="O2638" s="18">
        <f t="shared" si="691"/>
        <v>0</v>
      </c>
      <c r="P2638" s="9"/>
      <c r="Q2638" s="9"/>
      <c r="R2638" s="85">
        <v>0</v>
      </c>
      <c r="S2638" s="10">
        <f t="shared" si="688"/>
        <v>0</v>
      </c>
    </row>
    <row r="2639" spans="2:19" customFormat="1" hidden="1" outlineLevel="1">
      <c r="B2639" s="13" t="s">
        <v>180</v>
      </c>
      <c r="C2639" s="7" t="str">
        <f t="shared" si="685"/>
        <v>VASSOURA MEC EMAQ SERIE 24072</v>
      </c>
      <c r="D2639" s="8">
        <f t="shared" si="686"/>
        <v>46095</v>
      </c>
      <c r="E2639" s="15"/>
      <c r="F2639" s="15"/>
      <c r="G2639" s="15">
        <f t="shared" si="690"/>
        <v>0</v>
      </c>
      <c r="H2639" s="16" t="s">
        <v>6</v>
      </c>
      <c r="I2639" s="10">
        <f t="shared" si="689"/>
        <v>0</v>
      </c>
      <c r="J2639" s="16" t="s">
        <v>201</v>
      </c>
      <c r="K2639" s="15"/>
      <c r="L2639" s="15"/>
      <c r="M2639" s="16"/>
      <c r="N2639" s="8"/>
      <c r="O2639" s="18">
        <f t="shared" si="691"/>
        <v>0</v>
      </c>
      <c r="P2639" s="9"/>
      <c r="Q2639" s="9"/>
      <c r="R2639" s="85">
        <v>0</v>
      </c>
      <c r="S2639" s="10">
        <f t="shared" si="688"/>
        <v>0</v>
      </c>
    </row>
    <row r="2640" spans="2:19" customFormat="1" hidden="1" outlineLevel="1">
      <c r="B2640" s="13" t="s">
        <v>180</v>
      </c>
      <c r="C2640" s="7" t="str">
        <f t="shared" si="685"/>
        <v>VASSOURA MEC EMAQ SERIE 24072</v>
      </c>
      <c r="D2640" s="8">
        <f t="shared" si="686"/>
        <v>46096</v>
      </c>
      <c r="E2640" s="15"/>
      <c r="F2640" s="15"/>
      <c r="G2640" s="15">
        <f t="shared" si="690"/>
        <v>0</v>
      </c>
      <c r="H2640" s="16" t="s">
        <v>6</v>
      </c>
      <c r="I2640" s="10">
        <f t="shared" si="689"/>
        <v>0</v>
      </c>
      <c r="J2640" s="16" t="s">
        <v>201</v>
      </c>
      <c r="K2640" s="15"/>
      <c r="L2640" s="15"/>
      <c r="M2640" s="16"/>
      <c r="N2640" s="8"/>
      <c r="O2640" s="18">
        <f t="shared" si="691"/>
        <v>0</v>
      </c>
      <c r="P2640" s="9"/>
      <c r="Q2640" s="9"/>
      <c r="R2640" s="85">
        <v>0</v>
      </c>
      <c r="S2640" s="10">
        <f t="shared" si="688"/>
        <v>0</v>
      </c>
    </row>
    <row r="2641" spans="2:19" customFormat="1" hidden="1" outlineLevel="1">
      <c r="B2641" s="13" t="s">
        <v>180</v>
      </c>
      <c r="C2641" s="7" t="str">
        <f t="shared" si="685"/>
        <v>VASSOURA MEC EMAQ SERIE 24072</v>
      </c>
      <c r="D2641" s="8">
        <f t="shared" si="686"/>
        <v>46097</v>
      </c>
      <c r="E2641" s="15"/>
      <c r="F2641" s="15"/>
      <c r="G2641" s="15">
        <f t="shared" si="690"/>
        <v>0</v>
      </c>
      <c r="H2641" s="16" t="s">
        <v>6</v>
      </c>
      <c r="I2641" s="10">
        <f t="shared" si="689"/>
        <v>0</v>
      </c>
      <c r="J2641" s="16" t="s">
        <v>201</v>
      </c>
      <c r="K2641" s="15"/>
      <c r="L2641" s="15"/>
      <c r="M2641" s="16"/>
      <c r="N2641" s="8"/>
      <c r="O2641" s="18">
        <f t="shared" si="691"/>
        <v>0</v>
      </c>
      <c r="P2641" s="9"/>
      <c r="Q2641" s="9"/>
      <c r="R2641" s="85">
        <v>0</v>
      </c>
      <c r="S2641" s="10">
        <f t="shared" ref="S2641:S2653" si="692">SUM(R2641+Q2641+I2641)</f>
        <v>0</v>
      </c>
    </row>
    <row r="2642" spans="2:19" customFormat="1" hidden="1" outlineLevel="1">
      <c r="B2642" s="13" t="s">
        <v>180</v>
      </c>
      <c r="C2642" s="7" t="str">
        <f t="shared" si="685"/>
        <v>VASSOURA MEC EMAQ SERIE 24072</v>
      </c>
      <c r="D2642" s="8">
        <f t="shared" si="686"/>
        <v>46098</v>
      </c>
      <c r="E2642" s="15"/>
      <c r="F2642" s="15"/>
      <c r="G2642" s="15">
        <f t="shared" si="690"/>
        <v>0</v>
      </c>
      <c r="H2642" s="16" t="s">
        <v>6</v>
      </c>
      <c r="I2642" s="10">
        <f t="shared" si="689"/>
        <v>0</v>
      </c>
      <c r="J2642" s="16" t="s">
        <v>201</v>
      </c>
      <c r="K2642" s="15"/>
      <c r="L2642" s="15"/>
      <c r="M2642" s="16"/>
      <c r="N2642" s="8"/>
      <c r="O2642" s="18">
        <f t="shared" si="691"/>
        <v>0</v>
      </c>
      <c r="P2642" s="9"/>
      <c r="Q2642" s="9"/>
      <c r="R2642" s="85">
        <v>0</v>
      </c>
      <c r="S2642" s="10">
        <f t="shared" si="692"/>
        <v>0</v>
      </c>
    </row>
    <row r="2643" spans="2:19" customFormat="1" hidden="1" outlineLevel="1">
      <c r="B2643" s="13" t="s">
        <v>180</v>
      </c>
      <c r="C2643" s="7" t="str">
        <f t="shared" si="685"/>
        <v>VASSOURA MEC EMAQ SERIE 24072</v>
      </c>
      <c r="D2643" s="8">
        <f t="shared" si="686"/>
        <v>46099</v>
      </c>
      <c r="E2643" s="15"/>
      <c r="F2643" s="15"/>
      <c r="G2643" s="15">
        <f t="shared" si="690"/>
        <v>0</v>
      </c>
      <c r="H2643" s="16" t="s">
        <v>6</v>
      </c>
      <c r="I2643" s="10">
        <f t="shared" si="689"/>
        <v>0</v>
      </c>
      <c r="J2643" s="16" t="s">
        <v>201</v>
      </c>
      <c r="K2643" s="15"/>
      <c r="L2643" s="15"/>
      <c r="M2643" s="16"/>
      <c r="N2643" s="8"/>
      <c r="O2643" s="18">
        <f t="shared" si="691"/>
        <v>0</v>
      </c>
      <c r="P2643" s="9"/>
      <c r="Q2643" s="9"/>
      <c r="R2643" s="85">
        <v>0</v>
      </c>
      <c r="S2643" s="10">
        <f t="shared" si="692"/>
        <v>0</v>
      </c>
    </row>
    <row r="2644" spans="2:19" customFormat="1" hidden="1" outlineLevel="1">
      <c r="B2644" s="13" t="s">
        <v>180</v>
      </c>
      <c r="C2644" s="7" t="str">
        <f t="shared" si="685"/>
        <v>VASSOURA MEC EMAQ SERIE 24072</v>
      </c>
      <c r="D2644" s="8">
        <f t="shared" si="686"/>
        <v>46100</v>
      </c>
      <c r="E2644" s="15"/>
      <c r="F2644" s="15"/>
      <c r="G2644" s="15">
        <f t="shared" si="690"/>
        <v>0</v>
      </c>
      <c r="H2644" s="16" t="s">
        <v>6</v>
      </c>
      <c r="I2644" s="10">
        <f t="shared" si="689"/>
        <v>0</v>
      </c>
      <c r="J2644" s="16" t="s">
        <v>201</v>
      </c>
      <c r="K2644" s="15"/>
      <c r="L2644" s="15"/>
      <c r="M2644" s="16"/>
      <c r="N2644" s="8"/>
      <c r="O2644" s="18">
        <f t="shared" si="691"/>
        <v>0</v>
      </c>
      <c r="P2644" s="9"/>
      <c r="Q2644" s="9"/>
      <c r="R2644" s="85">
        <v>0</v>
      </c>
      <c r="S2644" s="10">
        <f t="shared" si="692"/>
        <v>0</v>
      </c>
    </row>
    <row r="2645" spans="2:19" customFormat="1" hidden="1" outlineLevel="1">
      <c r="B2645" s="13" t="s">
        <v>180</v>
      </c>
      <c r="C2645" s="7" t="str">
        <f t="shared" si="685"/>
        <v>VASSOURA MEC EMAQ SERIE 24072</v>
      </c>
      <c r="D2645" s="8">
        <f t="shared" si="686"/>
        <v>46101</v>
      </c>
      <c r="E2645" s="15"/>
      <c r="F2645" s="15"/>
      <c r="G2645" s="15">
        <f t="shared" si="690"/>
        <v>0</v>
      </c>
      <c r="H2645" s="16" t="s">
        <v>6</v>
      </c>
      <c r="I2645" s="10">
        <f t="shared" si="689"/>
        <v>0</v>
      </c>
      <c r="J2645" s="16" t="s">
        <v>201</v>
      </c>
      <c r="K2645" s="15"/>
      <c r="L2645" s="15"/>
      <c r="M2645" s="16"/>
      <c r="N2645" s="8"/>
      <c r="O2645" s="18">
        <f t="shared" si="691"/>
        <v>0</v>
      </c>
      <c r="P2645" s="9"/>
      <c r="Q2645" s="9"/>
      <c r="R2645" s="85">
        <v>0</v>
      </c>
      <c r="S2645" s="10">
        <f t="shared" si="692"/>
        <v>0</v>
      </c>
    </row>
    <row r="2646" spans="2:19" customFormat="1" hidden="1" outlineLevel="1">
      <c r="B2646" s="13" t="s">
        <v>180</v>
      </c>
      <c r="C2646" s="7" t="str">
        <f t="shared" si="685"/>
        <v>VASSOURA MEC EMAQ SERIE 24072</v>
      </c>
      <c r="D2646" s="8">
        <f t="shared" si="686"/>
        <v>46102</v>
      </c>
      <c r="E2646" s="15"/>
      <c r="F2646" s="15"/>
      <c r="G2646" s="15">
        <f t="shared" si="690"/>
        <v>0</v>
      </c>
      <c r="H2646" s="16" t="s">
        <v>6</v>
      </c>
      <c r="I2646" s="10">
        <f t="shared" si="689"/>
        <v>0</v>
      </c>
      <c r="J2646" s="16" t="s">
        <v>201</v>
      </c>
      <c r="K2646" s="15"/>
      <c r="L2646" s="15"/>
      <c r="M2646" s="16"/>
      <c r="N2646" s="8"/>
      <c r="O2646" s="18">
        <f t="shared" si="691"/>
        <v>0</v>
      </c>
      <c r="P2646" s="9"/>
      <c r="Q2646" s="9"/>
      <c r="R2646" s="85">
        <v>0</v>
      </c>
      <c r="S2646" s="10">
        <f t="shared" si="692"/>
        <v>0</v>
      </c>
    </row>
    <row r="2647" spans="2:19" customFormat="1" hidden="1" outlineLevel="1">
      <c r="B2647" s="13" t="s">
        <v>180</v>
      </c>
      <c r="C2647" s="7" t="str">
        <f t="shared" si="685"/>
        <v>VASSOURA MEC EMAQ SERIE 24072</v>
      </c>
      <c r="D2647" s="8">
        <f t="shared" si="686"/>
        <v>46103</v>
      </c>
      <c r="E2647" s="15"/>
      <c r="F2647" s="15"/>
      <c r="G2647" s="15">
        <f t="shared" si="690"/>
        <v>0</v>
      </c>
      <c r="H2647" s="16" t="s">
        <v>6</v>
      </c>
      <c r="I2647" s="10">
        <f t="shared" si="689"/>
        <v>0</v>
      </c>
      <c r="J2647" s="16" t="s">
        <v>201</v>
      </c>
      <c r="K2647" s="15"/>
      <c r="L2647" s="15"/>
      <c r="M2647" s="16"/>
      <c r="N2647" s="8"/>
      <c r="O2647" s="18">
        <f t="shared" si="691"/>
        <v>0</v>
      </c>
      <c r="P2647" s="9"/>
      <c r="Q2647" s="9"/>
      <c r="R2647" s="85">
        <v>0</v>
      </c>
      <c r="S2647" s="10">
        <f t="shared" si="692"/>
        <v>0</v>
      </c>
    </row>
    <row r="2648" spans="2:19" customFormat="1" hidden="1" outlineLevel="1">
      <c r="B2648" s="13" t="s">
        <v>180</v>
      </c>
      <c r="C2648" s="7" t="str">
        <f t="shared" si="685"/>
        <v>VASSOURA MEC EMAQ SERIE 24072</v>
      </c>
      <c r="D2648" s="8">
        <f t="shared" si="686"/>
        <v>46104</v>
      </c>
      <c r="E2648" s="15"/>
      <c r="F2648" s="15"/>
      <c r="G2648" s="15">
        <f t="shared" si="690"/>
        <v>0</v>
      </c>
      <c r="H2648" s="16" t="s">
        <v>6</v>
      </c>
      <c r="I2648" s="10">
        <f t="shared" si="689"/>
        <v>0</v>
      </c>
      <c r="J2648" s="16" t="s">
        <v>201</v>
      </c>
      <c r="K2648" s="15"/>
      <c r="L2648" s="15"/>
      <c r="M2648" s="16"/>
      <c r="N2648" s="8"/>
      <c r="O2648" s="18">
        <f t="shared" si="691"/>
        <v>0</v>
      </c>
      <c r="P2648" s="9"/>
      <c r="Q2648" s="9"/>
      <c r="R2648" s="85">
        <v>0</v>
      </c>
      <c r="S2648" s="10">
        <f t="shared" si="692"/>
        <v>0</v>
      </c>
    </row>
    <row r="2649" spans="2:19" customFormat="1" hidden="1" outlineLevel="1">
      <c r="B2649" s="13" t="s">
        <v>180</v>
      </c>
      <c r="C2649" s="7" t="str">
        <f t="shared" si="685"/>
        <v>VASSOURA MEC EMAQ SERIE 24072</v>
      </c>
      <c r="D2649" s="8">
        <f t="shared" si="686"/>
        <v>46105</v>
      </c>
      <c r="E2649" s="15"/>
      <c r="F2649" s="15"/>
      <c r="G2649" s="15">
        <f t="shared" si="690"/>
        <v>0</v>
      </c>
      <c r="H2649" s="16" t="s">
        <v>6</v>
      </c>
      <c r="I2649" s="10">
        <f t="shared" si="689"/>
        <v>0</v>
      </c>
      <c r="J2649" s="16" t="s">
        <v>201</v>
      </c>
      <c r="K2649" s="15"/>
      <c r="L2649" s="15"/>
      <c r="M2649" s="16"/>
      <c r="N2649" s="8"/>
      <c r="O2649" s="18">
        <f t="shared" si="691"/>
        <v>0</v>
      </c>
      <c r="P2649" s="9"/>
      <c r="Q2649" s="9"/>
      <c r="R2649" s="85">
        <v>0</v>
      </c>
      <c r="S2649" s="10">
        <f t="shared" si="692"/>
        <v>0</v>
      </c>
    </row>
    <row r="2650" spans="2:19" customFormat="1" hidden="1" outlineLevel="1">
      <c r="B2650" s="13" t="s">
        <v>180</v>
      </c>
      <c r="C2650" s="7" t="str">
        <f t="shared" si="685"/>
        <v>VASSOURA MEC EMAQ SERIE 24072</v>
      </c>
      <c r="D2650" s="8">
        <f t="shared" si="686"/>
        <v>46106</v>
      </c>
      <c r="E2650" s="15"/>
      <c r="F2650" s="15"/>
      <c r="G2650" s="15">
        <f t="shared" si="690"/>
        <v>0</v>
      </c>
      <c r="H2650" s="16" t="s">
        <v>6</v>
      </c>
      <c r="I2650" s="10">
        <f t="shared" si="689"/>
        <v>0</v>
      </c>
      <c r="J2650" s="16" t="s">
        <v>201</v>
      </c>
      <c r="K2650" s="15"/>
      <c r="L2650" s="15"/>
      <c r="M2650" s="16"/>
      <c r="N2650" s="8"/>
      <c r="O2650" s="18">
        <f t="shared" si="691"/>
        <v>0</v>
      </c>
      <c r="P2650" s="9"/>
      <c r="Q2650" s="9"/>
      <c r="R2650" s="85">
        <v>0</v>
      </c>
      <c r="S2650" s="10">
        <f t="shared" si="692"/>
        <v>0</v>
      </c>
    </row>
    <row r="2651" spans="2:19" customFormat="1" hidden="1" outlineLevel="1">
      <c r="B2651" s="13" t="s">
        <v>180</v>
      </c>
      <c r="C2651" s="7" t="str">
        <f t="shared" si="685"/>
        <v>VASSOURA MEC EMAQ SERIE 24072</v>
      </c>
      <c r="D2651" s="8">
        <f t="shared" si="686"/>
        <v>46107</v>
      </c>
      <c r="E2651" s="15"/>
      <c r="F2651" s="15"/>
      <c r="G2651" s="15">
        <f t="shared" si="690"/>
        <v>0</v>
      </c>
      <c r="H2651" s="16" t="s">
        <v>6</v>
      </c>
      <c r="I2651" s="10">
        <f t="shared" si="689"/>
        <v>0</v>
      </c>
      <c r="J2651" s="16" t="s">
        <v>201</v>
      </c>
      <c r="K2651" s="15"/>
      <c r="L2651" s="15"/>
      <c r="M2651" s="16"/>
      <c r="N2651" s="8"/>
      <c r="O2651" s="18">
        <f t="shared" si="691"/>
        <v>0</v>
      </c>
      <c r="P2651" s="9"/>
      <c r="Q2651" s="9"/>
      <c r="R2651" s="85">
        <v>0</v>
      </c>
      <c r="S2651" s="10">
        <f t="shared" si="692"/>
        <v>0</v>
      </c>
    </row>
    <row r="2652" spans="2:19" customFormat="1" hidden="1" outlineLevel="1">
      <c r="B2652" s="13" t="s">
        <v>180</v>
      </c>
      <c r="C2652" s="7" t="str">
        <f t="shared" si="685"/>
        <v>VASSOURA MEC EMAQ SERIE 24072</v>
      </c>
      <c r="D2652" s="8">
        <f t="shared" si="686"/>
        <v>46108</v>
      </c>
      <c r="E2652" s="15"/>
      <c r="F2652" s="15"/>
      <c r="G2652" s="15">
        <f t="shared" si="690"/>
        <v>0</v>
      </c>
      <c r="H2652" s="16" t="s">
        <v>6</v>
      </c>
      <c r="I2652" s="10">
        <f t="shared" si="689"/>
        <v>0</v>
      </c>
      <c r="J2652" s="16" t="s">
        <v>201</v>
      </c>
      <c r="K2652" s="15"/>
      <c r="L2652" s="15"/>
      <c r="M2652" s="16"/>
      <c r="N2652" s="8"/>
      <c r="O2652" s="18">
        <f t="shared" si="691"/>
        <v>0</v>
      </c>
      <c r="P2652" s="9"/>
      <c r="Q2652" s="9"/>
      <c r="R2652" s="85">
        <v>0</v>
      </c>
      <c r="S2652" s="10">
        <f t="shared" si="692"/>
        <v>0</v>
      </c>
    </row>
    <row r="2653" spans="2:19" customFormat="1" hidden="1" outlineLevel="1">
      <c r="B2653" s="13" t="s">
        <v>180</v>
      </c>
      <c r="C2653" s="7" t="str">
        <f t="shared" si="685"/>
        <v>VASSOURA MEC EMAQ SERIE 24072</v>
      </c>
      <c r="D2653" s="8">
        <f t="shared" si="686"/>
        <v>46112</v>
      </c>
      <c r="E2653" s="15"/>
      <c r="F2653" s="15"/>
      <c r="G2653" s="15">
        <f t="shared" si="690"/>
        <v>0</v>
      </c>
      <c r="H2653" s="16" t="s">
        <v>6</v>
      </c>
      <c r="I2653" s="10">
        <f t="shared" si="689"/>
        <v>0</v>
      </c>
      <c r="J2653" s="16" t="s">
        <v>201</v>
      </c>
      <c r="K2653" s="15"/>
      <c r="L2653" s="15"/>
      <c r="M2653" s="17"/>
      <c r="N2653" s="8"/>
      <c r="O2653" s="18">
        <f t="shared" si="691"/>
        <v>0</v>
      </c>
      <c r="P2653" s="9"/>
      <c r="Q2653" s="9"/>
      <c r="R2653" s="85">
        <v>0</v>
      </c>
      <c r="S2653" s="10">
        <f t="shared" si="692"/>
        <v>0</v>
      </c>
    </row>
    <row r="2654" spans="2:19" customFormat="1" collapsed="1">
      <c r="B2654" s="13" t="s">
        <v>180</v>
      </c>
      <c r="D2654" s="1"/>
      <c r="E2654" s="2"/>
      <c r="F2654" s="2"/>
      <c r="G2654" s="2"/>
      <c r="K2654" s="2"/>
      <c r="L2654" s="2"/>
      <c r="O2654" s="2"/>
      <c r="P2654" s="2"/>
      <c r="Q2654" s="2"/>
      <c r="R2654" s="2"/>
    </row>
    <row r="2655" spans="2:19" customFormat="1">
      <c r="B2655" s="13" t="s">
        <v>180</v>
      </c>
      <c r="C2655" s="3" t="s">
        <v>183</v>
      </c>
      <c r="D2655" s="3"/>
      <c r="E2655" s="4"/>
      <c r="F2655" s="4"/>
      <c r="G2655" s="4"/>
      <c r="H2655" s="3"/>
      <c r="I2655" s="3"/>
      <c r="J2655" s="3"/>
      <c r="K2655" s="4"/>
      <c r="L2655" s="4"/>
      <c r="M2655" s="135" t="str">
        <f>M$1</f>
        <v>BM JANEIRO 2026</v>
      </c>
      <c r="N2655" s="135"/>
      <c r="O2655" s="135"/>
      <c r="P2655" s="19" t="s">
        <v>10</v>
      </c>
      <c r="Q2655" s="136"/>
      <c r="R2655" s="136"/>
      <c r="S2655" s="136"/>
    </row>
    <row r="2656" spans="2:19" customFormat="1">
      <c r="B2656" s="14"/>
      <c r="C2656" s="5" t="s">
        <v>1</v>
      </c>
      <c r="D2656" s="5" t="s">
        <v>11</v>
      </c>
      <c r="E2656" s="6" t="s">
        <v>12</v>
      </c>
      <c r="F2656" s="6" t="s">
        <v>13</v>
      </c>
      <c r="G2656" s="6" t="s">
        <v>14</v>
      </c>
      <c r="H2656" s="5" t="s">
        <v>3</v>
      </c>
      <c r="I2656" s="6" t="s">
        <v>15</v>
      </c>
      <c r="J2656" s="6" t="s">
        <v>16</v>
      </c>
      <c r="K2656" s="6" t="s">
        <v>17</v>
      </c>
      <c r="L2656" s="6" t="s">
        <v>18</v>
      </c>
      <c r="M2656" s="5" t="s">
        <v>11</v>
      </c>
      <c r="N2656" s="5" t="s">
        <v>19</v>
      </c>
      <c r="O2656" s="6" t="s">
        <v>2</v>
      </c>
      <c r="P2656" s="6" t="s">
        <v>20</v>
      </c>
      <c r="Q2656" s="6" t="s">
        <v>21</v>
      </c>
      <c r="R2656" s="6" t="s">
        <v>22</v>
      </c>
      <c r="S2656" s="6" t="s">
        <v>23</v>
      </c>
    </row>
    <row r="2657" spans="2:19" customFormat="1" hidden="1" outlineLevel="1">
      <c r="B2657" s="68" t="s">
        <v>182</v>
      </c>
      <c r="C2657" s="7" t="str">
        <f t="shared" ref="C2657:C2684" si="693">C$2655</f>
        <v>VASSOURA MEC EMAQ SERIE A 24076</v>
      </c>
      <c r="D2657" s="8">
        <f t="shared" ref="D2657:D2684" si="694">D2595</f>
        <v>46082</v>
      </c>
      <c r="E2657" s="15"/>
      <c r="F2657" s="15"/>
      <c r="G2657" s="15">
        <f>F2657-E2657</f>
        <v>0</v>
      </c>
      <c r="H2657" s="16"/>
      <c r="I2657" s="10">
        <f>P2657</f>
        <v>166.66666666666666</v>
      </c>
      <c r="J2657" s="16"/>
      <c r="K2657" s="15"/>
      <c r="L2657" s="15"/>
      <c r="M2657" s="17"/>
      <c r="N2657" s="8"/>
      <c r="O2657" s="9">
        <v>5000</v>
      </c>
      <c r="P2657" s="9">
        <f>O2657/30</f>
        <v>166.66666666666666</v>
      </c>
      <c r="Q2657" s="9"/>
      <c r="R2657" s="9"/>
      <c r="S2657" s="10">
        <f>SUM(R2657+Q2657+I2657)</f>
        <v>166.66666666666666</v>
      </c>
    </row>
    <row r="2658" spans="2:19" customFormat="1" hidden="1" outlineLevel="1">
      <c r="B2658" s="12" t="s">
        <v>0</v>
      </c>
      <c r="C2658" s="7" t="str">
        <f t="shared" si="693"/>
        <v>VASSOURA MEC EMAQ SERIE A 24076</v>
      </c>
      <c r="D2658" s="8">
        <f t="shared" si="694"/>
        <v>46083</v>
      </c>
      <c r="E2658" s="15"/>
      <c r="F2658" s="15"/>
      <c r="G2658" s="15">
        <f t="shared" ref="G2658:G2684" si="695">F2658-E2658</f>
        <v>0</v>
      </c>
      <c r="H2658" s="16"/>
      <c r="I2658" s="10">
        <f>I2657</f>
        <v>166.66666666666666</v>
      </c>
      <c r="J2658" s="16"/>
      <c r="K2658" s="15"/>
      <c r="L2658" s="15"/>
      <c r="M2658" s="16"/>
      <c r="N2658" s="8"/>
      <c r="O2658" s="9"/>
      <c r="P2658" s="9"/>
      <c r="Q2658" s="9"/>
      <c r="R2658" s="9"/>
      <c r="S2658" s="10">
        <f t="shared" ref="S2658:S2684" si="696">SUM(R2658+Q2658+I2658)</f>
        <v>166.66666666666666</v>
      </c>
    </row>
    <row r="2659" spans="2:19" customFormat="1" hidden="1" outlineLevel="1">
      <c r="B2659" s="13" t="s">
        <v>182</v>
      </c>
      <c r="C2659" s="7" t="str">
        <f t="shared" si="693"/>
        <v>VASSOURA MEC EMAQ SERIE A 24076</v>
      </c>
      <c r="D2659" s="8">
        <f t="shared" si="694"/>
        <v>46084</v>
      </c>
      <c r="E2659" s="15"/>
      <c r="F2659" s="15"/>
      <c r="G2659" s="15">
        <f t="shared" si="695"/>
        <v>0</v>
      </c>
      <c r="H2659" s="16"/>
      <c r="I2659" s="10">
        <f t="shared" ref="I2659:I2684" si="697">I2658</f>
        <v>166.66666666666666</v>
      </c>
      <c r="J2659" s="16"/>
      <c r="K2659" s="15"/>
      <c r="L2659" s="15"/>
      <c r="M2659" s="16"/>
      <c r="N2659" s="8"/>
      <c r="O2659" s="9"/>
      <c r="P2659" s="9"/>
      <c r="Q2659" s="9"/>
      <c r="R2659" s="9"/>
      <c r="S2659" s="10">
        <f t="shared" si="696"/>
        <v>166.66666666666666</v>
      </c>
    </row>
    <row r="2660" spans="2:19" customFormat="1" hidden="1" outlineLevel="1">
      <c r="B2660" s="13" t="s">
        <v>182</v>
      </c>
      <c r="C2660" s="7" t="str">
        <f t="shared" si="693"/>
        <v>VASSOURA MEC EMAQ SERIE A 24076</v>
      </c>
      <c r="D2660" s="8">
        <f t="shared" si="694"/>
        <v>46085</v>
      </c>
      <c r="E2660" s="15"/>
      <c r="F2660" s="15"/>
      <c r="G2660" s="15">
        <f t="shared" si="695"/>
        <v>0</v>
      </c>
      <c r="H2660" s="16"/>
      <c r="I2660" s="10">
        <f t="shared" si="697"/>
        <v>166.66666666666666</v>
      </c>
      <c r="J2660" s="16"/>
      <c r="K2660" s="15"/>
      <c r="L2660" s="15"/>
      <c r="M2660" s="16"/>
      <c r="N2660" s="8"/>
      <c r="O2660" s="18"/>
      <c r="P2660" s="9"/>
      <c r="Q2660" s="9"/>
      <c r="R2660" s="9"/>
      <c r="S2660" s="10">
        <f t="shared" si="696"/>
        <v>166.66666666666666</v>
      </c>
    </row>
    <row r="2661" spans="2:19" customFormat="1" hidden="1" outlineLevel="1">
      <c r="B2661" s="13" t="s">
        <v>182</v>
      </c>
      <c r="C2661" s="7" t="str">
        <f t="shared" si="693"/>
        <v>VASSOURA MEC EMAQ SERIE A 24076</v>
      </c>
      <c r="D2661" s="8">
        <f t="shared" si="694"/>
        <v>46086</v>
      </c>
      <c r="E2661" s="15"/>
      <c r="F2661" s="15"/>
      <c r="G2661" s="15">
        <f t="shared" si="695"/>
        <v>0</v>
      </c>
      <c r="H2661" s="16"/>
      <c r="I2661" s="10">
        <f t="shared" si="697"/>
        <v>166.66666666666666</v>
      </c>
      <c r="J2661" s="16"/>
      <c r="K2661" s="15"/>
      <c r="L2661" s="15"/>
      <c r="M2661" s="16"/>
      <c r="N2661" s="8"/>
      <c r="O2661" s="18"/>
      <c r="P2661" s="9"/>
      <c r="Q2661" s="9"/>
      <c r="R2661" s="9"/>
      <c r="S2661" s="10">
        <f t="shared" si="696"/>
        <v>166.66666666666666</v>
      </c>
    </row>
    <row r="2662" spans="2:19" customFormat="1" hidden="1" outlineLevel="1">
      <c r="B2662" s="13" t="s">
        <v>182</v>
      </c>
      <c r="C2662" s="7" t="str">
        <f t="shared" si="693"/>
        <v>VASSOURA MEC EMAQ SERIE A 24076</v>
      </c>
      <c r="D2662" s="8">
        <f t="shared" si="694"/>
        <v>46087</v>
      </c>
      <c r="E2662" s="15"/>
      <c r="F2662" s="15"/>
      <c r="G2662" s="15">
        <f t="shared" si="695"/>
        <v>0</v>
      </c>
      <c r="H2662" s="16"/>
      <c r="I2662" s="10">
        <f t="shared" si="697"/>
        <v>166.66666666666666</v>
      </c>
      <c r="J2662" s="16"/>
      <c r="K2662" s="15"/>
      <c r="L2662" s="15"/>
      <c r="M2662" s="16"/>
      <c r="N2662" s="8"/>
      <c r="O2662" s="18"/>
      <c r="P2662" s="9"/>
      <c r="Q2662" s="9"/>
      <c r="R2662" s="9"/>
      <c r="S2662" s="10">
        <f t="shared" si="696"/>
        <v>166.66666666666666</v>
      </c>
    </row>
    <row r="2663" spans="2:19" customFormat="1" hidden="1" outlineLevel="1">
      <c r="B2663" s="13" t="s">
        <v>182</v>
      </c>
      <c r="C2663" s="7" t="str">
        <f t="shared" si="693"/>
        <v>VASSOURA MEC EMAQ SERIE A 24076</v>
      </c>
      <c r="D2663" s="8">
        <f t="shared" si="694"/>
        <v>46088</v>
      </c>
      <c r="E2663" s="15"/>
      <c r="F2663" s="15"/>
      <c r="G2663" s="15">
        <f t="shared" si="695"/>
        <v>0</v>
      </c>
      <c r="H2663" s="16"/>
      <c r="I2663" s="10">
        <f t="shared" si="697"/>
        <v>166.66666666666666</v>
      </c>
      <c r="J2663" s="16"/>
      <c r="K2663" s="15"/>
      <c r="L2663" s="15"/>
      <c r="M2663" s="16"/>
      <c r="N2663" s="8"/>
      <c r="O2663" s="18">
        <f t="shared" ref="O2663:O2684" si="698">O2662</f>
        <v>0</v>
      </c>
      <c r="P2663" s="9"/>
      <c r="Q2663" s="9"/>
      <c r="R2663" s="9"/>
      <c r="S2663" s="10">
        <f t="shared" si="696"/>
        <v>166.66666666666666</v>
      </c>
    </row>
    <row r="2664" spans="2:19" customFormat="1" hidden="1" outlineLevel="1">
      <c r="B2664" s="13" t="s">
        <v>182</v>
      </c>
      <c r="C2664" s="7" t="str">
        <f t="shared" si="693"/>
        <v>VASSOURA MEC EMAQ SERIE A 24076</v>
      </c>
      <c r="D2664" s="8">
        <f t="shared" si="694"/>
        <v>46089</v>
      </c>
      <c r="E2664" s="15"/>
      <c r="F2664" s="15"/>
      <c r="G2664" s="15">
        <f t="shared" si="695"/>
        <v>0</v>
      </c>
      <c r="H2664" s="16"/>
      <c r="I2664" s="10">
        <f t="shared" si="697"/>
        <v>166.66666666666666</v>
      </c>
      <c r="J2664" s="16"/>
      <c r="K2664" s="15"/>
      <c r="L2664" s="15"/>
      <c r="M2664" s="16"/>
      <c r="N2664" s="8"/>
      <c r="O2664" s="18">
        <f t="shared" si="698"/>
        <v>0</v>
      </c>
      <c r="P2664" s="9"/>
      <c r="Q2664" s="9"/>
      <c r="R2664" s="9"/>
      <c r="S2664" s="10">
        <f t="shared" si="696"/>
        <v>166.66666666666666</v>
      </c>
    </row>
    <row r="2665" spans="2:19" customFormat="1" hidden="1" outlineLevel="1">
      <c r="B2665" s="13" t="s">
        <v>182</v>
      </c>
      <c r="C2665" s="7" t="str">
        <f t="shared" si="693"/>
        <v>VASSOURA MEC EMAQ SERIE A 24076</v>
      </c>
      <c r="D2665" s="8">
        <f t="shared" si="694"/>
        <v>46090</v>
      </c>
      <c r="E2665" s="15"/>
      <c r="F2665" s="15"/>
      <c r="G2665" s="15">
        <f t="shared" si="695"/>
        <v>0</v>
      </c>
      <c r="H2665" s="16"/>
      <c r="I2665" s="10">
        <f t="shared" si="697"/>
        <v>166.66666666666666</v>
      </c>
      <c r="J2665" s="16"/>
      <c r="K2665" s="15"/>
      <c r="L2665" s="15"/>
      <c r="M2665" s="16"/>
      <c r="N2665" s="8"/>
      <c r="O2665" s="18">
        <f t="shared" si="698"/>
        <v>0</v>
      </c>
      <c r="P2665" s="9"/>
      <c r="Q2665" s="9"/>
      <c r="R2665" s="9"/>
      <c r="S2665" s="10">
        <f t="shared" si="696"/>
        <v>166.66666666666666</v>
      </c>
    </row>
    <row r="2666" spans="2:19" customFormat="1" hidden="1" outlineLevel="1">
      <c r="B2666" s="13" t="s">
        <v>182</v>
      </c>
      <c r="C2666" s="7" t="str">
        <f t="shared" si="693"/>
        <v>VASSOURA MEC EMAQ SERIE A 24076</v>
      </c>
      <c r="D2666" s="8">
        <f t="shared" si="694"/>
        <v>46091</v>
      </c>
      <c r="E2666" s="15"/>
      <c r="F2666" s="15"/>
      <c r="G2666" s="15">
        <f t="shared" si="695"/>
        <v>0</v>
      </c>
      <c r="H2666" s="16"/>
      <c r="I2666" s="10">
        <f t="shared" si="697"/>
        <v>166.66666666666666</v>
      </c>
      <c r="J2666" s="16"/>
      <c r="K2666" s="15"/>
      <c r="L2666" s="15"/>
      <c r="M2666" s="16"/>
      <c r="N2666" s="8"/>
      <c r="O2666" s="18">
        <f t="shared" si="698"/>
        <v>0</v>
      </c>
      <c r="P2666" s="9"/>
      <c r="Q2666" s="9"/>
      <c r="R2666" s="9"/>
      <c r="S2666" s="10">
        <f t="shared" si="696"/>
        <v>166.66666666666666</v>
      </c>
    </row>
    <row r="2667" spans="2:19" customFormat="1" hidden="1" outlineLevel="1">
      <c r="B2667" s="13" t="s">
        <v>182</v>
      </c>
      <c r="C2667" s="7" t="str">
        <f t="shared" si="693"/>
        <v>VASSOURA MEC EMAQ SERIE A 24076</v>
      </c>
      <c r="D2667" s="8">
        <f t="shared" si="694"/>
        <v>46092</v>
      </c>
      <c r="E2667" s="15"/>
      <c r="F2667" s="15"/>
      <c r="G2667" s="15">
        <f t="shared" si="695"/>
        <v>0</v>
      </c>
      <c r="H2667" s="16"/>
      <c r="I2667" s="10">
        <f t="shared" si="697"/>
        <v>166.66666666666666</v>
      </c>
      <c r="J2667" s="16"/>
      <c r="K2667" s="15"/>
      <c r="L2667" s="15"/>
      <c r="M2667" s="16"/>
      <c r="N2667" s="8"/>
      <c r="O2667" s="18">
        <f t="shared" si="698"/>
        <v>0</v>
      </c>
      <c r="P2667" s="9"/>
      <c r="Q2667" s="9"/>
      <c r="R2667" s="9"/>
      <c r="S2667" s="10">
        <f t="shared" si="696"/>
        <v>166.66666666666666</v>
      </c>
    </row>
    <row r="2668" spans="2:19" customFormat="1" hidden="1" outlineLevel="1">
      <c r="B2668" s="13" t="s">
        <v>182</v>
      </c>
      <c r="C2668" s="7" t="str">
        <f t="shared" si="693"/>
        <v>VASSOURA MEC EMAQ SERIE A 24076</v>
      </c>
      <c r="D2668" s="8">
        <f t="shared" si="694"/>
        <v>46093</v>
      </c>
      <c r="E2668" s="15"/>
      <c r="F2668" s="15"/>
      <c r="G2668" s="15">
        <f t="shared" si="695"/>
        <v>0</v>
      </c>
      <c r="H2668" s="16"/>
      <c r="I2668" s="10">
        <f t="shared" si="697"/>
        <v>166.66666666666666</v>
      </c>
      <c r="J2668" s="16"/>
      <c r="K2668" s="15"/>
      <c r="L2668" s="15"/>
      <c r="M2668" s="16"/>
      <c r="N2668" s="8"/>
      <c r="O2668" s="18">
        <f t="shared" si="698"/>
        <v>0</v>
      </c>
      <c r="P2668" s="9"/>
      <c r="Q2668" s="9"/>
      <c r="R2668" s="9"/>
      <c r="S2668" s="10">
        <f t="shared" si="696"/>
        <v>166.66666666666666</v>
      </c>
    </row>
    <row r="2669" spans="2:19" customFormat="1" hidden="1" outlineLevel="1">
      <c r="B2669" s="13" t="s">
        <v>182</v>
      </c>
      <c r="C2669" s="7" t="str">
        <f t="shared" si="693"/>
        <v>VASSOURA MEC EMAQ SERIE A 24076</v>
      </c>
      <c r="D2669" s="8">
        <f t="shared" si="694"/>
        <v>46094</v>
      </c>
      <c r="E2669" s="15"/>
      <c r="F2669" s="15"/>
      <c r="G2669" s="15">
        <f t="shared" si="695"/>
        <v>0</v>
      </c>
      <c r="H2669" s="16"/>
      <c r="I2669" s="10">
        <f t="shared" si="697"/>
        <v>166.66666666666666</v>
      </c>
      <c r="J2669" s="16"/>
      <c r="K2669" s="15"/>
      <c r="L2669" s="15"/>
      <c r="M2669" s="16"/>
      <c r="N2669" s="8"/>
      <c r="O2669" s="18">
        <f t="shared" si="698"/>
        <v>0</v>
      </c>
      <c r="P2669" s="9"/>
      <c r="Q2669" s="9"/>
      <c r="R2669" s="9"/>
      <c r="S2669" s="10">
        <f t="shared" si="696"/>
        <v>166.66666666666666</v>
      </c>
    </row>
    <row r="2670" spans="2:19" customFormat="1" hidden="1" outlineLevel="1">
      <c r="B2670" s="13" t="s">
        <v>182</v>
      </c>
      <c r="C2670" s="7" t="str">
        <f t="shared" si="693"/>
        <v>VASSOURA MEC EMAQ SERIE A 24076</v>
      </c>
      <c r="D2670" s="8">
        <f t="shared" si="694"/>
        <v>46095</v>
      </c>
      <c r="E2670" s="15"/>
      <c r="F2670" s="15"/>
      <c r="G2670" s="15">
        <f t="shared" si="695"/>
        <v>0</v>
      </c>
      <c r="H2670" s="16"/>
      <c r="I2670" s="10">
        <f t="shared" si="697"/>
        <v>166.66666666666666</v>
      </c>
      <c r="J2670" s="16"/>
      <c r="K2670" s="15"/>
      <c r="L2670" s="15"/>
      <c r="M2670" s="16"/>
      <c r="N2670" s="8"/>
      <c r="O2670" s="18">
        <f t="shared" si="698"/>
        <v>0</v>
      </c>
      <c r="P2670" s="9"/>
      <c r="Q2670" s="9"/>
      <c r="R2670" s="9"/>
      <c r="S2670" s="10">
        <f t="shared" si="696"/>
        <v>166.66666666666666</v>
      </c>
    </row>
    <row r="2671" spans="2:19" customFormat="1" hidden="1" outlineLevel="1">
      <c r="B2671" s="13" t="s">
        <v>182</v>
      </c>
      <c r="C2671" s="7" t="str">
        <f t="shared" si="693"/>
        <v>VASSOURA MEC EMAQ SERIE A 24076</v>
      </c>
      <c r="D2671" s="8">
        <f t="shared" si="694"/>
        <v>46096</v>
      </c>
      <c r="E2671" s="15"/>
      <c r="F2671" s="15"/>
      <c r="G2671" s="15">
        <f t="shared" si="695"/>
        <v>0</v>
      </c>
      <c r="H2671" s="16"/>
      <c r="I2671" s="10">
        <f t="shared" si="697"/>
        <v>166.66666666666666</v>
      </c>
      <c r="J2671" s="16"/>
      <c r="K2671" s="15"/>
      <c r="L2671" s="15"/>
      <c r="M2671" s="16"/>
      <c r="N2671" s="8"/>
      <c r="O2671" s="18">
        <f t="shared" si="698"/>
        <v>0</v>
      </c>
      <c r="P2671" s="9"/>
      <c r="Q2671" s="9"/>
      <c r="R2671" s="9"/>
      <c r="S2671" s="10">
        <f t="shared" si="696"/>
        <v>166.66666666666666</v>
      </c>
    </row>
    <row r="2672" spans="2:19" customFormat="1" hidden="1" outlineLevel="1">
      <c r="B2672" s="13" t="s">
        <v>182</v>
      </c>
      <c r="C2672" s="7" t="str">
        <f t="shared" si="693"/>
        <v>VASSOURA MEC EMAQ SERIE A 24076</v>
      </c>
      <c r="D2672" s="8">
        <f t="shared" si="694"/>
        <v>46097</v>
      </c>
      <c r="E2672" s="15"/>
      <c r="F2672" s="15"/>
      <c r="G2672" s="15">
        <f t="shared" si="695"/>
        <v>0</v>
      </c>
      <c r="H2672" s="16"/>
      <c r="I2672" s="10">
        <f t="shared" si="697"/>
        <v>166.66666666666666</v>
      </c>
      <c r="J2672" s="16"/>
      <c r="K2672" s="15"/>
      <c r="L2672" s="15"/>
      <c r="M2672" s="16"/>
      <c r="N2672" s="8"/>
      <c r="O2672" s="18">
        <f t="shared" si="698"/>
        <v>0</v>
      </c>
      <c r="P2672" s="9"/>
      <c r="Q2672" s="9"/>
      <c r="R2672" s="9"/>
      <c r="S2672" s="10">
        <f t="shared" si="696"/>
        <v>166.66666666666666</v>
      </c>
    </row>
    <row r="2673" spans="2:19" customFormat="1" hidden="1" outlineLevel="1">
      <c r="B2673" s="13" t="s">
        <v>182</v>
      </c>
      <c r="C2673" s="7" t="str">
        <f t="shared" si="693"/>
        <v>VASSOURA MEC EMAQ SERIE A 24076</v>
      </c>
      <c r="D2673" s="8">
        <f t="shared" si="694"/>
        <v>46098</v>
      </c>
      <c r="E2673" s="15"/>
      <c r="F2673" s="15"/>
      <c r="G2673" s="15">
        <f t="shared" si="695"/>
        <v>0</v>
      </c>
      <c r="H2673" s="16"/>
      <c r="I2673" s="10">
        <f t="shared" si="697"/>
        <v>166.66666666666666</v>
      </c>
      <c r="J2673" s="16"/>
      <c r="K2673" s="15"/>
      <c r="L2673" s="15"/>
      <c r="M2673" s="16"/>
      <c r="N2673" s="8"/>
      <c r="O2673" s="18">
        <f t="shared" si="698"/>
        <v>0</v>
      </c>
      <c r="P2673" s="9"/>
      <c r="Q2673" s="9"/>
      <c r="R2673" s="9"/>
      <c r="S2673" s="10">
        <f t="shared" si="696"/>
        <v>166.66666666666666</v>
      </c>
    </row>
    <row r="2674" spans="2:19" customFormat="1" hidden="1" outlineLevel="1">
      <c r="B2674" s="13" t="s">
        <v>182</v>
      </c>
      <c r="C2674" s="7" t="str">
        <f t="shared" si="693"/>
        <v>VASSOURA MEC EMAQ SERIE A 24076</v>
      </c>
      <c r="D2674" s="8">
        <f t="shared" si="694"/>
        <v>46099</v>
      </c>
      <c r="E2674" s="15"/>
      <c r="F2674" s="15"/>
      <c r="G2674" s="15">
        <f t="shared" si="695"/>
        <v>0</v>
      </c>
      <c r="H2674" s="16"/>
      <c r="I2674" s="10">
        <f t="shared" si="697"/>
        <v>166.66666666666666</v>
      </c>
      <c r="J2674" s="16"/>
      <c r="K2674" s="15"/>
      <c r="L2674" s="15"/>
      <c r="M2674" s="16"/>
      <c r="N2674" s="8"/>
      <c r="O2674" s="18">
        <f t="shared" si="698"/>
        <v>0</v>
      </c>
      <c r="P2674" s="9"/>
      <c r="Q2674" s="9"/>
      <c r="R2674" s="9"/>
      <c r="S2674" s="10">
        <f t="shared" si="696"/>
        <v>166.66666666666666</v>
      </c>
    </row>
    <row r="2675" spans="2:19" customFormat="1" hidden="1" outlineLevel="1">
      <c r="B2675" s="13" t="s">
        <v>182</v>
      </c>
      <c r="C2675" s="7" t="str">
        <f t="shared" si="693"/>
        <v>VASSOURA MEC EMAQ SERIE A 24076</v>
      </c>
      <c r="D2675" s="8">
        <f t="shared" si="694"/>
        <v>46100</v>
      </c>
      <c r="E2675" s="15"/>
      <c r="F2675" s="15"/>
      <c r="G2675" s="15">
        <f t="shared" si="695"/>
        <v>0</v>
      </c>
      <c r="H2675" s="16"/>
      <c r="I2675" s="10">
        <f t="shared" si="697"/>
        <v>166.66666666666666</v>
      </c>
      <c r="J2675" s="16"/>
      <c r="K2675" s="15"/>
      <c r="L2675" s="15"/>
      <c r="M2675" s="16"/>
      <c r="N2675" s="8"/>
      <c r="O2675" s="18">
        <f t="shared" si="698"/>
        <v>0</v>
      </c>
      <c r="P2675" s="9"/>
      <c r="Q2675" s="9"/>
      <c r="R2675" s="9"/>
      <c r="S2675" s="10">
        <f t="shared" si="696"/>
        <v>166.66666666666666</v>
      </c>
    </row>
    <row r="2676" spans="2:19" customFormat="1" hidden="1" outlineLevel="1">
      <c r="B2676" s="13" t="s">
        <v>182</v>
      </c>
      <c r="C2676" s="7" t="str">
        <f t="shared" si="693"/>
        <v>VASSOURA MEC EMAQ SERIE A 24076</v>
      </c>
      <c r="D2676" s="8">
        <f t="shared" si="694"/>
        <v>46101</v>
      </c>
      <c r="E2676" s="15"/>
      <c r="F2676" s="15"/>
      <c r="G2676" s="15">
        <f t="shared" si="695"/>
        <v>0</v>
      </c>
      <c r="H2676" s="16"/>
      <c r="I2676" s="10">
        <f t="shared" si="697"/>
        <v>166.66666666666666</v>
      </c>
      <c r="J2676" s="16"/>
      <c r="K2676" s="15"/>
      <c r="L2676" s="15"/>
      <c r="M2676" s="16"/>
      <c r="N2676" s="8"/>
      <c r="O2676" s="18">
        <f t="shared" si="698"/>
        <v>0</v>
      </c>
      <c r="P2676" s="9"/>
      <c r="Q2676" s="9"/>
      <c r="R2676" s="9"/>
      <c r="S2676" s="10">
        <f t="shared" si="696"/>
        <v>166.66666666666666</v>
      </c>
    </row>
    <row r="2677" spans="2:19" customFormat="1" hidden="1" outlineLevel="1">
      <c r="B2677" s="13" t="s">
        <v>182</v>
      </c>
      <c r="C2677" s="7" t="str">
        <f t="shared" si="693"/>
        <v>VASSOURA MEC EMAQ SERIE A 24076</v>
      </c>
      <c r="D2677" s="8">
        <f t="shared" si="694"/>
        <v>46102</v>
      </c>
      <c r="E2677" s="15"/>
      <c r="F2677" s="15"/>
      <c r="G2677" s="15">
        <f t="shared" si="695"/>
        <v>0</v>
      </c>
      <c r="H2677" s="16"/>
      <c r="I2677" s="10">
        <f t="shared" si="697"/>
        <v>166.66666666666666</v>
      </c>
      <c r="J2677" s="16"/>
      <c r="K2677" s="15"/>
      <c r="L2677" s="15"/>
      <c r="M2677" s="16"/>
      <c r="N2677" s="8"/>
      <c r="O2677" s="18">
        <f t="shared" si="698"/>
        <v>0</v>
      </c>
      <c r="P2677" s="9"/>
      <c r="Q2677" s="9"/>
      <c r="R2677" s="9"/>
      <c r="S2677" s="10">
        <f t="shared" si="696"/>
        <v>166.66666666666666</v>
      </c>
    </row>
    <row r="2678" spans="2:19" customFormat="1" hidden="1" outlineLevel="1">
      <c r="B2678" s="13" t="s">
        <v>182</v>
      </c>
      <c r="C2678" s="7" t="str">
        <f t="shared" si="693"/>
        <v>VASSOURA MEC EMAQ SERIE A 24076</v>
      </c>
      <c r="D2678" s="8">
        <f t="shared" si="694"/>
        <v>46103</v>
      </c>
      <c r="E2678" s="15"/>
      <c r="F2678" s="15"/>
      <c r="G2678" s="15">
        <f t="shared" si="695"/>
        <v>0</v>
      </c>
      <c r="H2678" s="16"/>
      <c r="I2678" s="10">
        <f t="shared" si="697"/>
        <v>166.66666666666666</v>
      </c>
      <c r="J2678" s="16"/>
      <c r="K2678" s="15"/>
      <c r="L2678" s="15"/>
      <c r="M2678" s="16"/>
      <c r="N2678" s="8"/>
      <c r="O2678" s="18">
        <f t="shared" si="698"/>
        <v>0</v>
      </c>
      <c r="P2678" s="9"/>
      <c r="Q2678" s="9"/>
      <c r="R2678" s="9"/>
      <c r="S2678" s="10">
        <f t="shared" si="696"/>
        <v>166.66666666666666</v>
      </c>
    </row>
    <row r="2679" spans="2:19" customFormat="1" hidden="1" outlineLevel="1">
      <c r="B2679" s="13" t="s">
        <v>182</v>
      </c>
      <c r="C2679" s="7" t="str">
        <f t="shared" si="693"/>
        <v>VASSOURA MEC EMAQ SERIE A 24076</v>
      </c>
      <c r="D2679" s="8">
        <f t="shared" si="694"/>
        <v>46104</v>
      </c>
      <c r="E2679" s="15"/>
      <c r="F2679" s="15"/>
      <c r="G2679" s="15">
        <f t="shared" si="695"/>
        <v>0</v>
      </c>
      <c r="H2679" s="16"/>
      <c r="I2679" s="10">
        <f t="shared" si="697"/>
        <v>166.66666666666666</v>
      </c>
      <c r="J2679" s="16"/>
      <c r="K2679" s="15"/>
      <c r="L2679" s="15"/>
      <c r="M2679" s="16"/>
      <c r="N2679" s="8"/>
      <c r="O2679" s="18">
        <f t="shared" si="698"/>
        <v>0</v>
      </c>
      <c r="P2679" s="9"/>
      <c r="Q2679" s="9"/>
      <c r="R2679" s="9"/>
      <c r="S2679" s="10">
        <f t="shared" si="696"/>
        <v>166.66666666666666</v>
      </c>
    </row>
    <row r="2680" spans="2:19" customFormat="1" hidden="1" outlineLevel="1">
      <c r="B2680" s="13" t="s">
        <v>182</v>
      </c>
      <c r="C2680" s="7" t="str">
        <f t="shared" si="693"/>
        <v>VASSOURA MEC EMAQ SERIE A 24076</v>
      </c>
      <c r="D2680" s="8">
        <f t="shared" si="694"/>
        <v>46105</v>
      </c>
      <c r="E2680" s="15"/>
      <c r="F2680" s="15"/>
      <c r="G2680" s="15">
        <f t="shared" si="695"/>
        <v>0</v>
      </c>
      <c r="H2680" s="16"/>
      <c r="I2680" s="10">
        <f t="shared" si="697"/>
        <v>166.66666666666666</v>
      </c>
      <c r="J2680" s="16"/>
      <c r="K2680" s="15"/>
      <c r="L2680" s="15"/>
      <c r="M2680" s="16"/>
      <c r="N2680" s="8"/>
      <c r="O2680" s="18">
        <f t="shared" si="698"/>
        <v>0</v>
      </c>
      <c r="P2680" s="9"/>
      <c r="Q2680" s="9"/>
      <c r="R2680" s="9"/>
      <c r="S2680" s="10">
        <f t="shared" si="696"/>
        <v>166.66666666666666</v>
      </c>
    </row>
    <row r="2681" spans="2:19" customFormat="1" hidden="1" outlineLevel="1">
      <c r="B2681" s="13" t="s">
        <v>182</v>
      </c>
      <c r="C2681" s="7" t="str">
        <f t="shared" si="693"/>
        <v>VASSOURA MEC EMAQ SERIE A 24076</v>
      </c>
      <c r="D2681" s="8">
        <f t="shared" si="694"/>
        <v>46106</v>
      </c>
      <c r="E2681" s="15"/>
      <c r="F2681" s="15"/>
      <c r="G2681" s="15">
        <f t="shared" si="695"/>
        <v>0</v>
      </c>
      <c r="H2681" s="16"/>
      <c r="I2681" s="10">
        <f t="shared" si="697"/>
        <v>166.66666666666666</v>
      </c>
      <c r="J2681" s="16"/>
      <c r="K2681" s="15"/>
      <c r="L2681" s="15"/>
      <c r="M2681" s="16"/>
      <c r="N2681" s="8"/>
      <c r="O2681" s="18">
        <f t="shared" si="698"/>
        <v>0</v>
      </c>
      <c r="P2681" s="9"/>
      <c r="Q2681" s="9"/>
      <c r="R2681" s="9"/>
      <c r="S2681" s="10">
        <f t="shared" si="696"/>
        <v>166.66666666666666</v>
      </c>
    </row>
    <row r="2682" spans="2:19" customFormat="1" hidden="1" outlineLevel="1">
      <c r="B2682" s="13" t="s">
        <v>182</v>
      </c>
      <c r="C2682" s="7" t="str">
        <f t="shared" si="693"/>
        <v>VASSOURA MEC EMAQ SERIE A 24076</v>
      </c>
      <c r="D2682" s="8">
        <f t="shared" si="694"/>
        <v>46107</v>
      </c>
      <c r="E2682" s="15"/>
      <c r="F2682" s="15"/>
      <c r="G2682" s="15">
        <f t="shared" si="695"/>
        <v>0</v>
      </c>
      <c r="H2682" s="16"/>
      <c r="I2682" s="10">
        <f t="shared" si="697"/>
        <v>166.66666666666666</v>
      </c>
      <c r="J2682" s="16"/>
      <c r="K2682" s="15"/>
      <c r="L2682" s="15"/>
      <c r="M2682" s="16"/>
      <c r="N2682" s="8"/>
      <c r="O2682" s="18">
        <f t="shared" si="698"/>
        <v>0</v>
      </c>
      <c r="P2682" s="9"/>
      <c r="Q2682" s="9"/>
      <c r="R2682" s="9"/>
      <c r="S2682" s="10">
        <f t="shared" si="696"/>
        <v>166.66666666666666</v>
      </c>
    </row>
    <row r="2683" spans="2:19" customFormat="1" hidden="1" outlineLevel="1">
      <c r="B2683" s="13" t="s">
        <v>182</v>
      </c>
      <c r="C2683" s="7" t="str">
        <f t="shared" si="693"/>
        <v>VASSOURA MEC EMAQ SERIE A 24076</v>
      </c>
      <c r="D2683" s="8">
        <f t="shared" si="694"/>
        <v>46108</v>
      </c>
      <c r="E2683" s="15"/>
      <c r="F2683" s="15"/>
      <c r="G2683" s="15">
        <f t="shared" si="695"/>
        <v>0</v>
      </c>
      <c r="H2683" s="16"/>
      <c r="I2683" s="10">
        <f t="shared" si="697"/>
        <v>166.66666666666666</v>
      </c>
      <c r="J2683" s="16"/>
      <c r="K2683" s="15"/>
      <c r="L2683" s="15"/>
      <c r="M2683" s="16"/>
      <c r="N2683" s="8"/>
      <c r="O2683" s="18">
        <f t="shared" si="698"/>
        <v>0</v>
      </c>
      <c r="P2683" s="9"/>
      <c r="Q2683" s="9"/>
      <c r="R2683" s="9"/>
      <c r="S2683" s="10">
        <f t="shared" si="696"/>
        <v>166.66666666666666</v>
      </c>
    </row>
    <row r="2684" spans="2:19" customFormat="1" hidden="1" outlineLevel="1">
      <c r="B2684" s="13" t="s">
        <v>182</v>
      </c>
      <c r="C2684" s="7" t="str">
        <f t="shared" si="693"/>
        <v>VASSOURA MEC EMAQ SERIE A 24076</v>
      </c>
      <c r="D2684" s="8">
        <f t="shared" si="694"/>
        <v>46112</v>
      </c>
      <c r="E2684" s="15"/>
      <c r="F2684" s="15"/>
      <c r="G2684" s="15">
        <f t="shared" si="695"/>
        <v>0</v>
      </c>
      <c r="H2684" s="16"/>
      <c r="I2684" s="10">
        <f t="shared" si="697"/>
        <v>166.66666666666666</v>
      </c>
      <c r="J2684" s="16"/>
      <c r="K2684" s="15"/>
      <c r="L2684" s="15"/>
      <c r="M2684" s="17"/>
      <c r="N2684" s="8"/>
      <c r="O2684" s="18">
        <f t="shared" si="698"/>
        <v>0</v>
      </c>
      <c r="P2684" s="9"/>
      <c r="Q2684" s="9"/>
      <c r="R2684" s="9"/>
      <c r="S2684" s="10">
        <f t="shared" si="696"/>
        <v>166.66666666666666</v>
      </c>
    </row>
    <row r="2685" spans="2:19" customFormat="1" collapsed="1">
      <c r="B2685" s="13" t="s">
        <v>182</v>
      </c>
      <c r="D2685" s="1"/>
      <c r="E2685" s="2"/>
      <c r="F2685" s="2"/>
      <c r="G2685" s="2"/>
      <c r="K2685" s="2"/>
      <c r="L2685" s="2"/>
      <c r="O2685" s="2"/>
      <c r="P2685" s="2"/>
      <c r="Q2685" s="2"/>
      <c r="R2685" s="2"/>
    </row>
    <row r="2686" spans="2:19" customFormat="1">
      <c r="B2686" s="13" t="s">
        <v>182</v>
      </c>
      <c r="C2686" s="3" t="s">
        <v>185</v>
      </c>
      <c r="D2686" s="3"/>
      <c r="E2686" s="4"/>
      <c r="F2686" s="4"/>
      <c r="G2686" s="4"/>
      <c r="H2686" s="3"/>
      <c r="I2686" s="3"/>
      <c r="J2686" s="3"/>
      <c r="K2686" s="4"/>
      <c r="L2686" s="4"/>
      <c r="M2686" s="135" t="str">
        <f>M$1</f>
        <v>BM JANEIRO 2026</v>
      </c>
      <c r="N2686" s="135"/>
      <c r="O2686" s="135"/>
      <c r="P2686" s="19" t="s">
        <v>10</v>
      </c>
      <c r="Q2686" s="136"/>
      <c r="R2686" s="136"/>
      <c r="S2686" s="136"/>
    </row>
    <row r="2687" spans="2:19" customFormat="1">
      <c r="B2687" s="14"/>
      <c r="C2687" s="5" t="s">
        <v>1</v>
      </c>
      <c r="D2687" s="5" t="s">
        <v>11</v>
      </c>
      <c r="E2687" s="6" t="s">
        <v>12</v>
      </c>
      <c r="F2687" s="6" t="s">
        <v>13</v>
      </c>
      <c r="G2687" s="6" t="s">
        <v>14</v>
      </c>
      <c r="H2687" s="5" t="s">
        <v>3</v>
      </c>
      <c r="I2687" s="6" t="s">
        <v>15</v>
      </c>
      <c r="J2687" s="6" t="s">
        <v>16</v>
      </c>
      <c r="K2687" s="6" t="s">
        <v>17</v>
      </c>
      <c r="L2687" s="6" t="s">
        <v>18</v>
      </c>
      <c r="M2687" s="5" t="s">
        <v>11</v>
      </c>
      <c r="N2687" s="5" t="s">
        <v>19</v>
      </c>
      <c r="O2687" s="6" t="s">
        <v>2</v>
      </c>
      <c r="P2687" s="6" t="s">
        <v>20</v>
      </c>
      <c r="Q2687" s="6" t="s">
        <v>21</v>
      </c>
      <c r="R2687" s="6" t="s">
        <v>22</v>
      </c>
      <c r="S2687" s="6" t="s">
        <v>23</v>
      </c>
    </row>
    <row r="2688" spans="2:19" customFormat="1" hidden="1" outlineLevel="1">
      <c r="B2688" s="68" t="s">
        <v>184</v>
      </c>
      <c r="C2688" s="7" t="str">
        <f t="shared" ref="C2688:C2715" si="699">C$2686</f>
        <v>SPREDY EMAQ SERIE 24122</v>
      </c>
      <c r="D2688" s="8">
        <f t="shared" ref="D2688:D2715" si="700">D2626</f>
        <v>46082</v>
      </c>
      <c r="E2688" s="15"/>
      <c r="F2688" s="15"/>
      <c r="G2688" s="15">
        <f>F2688-E2688</f>
        <v>0</v>
      </c>
      <c r="H2688" s="16"/>
      <c r="I2688" s="10">
        <f>P2688</f>
        <v>0</v>
      </c>
      <c r="J2688" s="16"/>
      <c r="K2688" s="15"/>
      <c r="L2688" s="15"/>
      <c r="M2688" s="17"/>
      <c r="N2688" s="8"/>
      <c r="O2688" s="9">
        <v>5000</v>
      </c>
      <c r="P2688" s="9"/>
      <c r="Q2688" s="9"/>
      <c r="R2688" s="9"/>
      <c r="S2688" s="10">
        <f>SUM(R2688+Q2688+I2688)</f>
        <v>0</v>
      </c>
    </row>
    <row r="2689" spans="2:19" customFormat="1" hidden="1" outlineLevel="1">
      <c r="B2689" s="12" t="s">
        <v>0</v>
      </c>
      <c r="C2689" s="7" t="str">
        <f t="shared" si="699"/>
        <v>SPREDY EMAQ SERIE 24122</v>
      </c>
      <c r="D2689" s="8">
        <f t="shared" si="700"/>
        <v>46083</v>
      </c>
      <c r="E2689" s="15"/>
      <c r="F2689" s="15"/>
      <c r="G2689" s="15">
        <f t="shared" ref="G2689:G2715" si="701">F2689-E2689</f>
        <v>0</v>
      </c>
      <c r="H2689" s="16"/>
      <c r="I2689" s="10">
        <f>I2688</f>
        <v>0</v>
      </c>
      <c r="J2689" s="16"/>
      <c r="K2689" s="15"/>
      <c r="L2689" s="15"/>
      <c r="M2689" s="16"/>
      <c r="N2689" s="8"/>
      <c r="O2689" s="9"/>
      <c r="P2689" s="9"/>
      <c r="Q2689" s="9"/>
      <c r="R2689" s="9"/>
      <c r="S2689" s="10">
        <f t="shared" ref="S2689:S2715" si="702">SUM(R2689+Q2689+I2689)</f>
        <v>0</v>
      </c>
    </row>
    <row r="2690" spans="2:19" customFormat="1" hidden="1" outlineLevel="1">
      <c r="B2690" s="13" t="s">
        <v>184</v>
      </c>
      <c r="C2690" s="7" t="str">
        <f t="shared" si="699"/>
        <v>SPREDY EMAQ SERIE 24122</v>
      </c>
      <c r="D2690" s="8">
        <f t="shared" si="700"/>
        <v>46084</v>
      </c>
      <c r="E2690" s="15"/>
      <c r="F2690" s="15"/>
      <c r="G2690" s="15">
        <f t="shared" si="701"/>
        <v>0</v>
      </c>
      <c r="H2690" s="16"/>
      <c r="I2690" s="10">
        <f t="shared" ref="I2690:I2715" si="703">I2689</f>
        <v>0</v>
      </c>
      <c r="J2690" s="16"/>
      <c r="K2690" s="15"/>
      <c r="L2690" s="15"/>
      <c r="M2690" s="16"/>
      <c r="N2690" s="8"/>
      <c r="O2690" s="9"/>
      <c r="P2690" s="9"/>
      <c r="Q2690" s="9"/>
      <c r="R2690" s="9"/>
      <c r="S2690" s="10">
        <f t="shared" si="702"/>
        <v>0</v>
      </c>
    </row>
    <row r="2691" spans="2:19" customFormat="1" hidden="1" outlineLevel="1">
      <c r="B2691" s="13" t="s">
        <v>184</v>
      </c>
      <c r="C2691" s="7" t="str">
        <f t="shared" si="699"/>
        <v>SPREDY EMAQ SERIE 24122</v>
      </c>
      <c r="D2691" s="8">
        <f t="shared" si="700"/>
        <v>46085</v>
      </c>
      <c r="E2691" s="15"/>
      <c r="F2691" s="15"/>
      <c r="G2691" s="15">
        <f t="shared" si="701"/>
        <v>0</v>
      </c>
      <c r="H2691" s="16"/>
      <c r="I2691" s="10">
        <f t="shared" si="703"/>
        <v>0</v>
      </c>
      <c r="J2691" s="16"/>
      <c r="K2691" s="15"/>
      <c r="L2691" s="15"/>
      <c r="M2691" s="16"/>
      <c r="N2691" s="8"/>
      <c r="O2691" s="9"/>
      <c r="P2691" s="9"/>
      <c r="Q2691" s="9"/>
      <c r="R2691" s="9"/>
      <c r="S2691" s="10">
        <f t="shared" si="702"/>
        <v>0</v>
      </c>
    </row>
    <row r="2692" spans="2:19" customFormat="1" hidden="1" outlineLevel="1">
      <c r="B2692" s="13" t="s">
        <v>184</v>
      </c>
      <c r="C2692" s="7" t="str">
        <f t="shared" si="699"/>
        <v>SPREDY EMAQ SERIE 24122</v>
      </c>
      <c r="D2692" s="8">
        <f t="shared" si="700"/>
        <v>46086</v>
      </c>
      <c r="E2692" s="15"/>
      <c r="F2692" s="15"/>
      <c r="G2692" s="15">
        <f t="shared" si="701"/>
        <v>0</v>
      </c>
      <c r="H2692" s="16"/>
      <c r="I2692" s="10">
        <f t="shared" si="703"/>
        <v>0</v>
      </c>
      <c r="J2692" s="16"/>
      <c r="K2692" s="15"/>
      <c r="L2692" s="15"/>
      <c r="M2692" s="16"/>
      <c r="N2692" s="8"/>
      <c r="O2692" s="9"/>
      <c r="P2692" s="9"/>
      <c r="Q2692" s="9"/>
      <c r="R2692" s="9"/>
      <c r="S2692" s="10">
        <f t="shared" si="702"/>
        <v>0</v>
      </c>
    </row>
    <row r="2693" spans="2:19" customFormat="1" hidden="1" outlineLevel="1">
      <c r="B2693" s="13" t="s">
        <v>184</v>
      </c>
      <c r="C2693" s="7" t="str">
        <f t="shared" si="699"/>
        <v>SPREDY EMAQ SERIE 24122</v>
      </c>
      <c r="D2693" s="8">
        <f t="shared" si="700"/>
        <v>46087</v>
      </c>
      <c r="E2693" s="15"/>
      <c r="F2693" s="15"/>
      <c r="G2693" s="15">
        <f t="shared" si="701"/>
        <v>0</v>
      </c>
      <c r="H2693" s="16"/>
      <c r="I2693" s="10">
        <f t="shared" si="703"/>
        <v>0</v>
      </c>
      <c r="J2693" s="16"/>
      <c r="K2693" s="15"/>
      <c r="L2693" s="15"/>
      <c r="M2693" s="16"/>
      <c r="N2693" s="8"/>
      <c r="O2693" s="18"/>
      <c r="P2693" s="9"/>
      <c r="Q2693" s="9"/>
      <c r="R2693" s="9"/>
      <c r="S2693" s="10">
        <f t="shared" si="702"/>
        <v>0</v>
      </c>
    </row>
    <row r="2694" spans="2:19" customFormat="1" hidden="1" outlineLevel="1">
      <c r="B2694" s="13" t="s">
        <v>184</v>
      </c>
      <c r="C2694" s="7" t="str">
        <f t="shared" si="699"/>
        <v>SPREDY EMAQ SERIE 24122</v>
      </c>
      <c r="D2694" s="8">
        <f t="shared" si="700"/>
        <v>46088</v>
      </c>
      <c r="E2694" s="15"/>
      <c r="F2694" s="15"/>
      <c r="G2694" s="15">
        <f t="shared" si="701"/>
        <v>0</v>
      </c>
      <c r="H2694" s="16"/>
      <c r="I2694" s="10">
        <f t="shared" si="703"/>
        <v>0</v>
      </c>
      <c r="J2694" s="16"/>
      <c r="K2694" s="15"/>
      <c r="L2694" s="15"/>
      <c r="M2694" s="16"/>
      <c r="N2694" s="8"/>
      <c r="O2694" s="18"/>
      <c r="P2694" s="9"/>
      <c r="Q2694" s="9"/>
      <c r="R2694" s="9"/>
      <c r="S2694" s="10">
        <f t="shared" si="702"/>
        <v>0</v>
      </c>
    </row>
    <row r="2695" spans="2:19" customFormat="1" hidden="1" outlineLevel="1">
      <c r="B2695" s="13" t="s">
        <v>184</v>
      </c>
      <c r="C2695" s="7" t="str">
        <f t="shared" si="699"/>
        <v>SPREDY EMAQ SERIE 24122</v>
      </c>
      <c r="D2695" s="8">
        <f t="shared" si="700"/>
        <v>46089</v>
      </c>
      <c r="E2695" s="15"/>
      <c r="F2695" s="15"/>
      <c r="G2695" s="15">
        <f t="shared" si="701"/>
        <v>0</v>
      </c>
      <c r="H2695" s="16"/>
      <c r="I2695" s="10">
        <f t="shared" si="703"/>
        <v>0</v>
      </c>
      <c r="J2695" s="16"/>
      <c r="K2695" s="15"/>
      <c r="L2695" s="15"/>
      <c r="M2695" s="16"/>
      <c r="N2695" s="8"/>
      <c r="O2695" s="18"/>
      <c r="P2695" s="9"/>
      <c r="Q2695" s="9"/>
      <c r="R2695" s="9"/>
      <c r="S2695" s="10">
        <f t="shared" si="702"/>
        <v>0</v>
      </c>
    </row>
    <row r="2696" spans="2:19" customFormat="1" hidden="1" outlineLevel="1">
      <c r="B2696" s="13" t="s">
        <v>184</v>
      </c>
      <c r="C2696" s="7" t="str">
        <f t="shared" si="699"/>
        <v>SPREDY EMAQ SERIE 24122</v>
      </c>
      <c r="D2696" s="8">
        <f t="shared" si="700"/>
        <v>46090</v>
      </c>
      <c r="E2696" s="15"/>
      <c r="F2696" s="15"/>
      <c r="G2696" s="15">
        <f t="shared" si="701"/>
        <v>0</v>
      </c>
      <c r="H2696" s="16"/>
      <c r="I2696" s="10">
        <f t="shared" si="703"/>
        <v>0</v>
      </c>
      <c r="J2696" s="16"/>
      <c r="K2696" s="15"/>
      <c r="L2696" s="15"/>
      <c r="M2696" s="16"/>
      <c r="N2696" s="8"/>
      <c r="O2696" s="18"/>
      <c r="P2696" s="9"/>
      <c r="Q2696" s="9"/>
      <c r="R2696" s="9"/>
      <c r="S2696" s="10">
        <f t="shared" si="702"/>
        <v>0</v>
      </c>
    </row>
    <row r="2697" spans="2:19" customFormat="1" hidden="1" outlineLevel="1">
      <c r="B2697" s="13" t="s">
        <v>184</v>
      </c>
      <c r="C2697" s="7" t="str">
        <f t="shared" si="699"/>
        <v>SPREDY EMAQ SERIE 24122</v>
      </c>
      <c r="D2697" s="8">
        <f t="shared" si="700"/>
        <v>46091</v>
      </c>
      <c r="E2697" s="15"/>
      <c r="F2697" s="15"/>
      <c r="G2697" s="15">
        <f t="shared" si="701"/>
        <v>0</v>
      </c>
      <c r="H2697" s="16"/>
      <c r="I2697" s="10">
        <f t="shared" si="703"/>
        <v>0</v>
      </c>
      <c r="J2697" s="16"/>
      <c r="K2697" s="15"/>
      <c r="L2697" s="15"/>
      <c r="M2697" s="16"/>
      <c r="N2697" s="8"/>
      <c r="O2697" s="18"/>
      <c r="P2697" s="9"/>
      <c r="Q2697" s="9"/>
      <c r="R2697" s="9"/>
      <c r="S2697" s="10">
        <f t="shared" si="702"/>
        <v>0</v>
      </c>
    </row>
    <row r="2698" spans="2:19" customFormat="1" hidden="1" outlineLevel="1">
      <c r="B2698" s="13" t="s">
        <v>184</v>
      </c>
      <c r="C2698" s="7" t="str">
        <f t="shared" si="699"/>
        <v>SPREDY EMAQ SERIE 24122</v>
      </c>
      <c r="D2698" s="8">
        <f t="shared" si="700"/>
        <v>46092</v>
      </c>
      <c r="E2698" s="15"/>
      <c r="F2698" s="15"/>
      <c r="G2698" s="15">
        <f t="shared" si="701"/>
        <v>0</v>
      </c>
      <c r="H2698" s="16"/>
      <c r="I2698" s="10">
        <f t="shared" si="703"/>
        <v>0</v>
      </c>
      <c r="J2698" s="16"/>
      <c r="K2698" s="15"/>
      <c r="L2698" s="15"/>
      <c r="M2698" s="16"/>
      <c r="N2698" s="8"/>
      <c r="O2698" s="18"/>
      <c r="P2698" s="9"/>
      <c r="Q2698" s="9"/>
      <c r="R2698" s="9"/>
      <c r="S2698" s="10">
        <f t="shared" si="702"/>
        <v>0</v>
      </c>
    </row>
    <row r="2699" spans="2:19" customFormat="1" hidden="1" outlineLevel="1">
      <c r="B2699" s="13" t="s">
        <v>184</v>
      </c>
      <c r="C2699" s="7" t="str">
        <f t="shared" si="699"/>
        <v>SPREDY EMAQ SERIE 24122</v>
      </c>
      <c r="D2699" s="8">
        <f t="shared" si="700"/>
        <v>46093</v>
      </c>
      <c r="E2699" s="15"/>
      <c r="F2699" s="15"/>
      <c r="G2699" s="15">
        <f t="shared" si="701"/>
        <v>0</v>
      </c>
      <c r="H2699" s="16"/>
      <c r="I2699" s="10">
        <f t="shared" si="703"/>
        <v>0</v>
      </c>
      <c r="J2699" s="16"/>
      <c r="K2699" s="15"/>
      <c r="L2699" s="15"/>
      <c r="M2699" s="16"/>
      <c r="N2699" s="8"/>
      <c r="O2699" s="18"/>
      <c r="P2699" s="9"/>
      <c r="Q2699" s="9"/>
      <c r="R2699" s="9"/>
      <c r="S2699" s="10">
        <f t="shared" si="702"/>
        <v>0</v>
      </c>
    </row>
    <row r="2700" spans="2:19" customFormat="1" hidden="1" outlineLevel="1">
      <c r="B2700" s="13" t="s">
        <v>184</v>
      </c>
      <c r="C2700" s="7" t="str">
        <f t="shared" si="699"/>
        <v>SPREDY EMAQ SERIE 24122</v>
      </c>
      <c r="D2700" s="8">
        <f t="shared" si="700"/>
        <v>46094</v>
      </c>
      <c r="E2700" s="15"/>
      <c r="F2700" s="15"/>
      <c r="G2700" s="15">
        <f t="shared" si="701"/>
        <v>0</v>
      </c>
      <c r="H2700" s="16"/>
      <c r="I2700" s="10">
        <f t="shared" si="703"/>
        <v>0</v>
      </c>
      <c r="J2700" s="16"/>
      <c r="K2700" s="15"/>
      <c r="L2700" s="15"/>
      <c r="M2700" s="16"/>
      <c r="N2700" s="8"/>
      <c r="O2700" s="18"/>
      <c r="P2700" s="9"/>
      <c r="Q2700" s="9"/>
      <c r="R2700" s="9"/>
      <c r="S2700" s="10">
        <f t="shared" si="702"/>
        <v>0</v>
      </c>
    </row>
    <row r="2701" spans="2:19" customFormat="1" hidden="1" outlineLevel="1">
      <c r="B2701" s="13" t="s">
        <v>184</v>
      </c>
      <c r="C2701" s="7" t="str">
        <f t="shared" si="699"/>
        <v>SPREDY EMAQ SERIE 24122</v>
      </c>
      <c r="D2701" s="8">
        <f t="shared" si="700"/>
        <v>46095</v>
      </c>
      <c r="E2701" s="15"/>
      <c r="F2701" s="15"/>
      <c r="G2701" s="15">
        <f t="shared" si="701"/>
        <v>0</v>
      </c>
      <c r="H2701" s="16"/>
      <c r="I2701" s="10">
        <f t="shared" si="703"/>
        <v>0</v>
      </c>
      <c r="J2701" s="16"/>
      <c r="K2701" s="15"/>
      <c r="L2701" s="15"/>
      <c r="M2701" s="16"/>
      <c r="N2701" s="8"/>
      <c r="O2701" s="18"/>
      <c r="P2701" s="9"/>
      <c r="Q2701" s="9"/>
      <c r="R2701" s="9"/>
      <c r="S2701" s="10">
        <f t="shared" si="702"/>
        <v>0</v>
      </c>
    </row>
    <row r="2702" spans="2:19" customFormat="1" hidden="1" outlineLevel="1">
      <c r="B2702" s="13" t="s">
        <v>184</v>
      </c>
      <c r="C2702" s="7" t="str">
        <f t="shared" si="699"/>
        <v>SPREDY EMAQ SERIE 24122</v>
      </c>
      <c r="D2702" s="8">
        <f t="shared" si="700"/>
        <v>46096</v>
      </c>
      <c r="E2702" s="15"/>
      <c r="F2702" s="15"/>
      <c r="G2702" s="15">
        <f t="shared" si="701"/>
        <v>0</v>
      </c>
      <c r="H2702" s="16"/>
      <c r="I2702" s="10">
        <f t="shared" si="703"/>
        <v>0</v>
      </c>
      <c r="J2702" s="16"/>
      <c r="K2702" s="15"/>
      <c r="L2702" s="15"/>
      <c r="M2702" s="16"/>
      <c r="N2702" s="8"/>
      <c r="O2702" s="18"/>
      <c r="P2702" s="9"/>
      <c r="Q2702" s="9"/>
      <c r="R2702" s="9"/>
      <c r="S2702" s="10">
        <f t="shared" si="702"/>
        <v>0</v>
      </c>
    </row>
    <row r="2703" spans="2:19" customFormat="1" hidden="1" outlineLevel="1">
      <c r="B2703" s="13" t="s">
        <v>184</v>
      </c>
      <c r="C2703" s="7" t="str">
        <f t="shared" si="699"/>
        <v>SPREDY EMAQ SERIE 24122</v>
      </c>
      <c r="D2703" s="8">
        <f t="shared" si="700"/>
        <v>46097</v>
      </c>
      <c r="E2703" s="15"/>
      <c r="F2703" s="15"/>
      <c r="G2703" s="15">
        <f t="shared" si="701"/>
        <v>0</v>
      </c>
      <c r="H2703" s="16"/>
      <c r="I2703" s="10">
        <f t="shared" si="703"/>
        <v>0</v>
      </c>
      <c r="J2703" s="16"/>
      <c r="K2703" s="15"/>
      <c r="L2703" s="15"/>
      <c r="M2703" s="16"/>
      <c r="N2703" s="8"/>
      <c r="O2703" s="18"/>
      <c r="P2703" s="9"/>
      <c r="Q2703" s="9"/>
      <c r="R2703" s="9"/>
      <c r="S2703" s="10">
        <f t="shared" si="702"/>
        <v>0</v>
      </c>
    </row>
    <row r="2704" spans="2:19" customFormat="1" hidden="1" outlineLevel="1">
      <c r="B2704" s="13" t="s">
        <v>184</v>
      </c>
      <c r="C2704" s="7" t="str">
        <f t="shared" si="699"/>
        <v>SPREDY EMAQ SERIE 24122</v>
      </c>
      <c r="D2704" s="8">
        <f t="shared" si="700"/>
        <v>46098</v>
      </c>
      <c r="E2704" s="15"/>
      <c r="F2704" s="15"/>
      <c r="G2704" s="15">
        <f t="shared" si="701"/>
        <v>0</v>
      </c>
      <c r="H2704" s="16"/>
      <c r="I2704" s="10">
        <f t="shared" si="703"/>
        <v>0</v>
      </c>
      <c r="J2704" s="16"/>
      <c r="K2704" s="15"/>
      <c r="L2704" s="15"/>
      <c r="M2704" s="16"/>
      <c r="N2704" s="8"/>
      <c r="O2704" s="18">
        <f t="shared" ref="O2704:O2715" si="704">O2703</f>
        <v>0</v>
      </c>
      <c r="P2704" s="9"/>
      <c r="Q2704" s="9"/>
      <c r="R2704" s="9"/>
      <c r="S2704" s="10">
        <f t="shared" si="702"/>
        <v>0</v>
      </c>
    </row>
    <row r="2705" spans="2:19" customFormat="1" hidden="1" outlineLevel="1">
      <c r="B2705" s="13" t="s">
        <v>184</v>
      </c>
      <c r="C2705" s="7" t="str">
        <f t="shared" si="699"/>
        <v>SPREDY EMAQ SERIE 24122</v>
      </c>
      <c r="D2705" s="8">
        <f t="shared" si="700"/>
        <v>46099</v>
      </c>
      <c r="E2705" s="15"/>
      <c r="F2705" s="15"/>
      <c r="G2705" s="15">
        <f t="shared" si="701"/>
        <v>0</v>
      </c>
      <c r="H2705" s="16"/>
      <c r="I2705" s="10">
        <f t="shared" si="703"/>
        <v>0</v>
      </c>
      <c r="J2705" s="16"/>
      <c r="K2705" s="15"/>
      <c r="L2705" s="15"/>
      <c r="M2705" s="16"/>
      <c r="N2705" s="8"/>
      <c r="O2705" s="18">
        <f t="shared" si="704"/>
        <v>0</v>
      </c>
      <c r="P2705" s="9"/>
      <c r="Q2705" s="9"/>
      <c r="R2705" s="9"/>
      <c r="S2705" s="10">
        <f t="shared" si="702"/>
        <v>0</v>
      </c>
    </row>
    <row r="2706" spans="2:19" customFormat="1" hidden="1" outlineLevel="1">
      <c r="B2706" s="13" t="s">
        <v>184</v>
      </c>
      <c r="C2706" s="7" t="str">
        <f t="shared" si="699"/>
        <v>SPREDY EMAQ SERIE 24122</v>
      </c>
      <c r="D2706" s="8">
        <f t="shared" si="700"/>
        <v>46100</v>
      </c>
      <c r="E2706" s="15"/>
      <c r="F2706" s="15"/>
      <c r="G2706" s="15">
        <f t="shared" si="701"/>
        <v>0</v>
      </c>
      <c r="H2706" s="16"/>
      <c r="I2706" s="10">
        <f t="shared" si="703"/>
        <v>0</v>
      </c>
      <c r="J2706" s="16"/>
      <c r="K2706" s="15"/>
      <c r="L2706" s="15"/>
      <c r="M2706" s="16"/>
      <c r="N2706" s="8"/>
      <c r="O2706" s="18">
        <f t="shared" si="704"/>
        <v>0</v>
      </c>
      <c r="P2706" s="9"/>
      <c r="Q2706" s="9"/>
      <c r="R2706" s="9"/>
      <c r="S2706" s="10">
        <f t="shared" si="702"/>
        <v>0</v>
      </c>
    </row>
    <row r="2707" spans="2:19" customFormat="1" hidden="1" outlineLevel="1">
      <c r="B2707" s="13" t="s">
        <v>184</v>
      </c>
      <c r="C2707" s="7" t="str">
        <f t="shared" si="699"/>
        <v>SPREDY EMAQ SERIE 24122</v>
      </c>
      <c r="D2707" s="8">
        <f t="shared" si="700"/>
        <v>46101</v>
      </c>
      <c r="E2707" s="15"/>
      <c r="F2707" s="15"/>
      <c r="G2707" s="15">
        <f t="shared" si="701"/>
        <v>0</v>
      </c>
      <c r="H2707" s="16"/>
      <c r="I2707" s="10">
        <f t="shared" si="703"/>
        <v>0</v>
      </c>
      <c r="J2707" s="16"/>
      <c r="K2707" s="15"/>
      <c r="L2707" s="15"/>
      <c r="M2707" s="16"/>
      <c r="N2707" s="8"/>
      <c r="O2707" s="18">
        <f t="shared" si="704"/>
        <v>0</v>
      </c>
      <c r="P2707" s="9"/>
      <c r="Q2707" s="9"/>
      <c r="R2707" s="9"/>
      <c r="S2707" s="10">
        <f t="shared" si="702"/>
        <v>0</v>
      </c>
    </row>
    <row r="2708" spans="2:19" customFormat="1" hidden="1" outlineLevel="1">
      <c r="B2708" s="13" t="s">
        <v>184</v>
      </c>
      <c r="C2708" s="7" t="str">
        <f t="shared" si="699"/>
        <v>SPREDY EMAQ SERIE 24122</v>
      </c>
      <c r="D2708" s="8">
        <f t="shared" si="700"/>
        <v>46102</v>
      </c>
      <c r="E2708" s="15"/>
      <c r="F2708" s="15"/>
      <c r="G2708" s="15">
        <f t="shared" si="701"/>
        <v>0</v>
      </c>
      <c r="H2708" s="16"/>
      <c r="I2708" s="10">
        <f t="shared" si="703"/>
        <v>0</v>
      </c>
      <c r="J2708" s="16"/>
      <c r="K2708" s="15"/>
      <c r="L2708" s="15"/>
      <c r="M2708" s="16"/>
      <c r="N2708" s="8"/>
      <c r="O2708" s="18">
        <f t="shared" si="704"/>
        <v>0</v>
      </c>
      <c r="P2708" s="9"/>
      <c r="Q2708" s="9"/>
      <c r="R2708" s="9"/>
      <c r="S2708" s="10">
        <f t="shared" si="702"/>
        <v>0</v>
      </c>
    </row>
    <row r="2709" spans="2:19" customFormat="1" hidden="1" outlineLevel="1">
      <c r="B2709" s="13" t="s">
        <v>184</v>
      </c>
      <c r="C2709" s="7" t="str">
        <f t="shared" si="699"/>
        <v>SPREDY EMAQ SERIE 24122</v>
      </c>
      <c r="D2709" s="8">
        <f t="shared" si="700"/>
        <v>46103</v>
      </c>
      <c r="E2709" s="15"/>
      <c r="F2709" s="15"/>
      <c r="G2709" s="15">
        <f t="shared" si="701"/>
        <v>0</v>
      </c>
      <c r="H2709" s="16"/>
      <c r="I2709" s="10">
        <f t="shared" si="703"/>
        <v>0</v>
      </c>
      <c r="J2709" s="16"/>
      <c r="K2709" s="15"/>
      <c r="L2709" s="15"/>
      <c r="M2709" s="16"/>
      <c r="N2709" s="8"/>
      <c r="O2709" s="18">
        <f t="shared" si="704"/>
        <v>0</v>
      </c>
      <c r="P2709" s="9"/>
      <c r="Q2709" s="9"/>
      <c r="R2709" s="9"/>
      <c r="S2709" s="10">
        <f t="shared" si="702"/>
        <v>0</v>
      </c>
    </row>
    <row r="2710" spans="2:19" customFormat="1" hidden="1" outlineLevel="1">
      <c r="B2710" s="13" t="s">
        <v>184</v>
      </c>
      <c r="C2710" s="7" t="str">
        <f t="shared" si="699"/>
        <v>SPREDY EMAQ SERIE 24122</v>
      </c>
      <c r="D2710" s="8">
        <f t="shared" si="700"/>
        <v>46104</v>
      </c>
      <c r="E2710" s="15"/>
      <c r="F2710" s="15"/>
      <c r="G2710" s="15">
        <f t="shared" si="701"/>
        <v>0</v>
      </c>
      <c r="H2710" s="16"/>
      <c r="I2710" s="10">
        <f t="shared" si="703"/>
        <v>0</v>
      </c>
      <c r="J2710" s="16"/>
      <c r="K2710" s="15"/>
      <c r="L2710" s="15"/>
      <c r="M2710" s="16"/>
      <c r="N2710" s="8"/>
      <c r="O2710" s="18">
        <f t="shared" si="704"/>
        <v>0</v>
      </c>
      <c r="P2710" s="9"/>
      <c r="Q2710" s="9"/>
      <c r="R2710" s="9"/>
      <c r="S2710" s="10">
        <f t="shared" si="702"/>
        <v>0</v>
      </c>
    </row>
    <row r="2711" spans="2:19" customFormat="1" hidden="1" outlineLevel="1">
      <c r="B2711" s="13" t="s">
        <v>184</v>
      </c>
      <c r="C2711" s="7" t="str">
        <f t="shared" si="699"/>
        <v>SPREDY EMAQ SERIE 24122</v>
      </c>
      <c r="D2711" s="8">
        <f t="shared" si="700"/>
        <v>46105</v>
      </c>
      <c r="E2711" s="15"/>
      <c r="F2711" s="15"/>
      <c r="G2711" s="15">
        <f t="shared" si="701"/>
        <v>0</v>
      </c>
      <c r="H2711" s="16"/>
      <c r="I2711" s="10">
        <f t="shared" si="703"/>
        <v>0</v>
      </c>
      <c r="J2711" s="16"/>
      <c r="K2711" s="15"/>
      <c r="L2711" s="15"/>
      <c r="M2711" s="16"/>
      <c r="N2711" s="8"/>
      <c r="O2711" s="18">
        <f t="shared" si="704"/>
        <v>0</v>
      </c>
      <c r="P2711" s="9"/>
      <c r="Q2711" s="9"/>
      <c r="R2711" s="9"/>
      <c r="S2711" s="10">
        <f t="shared" si="702"/>
        <v>0</v>
      </c>
    </row>
    <row r="2712" spans="2:19" customFormat="1" hidden="1" outlineLevel="1">
      <c r="B2712" s="13" t="s">
        <v>184</v>
      </c>
      <c r="C2712" s="7" t="str">
        <f t="shared" si="699"/>
        <v>SPREDY EMAQ SERIE 24122</v>
      </c>
      <c r="D2712" s="8">
        <f t="shared" si="700"/>
        <v>46106</v>
      </c>
      <c r="E2712" s="15"/>
      <c r="F2712" s="15"/>
      <c r="G2712" s="15">
        <f t="shared" si="701"/>
        <v>0</v>
      </c>
      <c r="H2712" s="16"/>
      <c r="I2712" s="10">
        <f t="shared" si="703"/>
        <v>0</v>
      </c>
      <c r="J2712" s="16"/>
      <c r="K2712" s="15"/>
      <c r="L2712" s="15"/>
      <c r="M2712" s="16"/>
      <c r="N2712" s="8"/>
      <c r="O2712" s="18">
        <f t="shared" si="704"/>
        <v>0</v>
      </c>
      <c r="P2712" s="9"/>
      <c r="Q2712" s="9"/>
      <c r="R2712" s="9"/>
      <c r="S2712" s="10">
        <f t="shared" si="702"/>
        <v>0</v>
      </c>
    </row>
    <row r="2713" spans="2:19" customFormat="1" hidden="1" outlineLevel="1">
      <c r="B2713" s="13" t="s">
        <v>184</v>
      </c>
      <c r="C2713" s="7" t="str">
        <f t="shared" si="699"/>
        <v>SPREDY EMAQ SERIE 24122</v>
      </c>
      <c r="D2713" s="8">
        <f t="shared" si="700"/>
        <v>46107</v>
      </c>
      <c r="E2713" s="15"/>
      <c r="F2713" s="15"/>
      <c r="G2713" s="15">
        <f t="shared" si="701"/>
        <v>0</v>
      </c>
      <c r="H2713" s="16"/>
      <c r="I2713" s="10">
        <f t="shared" si="703"/>
        <v>0</v>
      </c>
      <c r="J2713" s="16"/>
      <c r="K2713" s="15"/>
      <c r="L2713" s="15"/>
      <c r="M2713" s="16"/>
      <c r="N2713" s="8"/>
      <c r="O2713" s="18">
        <f t="shared" si="704"/>
        <v>0</v>
      </c>
      <c r="P2713" s="9"/>
      <c r="Q2713" s="9"/>
      <c r="R2713" s="9"/>
      <c r="S2713" s="10">
        <f t="shared" si="702"/>
        <v>0</v>
      </c>
    </row>
    <row r="2714" spans="2:19" customFormat="1" hidden="1" outlineLevel="1">
      <c r="B2714" s="13" t="s">
        <v>184</v>
      </c>
      <c r="C2714" s="7" t="str">
        <f t="shared" si="699"/>
        <v>SPREDY EMAQ SERIE 24122</v>
      </c>
      <c r="D2714" s="8">
        <f t="shared" si="700"/>
        <v>46108</v>
      </c>
      <c r="E2714" s="15"/>
      <c r="F2714" s="15"/>
      <c r="G2714" s="15">
        <f t="shared" si="701"/>
        <v>0</v>
      </c>
      <c r="H2714" s="16"/>
      <c r="I2714" s="10">
        <f t="shared" si="703"/>
        <v>0</v>
      </c>
      <c r="J2714" s="16"/>
      <c r="K2714" s="15"/>
      <c r="L2714" s="15"/>
      <c r="M2714" s="16"/>
      <c r="N2714" s="8"/>
      <c r="O2714" s="18">
        <f t="shared" si="704"/>
        <v>0</v>
      </c>
      <c r="P2714" s="9"/>
      <c r="Q2714" s="9"/>
      <c r="R2714" s="9"/>
      <c r="S2714" s="10">
        <f t="shared" si="702"/>
        <v>0</v>
      </c>
    </row>
    <row r="2715" spans="2:19" customFormat="1" hidden="1" outlineLevel="1">
      <c r="B2715" s="13" t="s">
        <v>184</v>
      </c>
      <c r="C2715" s="7" t="str">
        <f t="shared" si="699"/>
        <v>SPREDY EMAQ SERIE 24122</v>
      </c>
      <c r="D2715" s="8">
        <f t="shared" si="700"/>
        <v>46112</v>
      </c>
      <c r="E2715" s="15"/>
      <c r="F2715" s="15"/>
      <c r="G2715" s="15">
        <f t="shared" si="701"/>
        <v>0</v>
      </c>
      <c r="H2715" s="16"/>
      <c r="I2715" s="10">
        <f t="shared" si="703"/>
        <v>0</v>
      </c>
      <c r="J2715" s="16"/>
      <c r="K2715" s="15"/>
      <c r="L2715" s="15"/>
      <c r="M2715" s="17"/>
      <c r="N2715" s="8"/>
      <c r="O2715" s="18">
        <f t="shared" si="704"/>
        <v>0</v>
      </c>
      <c r="P2715" s="9"/>
      <c r="Q2715" s="9"/>
      <c r="R2715" s="9"/>
      <c r="S2715" s="10">
        <f t="shared" si="702"/>
        <v>0</v>
      </c>
    </row>
    <row r="2716" spans="2:19" customFormat="1" collapsed="1">
      <c r="B2716" s="13" t="s">
        <v>184</v>
      </c>
      <c r="D2716" s="1"/>
      <c r="E2716" s="2"/>
      <c r="F2716" s="2"/>
      <c r="G2716" s="2"/>
      <c r="K2716" s="2"/>
      <c r="L2716" s="2"/>
      <c r="O2716" s="2"/>
      <c r="P2716" s="2"/>
      <c r="Q2716" s="2"/>
      <c r="R2716" s="2"/>
    </row>
    <row r="2717" spans="2:19" customFormat="1">
      <c r="B2717" s="13" t="s">
        <v>184</v>
      </c>
      <c r="C2717" s="3" t="s">
        <v>187</v>
      </c>
      <c r="D2717" s="3"/>
      <c r="E2717" s="4"/>
      <c r="F2717" s="4"/>
      <c r="G2717" s="4"/>
      <c r="H2717" s="3"/>
      <c r="I2717" s="3"/>
      <c r="J2717" s="3"/>
      <c r="K2717" s="4"/>
      <c r="L2717" s="4"/>
      <c r="M2717" s="135" t="str">
        <f>M$1</f>
        <v>BM JANEIRO 2026</v>
      </c>
      <c r="N2717" s="135"/>
      <c r="O2717" s="135"/>
      <c r="P2717" s="19" t="s">
        <v>10</v>
      </c>
      <c r="Q2717" s="136"/>
      <c r="R2717" s="136"/>
      <c r="S2717" s="136"/>
    </row>
    <row r="2718" spans="2:19" customFormat="1">
      <c r="B2718" s="14"/>
      <c r="C2718" s="5" t="s">
        <v>1</v>
      </c>
      <c r="D2718" s="5" t="s">
        <v>11</v>
      </c>
      <c r="E2718" s="6" t="s">
        <v>12</v>
      </c>
      <c r="F2718" s="6" t="s">
        <v>13</v>
      </c>
      <c r="G2718" s="6" t="s">
        <v>14</v>
      </c>
      <c r="H2718" s="5" t="s">
        <v>3</v>
      </c>
      <c r="I2718" s="6" t="s">
        <v>15</v>
      </c>
      <c r="J2718" s="6" t="s">
        <v>16</v>
      </c>
      <c r="K2718" s="6" t="s">
        <v>17</v>
      </c>
      <c r="L2718" s="6" t="s">
        <v>18</v>
      </c>
      <c r="M2718" s="5" t="s">
        <v>11</v>
      </c>
      <c r="N2718" s="5" t="s">
        <v>19</v>
      </c>
      <c r="O2718" s="6" t="s">
        <v>2</v>
      </c>
      <c r="P2718" s="6" t="s">
        <v>20</v>
      </c>
      <c r="Q2718" s="6" t="s">
        <v>21</v>
      </c>
      <c r="R2718" s="6" t="s">
        <v>22</v>
      </c>
      <c r="S2718" s="6" t="s">
        <v>23</v>
      </c>
    </row>
    <row r="2719" spans="2:19" customFormat="1" hidden="1" outlineLevel="1">
      <c r="B2719" s="11" t="s">
        <v>186</v>
      </c>
      <c r="C2719" s="7" t="str">
        <f t="shared" ref="C2719:C2746" si="705">C$2717</f>
        <v>SPREDY EMAQ SERIE A 24127</v>
      </c>
      <c r="D2719" s="8">
        <f t="shared" ref="D2719:D2746" si="706">D2657</f>
        <v>46082</v>
      </c>
      <c r="E2719" s="15"/>
      <c r="F2719" s="15"/>
      <c r="G2719" s="15">
        <f>F2719-E2719</f>
        <v>0</v>
      </c>
      <c r="H2719" s="74" t="s">
        <v>205</v>
      </c>
      <c r="I2719" s="10">
        <f>P2719</f>
        <v>166.66666666666666</v>
      </c>
      <c r="J2719" s="16"/>
      <c r="K2719" s="15"/>
      <c r="L2719" s="15"/>
      <c r="M2719" s="17"/>
      <c r="N2719" s="8"/>
      <c r="O2719" s="9">
        <v>5000</v>
      </c>
      <c r="P2719" s="9">
        <f>O2719/30</f>
        <v>166.66666666666666</v>
      </c>
      <c r="Q2719" s="9"/>
      <c r="R2719" s="9"/>
      <c r="S2719" s="10">
        <f>SUM(R2719+Q2719+I2719)</f>
        <v>166.66666666666666</v>
      </c>
    </row>
    <row r="2720" spans="2:19" customFormat="1" hidden="1" outlineLevel="1">
      <c r="B2720" s="12" t="s">
        <v>0</v>
      </c>
      <c r="C2720" s="7" t="str">
        <f t="shared" si="705"/>
        <v>SPREDY EMAQ SERIE A 24127</v>
      </c>
      <c r="D2720" s="8">
        <f t="shared" si="706"/>
        <v>46083</v>
      </c>
      <c r="E2720" s="15"/>
      <c r="F2720" s="15"/>
      <c r="G2720" s="15">
        <f t="shared" ref="G2720:G2746" si="707">F2720-E2720</f>
        <v>0</v>
      </c>
      <c r="H2720" s="74" t="s">
        <v>205</v>
      </c>
      <c r="I2720" s="10">
        <f>I2719</f>
        <v>166.66666666666666</v>
      </c>
      <c r="J2720" s="16"/>
      <c r="K2720" s="15"/>
      <c r="L2720" s="15"/>
      <c r="M2720" s="16"/>
      <c r="N2720" s="8"/>
      <c r="O2720" s="9"/>
      <c r="P2720" s="9"/>
      <c r="Q2720" s="9"/>
      <c r="R2720" s="9"/>
      <c r="S2720" s="10">
        <f t="shared" ref="S2720:S2746" si="708">SUM(R2720+Q2720+I2720)</f>
        <v>166.66666666666666</v>
      </c>
    </row>
    <row r="2721" spans="2:19" customFormat="1" hidden="1" outlineLevel="1">
      <c r="B2721" s="13" t="s">
        <v>186</v>
      </c>
      <c r="C2721" s="7" t="str">
        <f t="shared" si="705"/>
        <v>SPREDY EMAQ SERIE A 24127</v>
      </c>
      <c r="D2721" s="8">
        <f t="shared" si="706"/>
        <v>46084</v>
      </c>
      <c r="E2721" s="15"/>
      <c r="F2721" s="15"/>
      <c r="G2721" s="15">
        <f t="shared" si="707"/>
        <v>0</v>
      </c>
      <c r="H2721" s="74" t="s">
        <v>205</v>
      </c>
      <c r="I2721" s="10">
        <f t="shared" ref="I2721:I2746" si="709">I2720</f>
        <v>166.66666666666666</v>
      </c>
      <c r="J2721" s="16"/>
      <c r="K2721" s="15"/>
      <c r="L2721" s="15"/>
      <c r="M2721" s="16"/>
      <c r="N2721" s="8"/>
      <c r="O2721" s="9"/>
      <c r="P2721" s="9"/>
      <c r="Q2721" s="9"/>
      <c r="R2721" s="9"/>
      <c r="S2721" s="10">
        <f t="shared" si="708"/>
        <v>166.66666666666666</v>
      </c>
    </row>
    <row r="2722" spans="2:19" customFormat="1" hidden="1" outlineLevel="1">
      <c r="B2722" s="13" t="s">
        <v>186</v>
      </c>
      <c r="C2722" s="7" t="str">
        <f t="shared" si="705"/>
        <v>SPREDY EMAQ SERIE A 24127</v>
      </c>
      <c r="D2722" s="8">
        <f t="shared" si="706"/>
        <v>46085</v>
      </c>
      <c r="E2722" s="15"/>
      <c r="F2722" s="15"/>
      <c r="G2722" s="15">
        <f t="shared" si="707"/>
        <v>0</v>
      </c>
      <c r="H2722" s="74" t="s">
        <v>205</v>
      </c>
      <c r="I2722" s="10">
        <f t="shared" si="709"/>
        <v>166.66666666666666</v>
      </c>
      <c r="J2722" s="16"/>
      <c r="K2722" s="15"/>
      <c r="L2722" s="15"/>
      <c r="M2722" s="16"/>
      <c r="N2722" s="8"/>
      <c r="O2722" s="9"/>
      <c r="P2722" s="9"/>
      <c r="Q2722" s="9"/>
      <c r="R2722" s="9"/>
      <c r="S2722" s="10">
        <f t="shared" si="708"/>
        <v>166.66666666666666</v>
      </c>
    </row>
    <row r="2723" spans="2:19" customFormat="1" hidden="1" outlineLevel="1">
      <c r="B2723" s="13" t="s">
        <v>186</v>
      </c>
      <c r="C2723" s="7" t="str">
        <f t="shared" si="705"/>
        <v>SPREDY EMAQ SERIE A 24127</v>
      </c>
      <c r="D2723" s="8">
        <f t="shared" si="706"/>
        <v>46086</v>
      </c>
      <c r="E2723" s="15"/>
      <c r="F2723" s="15"/>
      <c r="G2723" s="15">
        <f t="shared" si="707"/>
        <v>0</v>
      </c>
      <c r="H2723" s="74" t="s">
        <v>205</v>
      </c>
      <c r="I2723" s="10">
        <f t="shared" si="709"/>
        <v>166.66666666666666</v>
      </c>
      <c r="J2723" s="16"/>
      <c r="K2723" s="15"/>
      <c r="L2723" s="15"/>
      <c r="M2723" s="16"/>
      <c r="N2723" s="8"/>
      <c r="O2723" s="9"/>
      <c r="P2723" s="9"/>
      <c r="Q2723" s="9"/>
      <c r="R2723" s="9"/>
      <c r="S2723" s="10">
        <f t="shared" si="708"/>
        <v>166.66666666666666</v>
      </c>
    </row>
    <row r="2724" spans="2:19" customFormat="1" hidden="1" outlineLevel="1">
      <c r="B2724" s="13" t="s">
        <v>186</v>
      </c>
      <c r="C2724" s="7" t="str">
        <f t="shared" si="705"/>
        <v>SPREDY EMAQ SERIE A 24127</v>
      </c>
      <c r="D2724" s="8">
        <f t="shared" si="706"/>
        <v>46087</v>
      </c>
      <c r="E2724" s="15"/>
      <c r="F2724" s="15"/>
      <c r="G2724" s="15">
        <f t="shared" si="707"/>
        <v>0</v>
      </c>
      <c r="H2724" s="74" t="s">
        <v>205</v>
      </c>
      <c r="I2724" s="10">
        <f t="shared" si="709"/>
        <v>166.66666666666666</v>
      </c>
      <c r="J2724" s="16"/>
      <c r="K2724" s="15"/>
      <c r="L2724" s="15"/>
      <c r="M2724" s="16"/>
      <c r="N2724" s="8"/>
      <c r="O2724" s="9"/>
      <c r="P2724" s="9"/>
      <c r="Q2724" s="9"/>
      <c r="R2724" s="9"/>
      <c r="S2724" s="10">
        <f t="shared" si="708"/>
        <v>166.66666666666666</v>
      </c>
    </row>
    <row r="2725" spans="2:19" customFormat="1" hidden="1" outlineLevel="1">
      <c r="B2725" s="13" t="s">
        <v>186</v>
      </c>
      <c r="C2725" s="7" t="str">
        <f t="shared" si="705"/>
        <v>SPREDY EMAQ SERIE A 24127</v>
      </c>
      <c r="D2725" s="8">
        <f t="shared" si="706"/>
        <v>46088</v>
      </c>
      <c r="E2725" s="15"/>
      <c r="F2725" s="15"/>
      <c r="G2725" s="15">
        <f t="shared" si="707"/>
        <v>0</v>
      </c>
      <c r="H2725" s="74" t="s">
        <v>205</v>
      </c>
      <c r="I2725" s="10">
        <f t="shared" si="709"/>
        <v>166.66666666666666</v>
      </c>
      <c r="J2725" s="16"/>
      <c r="K2725" s="15"/>
      <c r="L2725" s="15"/>
      <c r="M2725" s="16"/>
      <c r="N2725" s="8"/>
      <c r="O2725" s="18"/>
      <c r="P2725" s="9"/>
      <c r="Q2725" s="9"/>
      <c r="R2725" s="9"/>
      <c r="S2725" s="10">
        <f t="shared" si="708"/>
        <v>166.66666666666666</v>
      </c>
    </row>
    <row r="2726" spans="2:19" customFormat="1" hidden="1" outlineLevel="1">
      <c r="B2726" s="13" t="s">
        <v>186</v>
      </c>
      <c r="C2726" s="7" t="str">
        <f t="shared" si="705"/>
        <v>SPREDY EMAQ SERIE A 24127</v>
      </c>
      <c r="D2726" s="8">
        <f t="shared" si="706"/>
        <v>46089</v>
      </c>
      <c r="E2726" s="15"/>
      <c r="F2726" s="15"/>
      <c r="G2726" s="15">
        <f t="shared" si="707"/>
        <v>0</v>
      </c>
      <c r="H2726" s="74" t="s">
        <v>205</v>
      </c>
      <c r="I2726" s="10">
        <f t="shared" si="709"/>
        <v>166.66666666666666</v>
      </c>
      <c r="J2726" s="16"/>
      <c r="K2726" s="15"/>
      <c r="L2726" s="15"/>
      <c r="M2726" s="16"/>
      <c r="N2726" s="8"/>
      <c r="O2726" s="18"/>
      <c r="P2726" s="9"/>
      <c r="Q2726" s="9"/>
      <c r="R2726" s="9"/>
      <c r="S2726" s="10">
        <f t="shared" si="708"/>
        <v>166.66666666666666</v>
      </c>
    </row>
    <row r="2727" spans="2:19" customFormat="1" hidden="1" outlineLevel="1">
      <c r="B2727" s="13" t="s">
        <v>186</v>
      </c>
      <c r="C2727" s="7" t="str">
        <f t="shared" si="705"/>
        <v>SPREDY EMAQ SERIE A 24127</v>
      </c>
      <c r="D2727" s="8">
        <f t="shared" si="706"/>
        <v>46090</v>
      </c>
      <c r="E2727" s="15"/>
      <c r="F2727" s="15"/>
      <c r="G2727" s="15">
        <f t="shared" si="707"/>
        <v>0</v>
      </c>
      <c r="H2727" s="74" t="s">
        <v>205</v>
      </c>
      <c r="I2727" s="10">
        <f t="shared" si="709"/>
        <v>166.66666666666666</v>
      </c>
      <c r="J2727" s="16"/>
      <c r="K2727" s="15"/>
      <c r="L2727" s="15"/>
      <c r="M2727" s="16"/>
      <c r="N2727" s="8"/>
      <c r="O2727" s="18"/>
      <c r="P2727" s="9"/>
      <c r="Q2727" s="9"/>
      <c r="R2727" s="9"/>
      <c r="S2727" s="10">
        <f t="shared" si="708"/>
        <v>166.66666666666666</v>
      </c>
    </row>
    <row r="2728" spans="2:19" customFormat="1" hidden="1" outlineLevel="1">
      <c r="B2728" s="13" t="s">
        <v>186</v>
      </c>
      <c r="C2728" s="7" t="str">
        <f t="shared" si="705"/>
        <v>SPREDY EMAQ SERIE A 24127</v>
      </c>
      <c r="D2728" s="8">
        <f t="shared" si="706"/>
        <v>46091</v>
      </c>
      <c r="E2728" s="15"/>
      <c r="F2728" s="15"/>
      <c r="G2728" s="15">
        <f t="shared" si="707"/>
        <v>0</v>
      </c>
      <c r="H2728" s="74" t="s">
        <v>205</v>
      </c>
      <c r="I2728" s="10">
        <f t="shared" si="709"/>
        <v>166.66666666666666</v>
      </c>
      <c r="J2728" s="16"/>
      <c r="K2728" s="15"/>
      <c r="L2728" s="15"/>
      <c r="M2728" s="16"/>
      <c r="N2728" s="8"/>
      <c r="O2728" s="18"/>
      <c r="P2728" s="9"/>
      <c r="Q2728" s="9"/>
      <c r="R2728" s="9"/>
      <c r="S2728" s="10">
        <f t="shared" si="708"/>
        <v>166.66666666666666</v>
      </c>
    </row>
    <row r="2729" spans="2:19" customFormat="1" hidden="1" outlineLevel="1">
      <c r="B2729" s="13" t="s">
        <v>186</v>
      </c>
      <c r="C2729" s="7" t="str">
        <f t="shared" si="705"/>
        <v>SPREDY EMAQ SERIE A 24127</v>
      </c>
      <c r="D2729" s="8">
        <f t="shared" si="706"/>
        <v>46092</v>
      </c>
      <c r="E2729" s="15"/>
      <c r="F2729" s="15"/>
      <c r="G2729" s="15">
        <f t="shared" si="707"/>
        <v>0</v>
      </c>
      <c r="H2729" s="74" t="s">
        <v>205</v>
      </c>
      <c r="I2729" s="10">
        <f t="shared" si="709"/>
        <v>166.66666666666666</v>
      </c>
      <c r="J2729" s="16"/>
      <c r="K2729" s="15"/>
      <c r="L2729" s="15"/>
      <c r="M2729" s="16"/>
      <c r="N2729" s="8"/>
      <c r="O2729" s="18">
        <f t="shared" ref="O2729:O2746" si="710">O2728</f>
        <v>0</v>
      </c>
      <c r="P2729" s="9"/>
      <c r="Q2729" s="9"/>
      <c r="R2729" s="9"/>
      <c r="S2729" s="10">
        <f t="shared" si="708"/>
        <v>166.66666666666666</v>
      </c>
    </row>
    <row r="2730" spans="2:19" customFormat="1" hidden="1" outlineLevel="1">
      <c r="B2730" s="13" t="s">
        <v>186</v>
      </c>
      <c r="C2730" s="7" t="str">
        <f t="shared" si="705"/>
        <v>SPREDY EMAQ SERIE A 24127</v>
      </c>
      <c r="D2730" s="8">
        <f t="shared" si="706"/>
        <v>46093</v>
      </c>
      <c r="E2730" s="15"/>
      <c r="F2730" s="15"/>
      <c r="G2730" s="15">
        <f t="shared" si="707"/>
        <v>0</v>
      </c>
      <c r="H2730" s="74" t="s">
        <v>205</v>
      </c>
      <c r="I2730" s="10">
        <f t="shared" si="709"/>
        <v>166.66666666666666</v>
      </c>
      <c r="J2730" s="16"/>
      <c r="K2730" s="15"/>
      <c r="L2730" s="15"/>
      <c r="M2730" s="16"/>
      <c r="N2730" s="8"/>
      <c r="O2730" s="18">
        <f t="shared" si="710"/>
        <v>0</v>
      </c>
      <c r="P2730" s="9"/>
      <c r="Q2730" s="9"/>
      <c r="R2730" s="9"/>
      <c r="S2730" s="10">
        <f t="shared" si="708"/>
        <v>166.66666666666666</v>
      </c>
    </row>
    <row r="2731" spans="2:19" customFormat="1" hidden="1" outlineLevel="1">
      <c r="B2731" s="13" t="s">
        <v>186</v>
      </c>
      <c r="C2731" s="7" t="str">
        <f t="shared" si="705"/>
        <v>SPREDY EMAQ SERIE A 24127</v>
      </c>
      <c r="D2731" s="8">
        <f t="shared" si="706"/>
        <v>46094</v>
      </c>
      <c r="E2731" s="15"/>
      <c r="F2731" s="15"/>
      <c r="G2731" s="15">
        <f t="shared" si="707"/>
        <v>0</v>
      </c>
      <c r="H2731" s="74" t="s">
        <v>205</v>
      </c>
      <c r="I2731" s="10">
        <f t="shared" si="709"/>
        <v>166.66666666666666</v>
      </c>
      <c r="J2731" s="16"/>
      <c r="K2731" s="15"/>
      <c r="L2731" s="15"/>
      <c r="M2731" s="16"/>
      <c r="N2731" s="8"/>
      <c r="O2731" s="18">
        <f t="shared" si="710"/>
        <v>0</v>
      </c>
      <c r="P2731" s="9"/>
      <c r="Q2731" s="9"/>
      <c r="R2731" s="9"/>
      <c r="S2731" s="10">
        <f t="shared" si="708"/>
        <v>166.66666666666666</v>
      </c>
    </row>
    <row r="2732" spans="2:19" customFormat="1" hidden="1" outlineLevel="1">
      <c r="B2732" s="13" t="s">
        <v>186</v>
      </c>
      <c r="C2732" s="7" t="str">
        <f t="shared" si="705"/>
        <v>SPREDY EMAQ SERIE A 24127</v>
      </c>
      <c r="D2732" s="8">
        <f t="shared" si="706"/>
        <v>46095</v>
      </c>
      <c r="E2732" s="15"/>
      <c r="F2732" s="15"/>
      <c r="G2732" s="15">
        <f t="shared" si="707"/>
        <v>0</v>
      </c>
      <c r="H2732" s="74" t="s">
        <v>205</v>
      </c>
      <c r="I2732" s="10">
        <f t="shared" si="709"/>
        <v>166.66666666666666</v>
      </c>
      <c r="J2732" s="16"/>
      <c r="K2732" s="15"/>
      <c r="L2732" s="15"/>
      <c r="M2732" s="16"/>
      <c r="N2732" s="8"/>
      <c r="O2732" s="18">
        <f t="shared" si="710"/>
        <v>0</v>
      </c>
      <c r="P2732" s="9"/>
      <c r="Q2732" s="9"/>
      <c r="R2732" s="9"/>
      <c r="S2732" s="10">
        <f t="shared" si="708"/>
        <v>166.66666666666666</v>
      </c>
    </row>
    <row r="2733" spans="2:19" customFormat="1" hidden="1" outlineLevel="1">
      <c r="B2733" s="13" t="s">
        <v>186</v>
      </c>
      <c r="C2733" s="7" t="str">
        <f t="shared" si="705"/>
        <v>SPREDY EMAQ SERIE A 24127</v>
      </c>
      <c r="D2733" s="8">
        <f t="shared" si="706"/>
        <v>46096</v>
      </c>
      <c r="E2733" s="15"/>
      <c r="F2733" s="15"/>
      <c r="G2733" s="15">
        <f t="shared" si="707"/>
        <v>0</v>
      </c>
      <c r="H2733" s="74" t="s">
        <v>205</v>
      </c>
      <c r="I2733" s="10">
        <f t="shared" si="709"/>
        <v>166.66666666666666</v>
      </c>
      <c r="J2733" s="16"/>
      <c r="K2733" s="15"/>
      <c r="L2733" s="15"/>
      <c r="M2733" s="16"/>
      <c r="N2733" s="8"/>
      <c r="O2733" s="18">
        <f t="shared" si="710"/>
        <v>0</v>
      </c>
      <c r="P2733" s="9"/>
      <c r="Q2733" s="9"/>
      <c r="R2733" s="9"/>
      <c r="S2733" s="10">
        <f t="shared" si="708"/>
        <v>166.66666666666666</v>
      </c>
    </row>
    <row r="2734" spans="2:19" customFormat="1" hidden="1" outlineLevel="1">
      <c r="B2734" s="13" t="s">
        <v>186</v>
      </c>
      <c r="C2734" s="7" t="str">
        <f t="shared" si="705"/>
        <v>SPREDY EMAQ SERIE A 24127</v>
      </c>
      <c r="D2734" s="8">
        <f t="shared" si="706"/>
        <v>46097</v>
      </c>
      <c r="E2734" s="15"/>
      <c r="F2734" s="15"/>
      <c r="G2734" s="15">
        <f t="shared" si="707"/>
        <v>0</v>
      </c>
      <c r="H2734" s="74" t="s">
        <v>205</v>
      </c>
      <c r="I2734" s="10">
        <f t="shared" si="709"/>
        <v>166.66666666666666</v>
      </c>
      <c r="J2734" s="16"/>
      <c r="K2734" s="15"/>
      <c r="L2734" s="15"/>
      <c r="M2734" s="16"/>
      <c r="N2734" s="8"/>
      <c r="O2734" s="18">
        <f t="shared" si="710"/>
        <v>0</v>
      </c>
      <c r="P2734" s="9"/>
      <c r="Q2734" s="9"/>
      <c r="R2734" s="9"/>
      <c r="S2734" s="10">
        <f t="shared" si="708"/>
        <v>166.66666666666666</v>
      </c>
    </row>
    <row r="2735" spans="2:19" customFormat="1" hidden="1" outlineLevel="1">
      <c r="B2735" s="13" t="s">
        <v>186</v>
      </c>
      <c r="C2735" s="7" t="str">
        <f t="shared" si="705"/>
        <v>SPREDY EMAQ SERIE A 24127</v>
      </c>
      <c r="D2735" s="8">
        <f t="shared" si="706"/>
        <v>46098</v>
      </c>
      <c r="E2735" s="15"/>
      <c r="F2735" s="15"/>
      <c r="G2735" s="15">
        <f t="shared" si="707"/>
        <v>0</v>
      </c>
      <c r="H2735" s="74" t="s">
        <v>205</v>
      </c>
      <c r="I2735" s="10">
        <f t="shared" si="709"/>
        <v>166.66666666666666</v>
      </c>
      <c r="J2735" s="16"/>
      <c r="K2735" s="15"/>
      <c r="L2735" s="15"/>
      <c r="M2735" s="16"/>
      <c r="N2735" s="8"/>
      <c r="O2735" s="18">
        <f t="shared" si="710"/>
        <v>0</v>
      </c>
      <c r="P2735" s="9"/>
      <c r="Q2735" s="9"/>
      <c r="R2735" s="9"/>
      <c r="S2735" s="10">
        <f t="shared" si="708"/>
        <v>166.66666666666666</v>
      </c>
    </row>
    <row r="2736" spans="2:19" customFormat="1" hidden="1" outlineLevel="1">
      <c r="B2736" s="13" t="s">
        <v>186</v>
      </c>
      <c r="C2736" s="7" t="str">
        <f t="shared" si="705"/>
        <v>SPREDY EMAQ SERIE A 24127</v>
      </c>
      <c r="D2736" s="8">
        <f t="shared" si="706"/>
        <v>46099</v>
      </c>
      <c r="E2736" s="15"/>
      <c r="F2736" s="15"/>
      <c r="G2736" s="15">
        <f t="shared" si="707"/>
        <v>0</v>
      </c>
      <c r="H2736" s="74" t="s">
        <v>205</v>
      </c>
      <c r="I2736" s="10">
        <f t="shared" si="709"/>
        <v>166.66666666666666</v>
      </c>
      <c r="J2736" s="16"/>
      <c r="K2736" s="15"/>
      <c r="L2736" s="15"/>
      <c r="M2736" s="16"/>
      <c r="N2736" s="8"/>
      <c r="O2736" s="18">
        <f t="shared" si="710"/>
        <v>0</v>
      </c>
      <c r="P2736" s="9"/>
      <c r="Q2736" s="9"/>
      <c r="R2736" s="9"/>
      <c r="S2736" s="10">
        <f t="shared" si="708"/>
        <v>166.66666666666666</v>
      </c>
    </row>
    <row r="2737" spans="2:19" customFormat="1" hidden="1" outlineLevel="1">
      <c r="B2737" s="13" t="s">
        <v>186</v>
      </c>
      <c r="C2737" s="7" t="str">
        <f t="shared" si="705"/>
        <v>SPREDY EMAQ SERIE A 24127</v>
      </c>
      <c r="D2737" s="8">
        <f t="shared" si="706"/>
        <v>46100</v>
      </c>
      <c r="E2737" s="15"/>
      <c r="F2737" s="15"/>
      <c r="G2737" s="15">
        <f t="shared" si="707"/>
        <v>0</v>
      </c>
      <c r="H2737" s="74" t="s">
        <v>205</v>
      </c>
      <c r="I2737" s="10">
        <f t="shared" si="709"/>
        <v>166.66666666666666</v>
      </c>
      <c r="J2737" s="16"/>
      <c r="K2737" s="15"/>
      <c r="L2737" s="15"/>
      <c r="M2737" s="16"/>
      <c r="N2737" s="8"/>
      <c r="O2737" s="18">
        <f t="shared" si="710"/>
        <v>0</v>
      </c>
      <c r="P2737" s="9"/>
      <c r="Q2737" s="9"/>
      <c r="R2737" s="9"/>
      <c r="S2737" s="10">
        <f t="shared" si="708"/>
        <v>166.66666666666666</v>
      </c>
    </row>
    <row r="2738" spans="2:19" customFormat="1" hidden="1" outlineLevel="1">
      <c r="B2738" s="13" t="s">
        <v>186</v>
      </c>
      <c r="C2738" s="7" t="str">
        <f t="shared" si="705"/>
        <v>SPREDY EMAQ SERIE A 24127</v>
      </c>
      <c r="D2738" s="8">
        <f t="shared" si="706"/>
        <v>46101</v>
      </c>
      <c r="E2738" s="15"/>
      <c r="F2738" s="15"/>
      <c r="G2738" s="15">
        <f t="shared" si="707"/>
        <v>0</v>
      </c>
      <c r="H2738" s="74" t="s">
        <v>205</v>
      </c>
      <c r="I2738" s="10">
        <f t="shared" si="709"/>
        <v>166.66666666666666</v>
      </c>
      <c r="J2738" s="16"/>
      <c r="K2738" s="15"/>
      <c r="L2738" s="15"/>
      <c r="M2738" s="16"/>
      <c r="N2738" s="8"/>
      <c r="O2738" s="18">
        <f t="shared" si="710"/>
        <v>0</v>
      </c>
      <c r="P2738" s="9"/>
      <c r="Q2738" s="9"/>
      <c r="R2738" s="9"/>
      <c r="S2738" s="10">
        <f t="shared" si="708"/>
        <v>166.66666666666666</v>
      </c>
    </row>
    <row r="2739" spans="2:19" customFormat="1" hidden="1" outlineLevel="1">
      <c r="B2739" s="13" t="s">
        <v>186</v>
      </c>
      <c r="C2739" s="7" t="str">
        <f t="shared" si="705"/>
        <v>SPREDY EMAQ SERIE A 24127</v>
      </c>
      <c r="D2739" s="8">
        <f t="shared" si="706"/>
        <v>46102</v>
      </c>
      <c r="E2739" s="15"/>
      <c r="F2739" s="15"/>
      <c r="G2739" s="15">
        <f t="shared" si="707"/>
        <v>0</v>
      </c>
      <c r="H2739" s="74" t="s">
        <v>205</v>
      </c>
      <c r="I2739" s="10">
        <f t="shared" si="709"/>
        <v>166.66666666666666</v>
      </c>
      <c r="J2739" s="16"/>
      <c r="K2739" s="15"/>
      <c r="L2739" s="15"/>
      <c r="M2739" s="16"/>
      <c r="N2739" s="8"/>
      <c r="O2739" s="18">
        <f t="shared" si="710"/>
        <v>0</v>
      </c>
      <c r="P2739" s="9"/>
      <c r="Q2739" s="9"/>
      <c r="R2739" s="9"/>
      <c r="S2739" s="10">
        <f t="shared" si="708"/>
        <v>166.66666666666666</v>
      </c>
    </row>
    <row r="2740" spans="2:19" customFormat="1" hidden="1" outlineLevel="1">
      <c r="B2740" s="13" t="s">
        <v>186</v>
      </c>
      <c r="C2740" s="7" t="str">
        <f t="shared" si="705"/>
        <v>SPREDY EMAQ SERIE A 24127</v>
      </c>
      <c r="D2740" s="8">
        <f t="shared" si="706"/>
        <v>46103</v>
      </c>
      <c r="E2740" s="15"/>
      <c r="F2740" s="15"/>
      <c r="G2740" s="15">
        <f t="shared" si="707"/>
        <v>0</v>
      </c>
      <c r="H2740" s="74" t="s">
        <v>205</v>
      </c>
      <c r="I2740" s="10">
        <f t="shared" si="709"/>
        <v>166.66666666666666</v>
      </c>
      <c r="J2740" s="16"/>
      <c r="K2740" s="15"/>
      <c r="L2740" s="15"/>
      <c r="M2740" s="16"/>
      <c r="N2740" s="8"/>
      <c r="O2740" s="18">
        <f t="shared" si="710"/>
        <v>0</v>
      </c>
      <c r="P2740" s="9"/>
      <c r="Q2740" s="9"/>
      <c r="R2740" s="9"/>
      <c r="S2740" s="10">
        <f t="shared" si="708"/>
        <v>166.66666666666666</v>
      </c>
    </row>
    <row r="2741" spans="2:19" customFormat="1" hidden="1" outlineLevel="1">
      <c r="B2741" s="13" t="s">
        <v>186</v>
      </c>
      <c r="C2741" s="7" t="str">
        <f t="shared" si="705"/>
        <v>SPREDY EMAQ SERIE A 24127</v>
      </c>
      <c r="D2741" s="8">
        <f t="shared" si="706"/>
        <v>46104</v>
      </c>
      <c r="E2741" s="15"/>
      <c r="F2741" s="15"/>
      <c r="G2741" s="15">
        <f t="shared" si="707"/>
        <v>0</v>
      </c>
      <c r="H2741" s="74" t="s">
        <v>205</v>
      </c>
      <c r="I2741" s="10">
        <f t="shared" si="709"/>
        <v>166.66666666666666</v>
      </c>
      <c r="J2741" s="16"/>
      <c r="K2741" s="15"/>
      <c r="L2741" s="15"/>
      <c r="M2741" s="16"/>
      <c r="N2741" s="8"/>
      <c r="O2741" s="18">
        <f t="shared" si="710"/>
        <v>0</v>
      </c>
      <c r="P2741" s="9"/>
      <c r="Q2741" s="9"/>
      <c r="R2741" s="9"/>
      <c r="S2741" s="10">
        <f t="shared" si="708"/>
        <v>166.66666666666666</v>
      </c>
    </row>
    <row r="2742" spans="2:19" customFormat="1" hidden="1" outlineLevel="1">
      <c r="B2742" s="13" t="s">
        <v>186</v>
      </c>
      <c r="C2742" s="7" t="str">
        <f t="shared" si="705"/>
        <v>SPREDY EMAQ SERIE A 24127</v>
      </c>
      <c r="D2742" s="8">
        <f t="shared" si="706"/>
        <v>46105</v>
      </c>
      <c r="E2742" s="15"/>
      <c r="F2742" s="15"/>
      <c r="G2742" s="15">
        <f t="shared" si="707"/>
        <v>0</v>
      </c>
      <c r="H2742" s="74" t="s">
        <v>205</v>
      </c>
      <c r="I2742" s="10">
        <f t="shared" si="709"/>
        <v>166.66666666666666</v>
      </c>
      <c r="J2742" s="16"/>
      <c r="K2742" s="15"/>
      <c r="L2742" s="15"/>
      <c r="M2742" s="16"/>
      <c r="N2742" s="8"/>
      <c r="O2742" s="18">
        <f t="shared" si="710"/>
        <v>0</v>
      </c>
      <c r="P2742" s="9"/>
      <c r="Q2742" s="9"/>
      <c r="R2742" s="9"/>
      <c r="S2742" s="10">
        <f t="shared" si="708"/>
        <v>166.66666666666666</v>
      </c>
    </row>
    <row r="2743" spans="2:19" customFormat="1" hidden="1" outlineLevel="1">
      <c r="B2743" s="13" t="s">
        <v>186</v>
      </c>
      <c r="C2743" s="7" t="str">
        <f t="shared" si="705"/>
        <v>SPREDY EMAQ SERIE A 24127</v>
      </c>
      <c r="D2743" s="8">
        <f t="shared" si="706"/>
        <v>46106</v>
      </c>
      <c r="E2743" s="15"/>
      <c r="F2743" s="15"/>
      <c r="G2743" s="15">
        <f t="shared" si="707"/>
        <v>0</v>
      </c>
      <c r="H2743" s="74" t="s">
        <v>205</v>
      </c>
      <c r="I2743" s="10">
        <f t="shared" si="709"/>
        <v>166.66666666666666</v>
      </c>
      <c r="J2743" s="16"/>
      <c r="K2743" s="15"/>
      <c r="L2743" s="15"/>
      <c r="M2743" s="16"/>
      <c r="N2743" s="8"/>
      <c r="O2743" s="18">
        <f t="shared" si="710"/>
        <v>0</v>
      </c>
      <c r="P2743" s="9"/>
      <c r="Q2743" s="9"/>
      <c r="R2743" s="9"/>
      <c r="S2743" s="10">
        <f t="shared" si="708"/>
        <v>166.66666666666666</v>
      </c>
    </row>
    <row r="2744" spans="2:19" customFormat="1" hidden="1" outlineLevel="1">
      <c r="B2744" s="13" t="s">
        <v>186</v>
      </c>
      <c r="C2744" s="7" t="str">
        <f t="shared" si="705"/>
        <v>SPREDY EMAQ SERIE A 24127</v>
      </c>
      <c r="D2744" s="8">
        <f t="shared" si="706"/>
        <v>46107</v>
      </c>
      <c r="E2744" s="15"/>
      <c r="F2744" s="15"/>
      <c r="G2744" s="15">
        <f t="shared" si="707"/>
        <v>0</v>
      </c>
      <c r="H2744" s="74" t="s">
        <v>205</v>
      </c>
      <c r="I2744" s="10">
        <f t="shared" si="709"/>
        <v>166.66666666666666</v>
      </c>
      <c r="J2744" s="16"/>
      <c r="K2744" s="15"/>
      <c r="L2744" s="15"/>
      <c r="M2744" s="16"/>
      <c r="N2744" s="8"/>
      <c r="O2744" s="18">
        <f t="shared" si="710"/>
        <v>0</v>
      </c>
      <c r="P2744" s="9"/>
      <c r="Q2744" s="9"/>
      <c r="R2744" s="9"/>
      <c r="S2744" s="10">
        <f t="shared" si="708"/>
        <v>166.66666666666666</v>
      </c>
    </row>
    <row r="2745" spans="2:19" customFormat="1" hidden="1" outlineLevel="1">
      <c r="B2745" s="13" t="s">
        <v>186</v>
      </c>
      <c r="C2745" s="7" t="str">
        <f t="shared" si="705"/>
        <v>SPREDY EMAQ SERIE A 24127</v>
      </c>
      <c r="D2745" s="8">
        <f t="shared" si="706"/>
        <v>46108</v>
      </c>
      <c r="E2745" s="15"/>
      <c r="F2745" s="15"/>
      <c r="G2745" s="15">
        <f t="shared" si="707"/>
        <v>0</v>
      </c>
      <c r="H2745" s="74" t="s">
        <v>205</v>
      </c>
      <c r="I2745" s="10">
        <f t="shared" si="709"/>
        <v>166.66666666666666</v>
      </c>
      <c r="J2745" s="16"/>
      <c r="K2745" s="15"/>
      <c r="L2745" s="15"/>
      <c r="M2745" s="16"/>
      <c r="N2745" s="8"/>
      <c r="O2745" s="18">
        <f t="shared" si="710"/>
        <v>0</v>
      </c>
      <c r="P2745" s="9"/>
      <c r="Q2745" s="9"/>
      <c r="R2745" s="9"/>
      <c r="S2745" s="10">
        <f t="shared" si="708"/>
        <v>166.66666666666666</v>
      </c>
    </row>
    <row r="2746" spans="2:19" customFormat="1" hidden="1" outlineLevel="1">
      <c r="B2746" s="13" t="s">
        <v>186</v>
      </c>
      <c r="C2746" s="7" t="str">
        <f t="shared" si="705"/>
        <v>SPREDY EMAQ SERIE A 24127</v>
      </c>
      <c r="D2746" s="8">
        <f t="shared" si="706"/>
        <v>46112</v>
      </c>
      <c r="E2746" s="15"/>
      <c r="F2746" s="15"/>
      <c r="G2746" s="15">
        <f t="shared" si="707"/>
        <v>0</v>
      </c>
      <c r="H2746" s="74" t="s">
        <v>205</v>
      </c>
      <c r="I2746" s="10">
        <f t="shared" si="709"/>
        <v>166.66666666666666</v>
      </c>
      <c r="J2746" s="16"/>
      <c r="K2746" s="15"/>
      <c r="L2746" s="15"/>
      <c r="M2746" s="17"/>
      <c r="N2746" s="8"/>
      <c r="O2746" s="18">
        <f t="shared" si="710"/>
        <v>0</v>
      </c>
      <c r="P2746" s="9"/>
      <c r="Q2746" s="9"/>
      <c r="R2746" s="9"/>
      <c r="S2746" s="10">
        <f t="shared" si="708"/>
        <v>166.66666666666666</v>
      </c>
    </row>
    <row r="2747" spans="2:19" customFormat="1" collapsed="1">
      <c r="B2747" s="13" t="s">
        <v>186</v>
      </c>
      <c r="E2747" s="2"/>
      <c r="F2747" s="2"/>
      <c r="G2747" s="2"/>
      <c r="K2747" s="2"/>
      <c r="L2747" s="2"/>
      <c r="O2747" s="2"/>
      <c r="P2747" s="2"/>
      <c r="Q2747" s="2"/>
      <c r="R2747" s="2"/>
    </row>
    <row r="2748" spans="2:19" customFormat="1">
      <c r="B2748" s="13" t="s">
        <v>186</v>
      </c>
      <c r="C2748" s="3" t="s">
        <v>270</v>
      </c>
      <c r="D2748" s="3"/>
      <c r="E2748" s="4"/>
      <c r="F2748" s="4"/>
      <c r="G2748" s="4"/>
      <c r="H2748" s="3"/>
      <c r="I2748" s="3"/>
      <c r="J2748" s="3"/>
      <c r="K2748" s="4"/>
      <c r="L2748" s="4"/>
      <c r="M2748" s="135" t="str">
        <f>M$1</f>
        <v>BM JANEIRO 2026</v>
      </c>
      <c r="N2748" s="135"/>
      <c r="O2748" s="135"/>
      <c r="P2748" s="19" t="s">
        <v>10</v>
      </c>
      <c r="Q2748" s="136"/>
      <c r="R2748" s="136"/>
      <c r="S2748" s="136"/>
    </row>
    <row r="2749" spans="2:19" customFormat="1">
      <c r="B2749" s="14"/>
      <c r="C2749" s="5" t="s">
        <v>1</v>
      </c>
      <c r="D2749" s="5" t="s">
        <v>11</v>
      </c>
      <c r="E2749" s="6" t="s">
        <v>12</v>
      </c>
      <c r="F2749" s="6" t="s">
        <v>13</v>
      </c>
      <c r="G2749" s="6" t="s">
        <v>14</v>
      </c>
      <c r="H2749" s="5" t="s">
        <v>3</v>
      </c>
      <c r="I2749" s="6" t="s">
        <v>15</v>
      </c>
      <c r="J2749" s="6" t="s">
        <v>16</v>
      </c>
      <c r="K2749" s="6" t="s">
        <v>17</v>
      </c>
      <c r="L2749" s="6" t="s">
        <v>18</v>
      </c>
      <c r="M2749" s="5" t="s">
        <v>11</v>
      </c>
      <c r="N2749" s="5" t="s">
        <v>19</v>
      </c>
      <c r="O2749" s="6" t="s">
        <v>2</v>
      </c>
      <c r="P2749" s="6" t="s">
        <v>20</v>
      </c>
      <c r="Q2749" s="6" t="s">
        <v>21</v>
      </c>
      <c r="R2749" s="6" t="s">
        <v>22</v>
      </c>
      <c r="S2749" s="6" t="s">
        <v>23</v>
      </c>
    </row>
    <row r="2750" spans="2:19" customFormat="1" hidden="1" outlineLevel="1">
      <c r="B2750" s="11" t="s">
        <v>269</v>
      </c>
      <c r="C2750" s="7" t="str">
        <f>C$2748</f>
        <v>VASSOURA MEC EMAQ SERIE</v>
      </c>
      <c r="D2750" s="8">
        <f t="shared" ref="D2750:D2777" si="711">D2688</f>
        <v>46082</v>
      </c>
      <c r="E2750" s="15"/>
      <c r="F2750" s="15"/>
      <c r="G2750" s="15">
        <f t="shared" ref="G2750:G2753" si="712">F2750-E2750</f>
        <v>0</v>
      </c>
      <c r="H2750" s="16" t="s">
        <v>233</v>
      </c>
      <c r="I2750" s="10">
        <f>P2750</f>
        <v>166.66666666666666</v>
      </c>
      <c r="J2750" s="16" t="s">
        <v>16</v>
      </c>
      <c r="K2750" s="15"/>
      <c r="L2750" s="15"/>
      <c r="M2750" s="17"/>
      <c r="N2750" s="8"/>
      <c r="O2750" s="9">
        <v>5000</v>
      </c>
      <c r="P2750" s="9">
        <f>O2750/30</f>
        <v>166.66666666666666</v>
      </c>
      <c r="Q2750" s="9"/>
      <c r="R2750" s="85">
        <v>0</v>
      </c>
      <c r="S2750" s="10">
        <f t="shared" ref="S2750:S2777" si="713">SUM(R2750+Q2750+I2750)</f>
        <v>166.66666666666666</v>
      </c>
    </row>
    <row r="2751" spans="2:19" customFormat="1" hidden="1" outlineLevel="1">
      <c r="B2751" s="12" t="s">
        <v>0</v>
      </c>
      <c r="C2751" s="7" t="str">
        <f t="shared" ref="C2751:C2777" si="714">C$2748</f>
        <v>VASSOURA MEC EMAQ SERIE</v>
      </c>
      <c r="D2751" s="8">
        <f t="shared" si="711"/>
        <v>46083</v>
      </c>
      <c r="E2751" s="15"/>
      <c r="F2751" s="15"/>
      <c r="G2751" s="15">
        <f t="shared" si="712"/>
        <v>0</v>
      </c>
      <c r="H2751" s="16" t="s">
        <v>233</v>
      </c>
      <c r="I2751" s="10">
        <f>I2750</f>
        <v>166.66666666666666</v>
      </c>
      <c r="J2751" s="16" t="s">
        <v>16</v>
      </c>
      <c r="K2751" s="15"/>
      <c r="L2751" s="15"/>
      <c r="M2751" s="16"/>
      <c r="N2751" s="8"/>
      <c r="O2751" s="9"/>
      <c r="P2751" s="9"/>
      <c r="Q2751" s="9"/>
      <c r="R2751" s="85">
        <v>0</v>
      </c>
      <c r="S2751" s="10">
        <f t="shared" si="713"/>
        <v>166.66666666666666</v>
      </c>
    </row>
    <row r="2752" spans="2:19" customFormat="1" hidden="1" outlineLevel="1">
      <c r="B2752" s="13" t="s">
        <v>269</v>
      </c>
      <c r="C2752" s="7" t="str">
        <f t="shared" si="714"/>
        <v>VASSOURA MEC EMAQ SERIE</v>
      </c>
      <c r="D2752" s="8">
        <f t="shared" si="711"/>
        <v>46084</v>
      </c>
      <c r="E2752" s="15"/>
      <c r="F2752" s="15"/>
      <c r="G2752" s="15">
        <f t="shared" si="712"/>
        <v>0</v>
      </c>
      <c r="H2752" s="16" t="s">
        <v>233</v>
      </c>
      <c r="I2752" s="10">
        <f t="shared" ref="I2752:I2777" si="715">I2751</f>
        <v>166.66666666666666</v>
      </c>
      <c r="J2752" s="16" t="s">
        <v>16</v>
      </c>
      <c r="K2752" s="15"/>
      <c r="L2752" s="15"/>
      <c r="M2752" s="16"/>
      <c r="N2752" s="8"/>
      <c r="O2752" s="9"/>
      <c r="P2752" s="9"/>
      <c r="Q2752" s="9"/>
      <c r="R2752" s="85">
        <v>0</v>
      </c>
      <c r="S2752" s="10">
        <f t="shared" si="713"/>
        <v>166.66666666666666</v>
      </c>
    </row>
    <row r="2753" spans="2:19" customFormat="1" hidden="1" outlineLevel="1">
      <c r="B2753" s="13" t="s">
        <v>269</v>
      </c>
      <c r="C2753" s="7" t="str">
        <f t="shared" si="714"/>
        <v>VASSOURA MEC EMAQ SERIE</v>
      </c>
      <c r="D2753" s="8">
        <f t="shared" si="711"/>
        <v>46085</v>
      </c>
      <c r="E2753" s="15"/>
      <c r="F2753" s="15"/>
      <c r="G2753" s="15">
        <f t="shared" si="712"/>
        <v>0</v>
      </c>
      <c r="H2753" s="16" t="s">
        <v>233</v>
      </c>
      <c r="I2753" s="10">
        <f t="shared" si="715"/>
        <v>166.66666666666666</v>
      </c>
      <c r="J2753" s="16" t="s">
        <v>16</v>
      </c>
      <c r="K2753" s="15"/>
      <c r="L2753" s="15"/>
      <c r="M2753" s="16"/>
      <c r="N2753" s="8"/>
      <c r="O2753" s="9"/>
      <c r="P2753" s="9"/>
      <c r="Q2753" s="9"/>
      <c r="R2753" s="85">
        <v>0</v>
      </c>
      <c r="S2753" s="10">
        <f t="shared" si="713"/>
        <v>166.66666666666666</v>
      </c>
    </row>
    <row r="2754" spans="2:19" customFormat="1" hidden="1" outlineLevel="1">
      <c r="B2754" s="13" t="s">
        <v>269</v>
      </c>
      <c r="C2754" s="7" t="str">
        <f t="shared" si="714"/>
        <v>VASSOURA MEC EMAQ SERIE</v>
      </c>
      <c r="D2754" s="8">
        <f t="shared" si="711"/>
        <v>46086</v>
      </c>
      <c r="E2754" s="15"/>
      <c r="F2754" s="15"/>
      <c r="G2754" s="15">
        <f t="shared" ref="G2754:G2777" si="716">F2754-E2754</f>
        <v>0</v>
      </c>
      <c r="H2754" s="16" t="s">
        <v>233</v>
      </c>
      <c r="I2754" s="10">
        <f t="shared" si="715"/>
        <v>166.66666666666666</v>
      </c>
      <c r="J2754" s="16" t="s">
        <v>16</v>
      </c>
      <c r="K2754" s="15"/>
      <c r="L2754" s="15"/>
      <c r="M2754" s="16"/>
      <c r="N2754" s="8"/>
      <c r="O2754" s="18"/>
      <c r="P2754" s="9"/>
      <c r="Q2754" s="9"/>
      <c r="R2754" s="85">
        <v>0</v>
      </c>
      <c r="S2754" s="10">
        <f t="shared" si="713"/>
        <v>166.66666666666666</v>
      </c>
    </row>
    <row r="2755" spans="2:19" customFormat="1" hidden="1" outlineLevel="1">
      <c r="B2755" s="13" t="s">
        <v>269</v>
      </c>
      <c r="C2755" s="7" t="str">
        <f t="shared" si="714"/>
        <v>VASSOURA MEC EMAQ SERIE</v>
      </c>
      <c r="D2755" s="8">
        <f t="shared" si="711"/>
        <v>46087</v>
      </c>
      <c r="E2755" s="15"/>
      <c r="F2755" s="15"/>
      <c r="G2755" s="15">
        <f t="shared" si="716"/>
        <v>0</v>
      </c>
      <c r="H2755" s="16" t="s">
        <v>233</v>
      </c>
      <c r="I2755" s="10">
        <f t="shared" si="715"/>
        <v>166.66666666666666</v>
      </c>
      <c r="J2755" s="16" t="s">
        <v>16</v>
      </c>
      <c r="K2755" s="15"/>
      <c r="L2755" s="15"/>
      <c r="M2755" s="16"/>
      <c r="N2755" s="8"/>
      <c r="O2755" s="18"/>
      <c r="P2755" s="9"/>
      <c r="Q2755" s="9"/>
      <c r="R2755" s="85">
        <v>0</v>
      </c>
      <c r="S2755" s="10">
        <f t="shared" si="713"/>
        <v>166.66666666666666</v>
      </c>
    </row>
    <row r="2756" spans="2:19" customFormat="1" hidden="1" outlineLevel="1">
      <c r="B2756" s="13" t="s">
        <v>269</v>
      </c>
      <c r="C2756" s="7" t="str">
        <f t="shared" si="714"/>
        <v>VASSOURA MEC EMAQ SERIE</v>
      </c>
      <c r="D2756" s="8">
        <f t="shared" si="711"/>
        <v>46088</v>
      </c>
      <c r="E2756" s="15"/>
      <c r="F2756" s="15"/>
      <c r="G2756" s="15">
        <f t="shared" si="716"/>
        <v>0</v>
      </c>
      <c r="H2756" s="16" t="s">
        <v>233</v>
      </c>
      <c r="I2756" s="10">
        <f t="shared" si="715"/>
        <v>166.66666666666666</v>
      </c>
      <c r="J2756" s="16" t="s">
        <v>16</v>
      </c>
      <c r="K2756" s="15"/>
      <c r="L2756" s="15"/>
      <c r="M2756" s="16"/>
      <c r="N2756" s="8"/>
      <c r="O2756" s="18"/>
      <c r="P2756" s="9"/>
      <c r="Q2756" s="9"/>
      <c r="R2756" s="85">
        <v>0</v>
      </c>
      <c r="S2756" s="10">
        <f t="shared" si="713"/>
        <v>166.66666666666666</v>
      </c>
    </row>
    <row r="2757" spans="2:19" customFormat="1" hidden="1" outlineLevel="1">
      <c r="B2757" s="13" t="s">
        <v>269</v>
      </c>
      <c r="C2757" s="7" t="str">
        <f t="shared" si="714"/>
        <v>VASSOURA MEC EMAQ SERIE</v>
      </c>
      <c r="D2757" s="8">
        <f t="shared" si="711"/>
        <v>46089</v>
      </c>
      <c r="E2757" s="15"/>
      <c r="F2757" s="15"/>
      <c r="G2757" s="15">
        <f t="shared" si="716"/>
        <v>0</v>
      </c>
      <c r="H2757" s="16" t="s">
        <v>233</v>
      </c>
      <c r="I2757" s="10">
        <f t="shared" si="715"/>
        <v>166.66666666666666</v>
      </c>
      <c r="J2757" s="16" t="s">
        <v>16</v>
      </c>
      <c r="K2757" s="15"/>
      <c r="L2757" s="15"/>
      <c r="M2757" s="16"/>
      <c r="N2757" s="8"/>
      <c r="O2757" s="18"/>
      <c r="P2757" s="9"/>
      <c r="Q2757" s="9"/>
      <c r="R2757" s="85">
        <v>0</v>
      </c>
      <c r="S2757" s="10">
        <f t="shared" si="713"/>
        <v>166.66666666666666</v>
      </c>
    </row>
    <row r="2758" spans="2:19" customFormat="1" hidden="1" outlineLevel="1">
      <c r="B2758" s="13" t="s">
        <v>269</v>
      </c>
      <c r="C2758" s="7" t="str">
        <f t="shared" si="714"/>
        <v>VASSOURA MEC EMAQ SERIE</v>
      </c>
      <c r="D2758" s="8">
        <f t="shared" si="711"/>
        <v>46090</v>
      </c>
      <c r="E2758" s="15"/>
      <c r="F2758" s="15"/>
      <c r="G2758" s="15">
        <f t="shared" si="716"/>
        <v>0</v>
      </c>
      <c r="H2758" s="16" t="s">
        <v>233</v>
      </c>
      <c r="I2758" s="10">
        <f t="shared" si="715"/>
        <v>166.66666666666666</v>
      </c>
      <c r="J2758" s="16" t="s">
        <v>16</v>
      </c>
      <c r="K2758" s="15"/>
      <c r="L2758" s="15"/>
      <c r="M2758" s="16"/>
      <c r="N2758" s="8"/>
      <c r="O2758" s="18"/>
      <c r="P2758" s="9"/>
      <c r="Q2758" s="9"/>
      <c r="R2758" s="85">
        <v>0</v>
      </c>
      <c r="S2758" s="10">
        <f t="shared" si="713"/>
        <v>166.66666666666666</v>
      </c>
    </row>
    <row r="2759" spans="2:19" customFormat="1" hidden="1" outlineLevel="1">
      <c r="B2759" s="13" t="s">
        <v>269</v>
      </c>
      <c r="C2759" s="7" t="str">
        <f t="shared" si="714"/>
        <v>VASSOURA MEC EMAQ SERIE</v>
      </c>
      <c r="D2759" s="8">
        <f t="shared" si="711"/>
        <v>46091</v>
      </c>
      <c r="E2759" s="15"/>
      <c r="F2759" s="15"/>
      <c r="G2759" s="15">
        <f t="shared" si="716"/>
        <v>0</v>
      </c>
      <c r="H2759" s="16" t="s">
        <v>233</v>
      </c>
      <c r="I2759" s="10">
        <f t="shared" si="715"/>
        <v>166.66666666666666</v>
      </c>
      <c r="J2759" s="16" t="s">
        <v>16</v>
      </c>
      <c r="K2759" s="15"/>
      <c r="L2759" s="15"/>
      <c r="M2759" s="16"/>
      <c r="N2759" s="8"/>
      <c r="O2759" s="18"/>
      <c r="P2759" s="9"/>
      <c r="Q2759" s="9"/>
      <c r="R2759" s="85">
        <v>0</v>
      </c>
      <c r="S2759" s="10">
        <f t="shared" si="713"/>
        <v>166.66666666666666</v>
      </c>
    </row>
    <row r="2760" spans="2:19" customFormat="1" hidden="1" outlineLevel="1">
      <c r="B2760" s="13" t="s">
        <v>269</v>
      </c>
      <c r="C2760" s="7" t="str">
        <f t="shared" si="714"/>
        <v>VASSOURA MEC EMAQ SERIE</v>
      </c>
      <c r="D2760" s="8">
        <f t="shared" si="711"/>
        <v>46092</v>
      </c>
      <c r="E2760" s="15"/>
      <c r="F2760" s="15"/>
      <c r="G2760" s="15">
        <f t="shared" si="716"/>
        <v>0</v>
      </c>
      <c r="H2760" s="16" t="s">
        <v>233</v>
      </c>
      <c r="I2760" s="10">
        <f t="shared" si="715"/>
        <v>166.66666666666666</v>
      </c>
      <c r="J2760" s="16" t="s">
        <v>16</v>
      </c>
      <c r="K2760" s="15"/>
      <c r="L2760" s="15"/>
      <c r="M2760" s="16"/>
      <c r="N2760" s="8"/>
      <c r="O2760" s="18">
        <f t="shared" ref="O2760:O2777" si="717">O2759</f>
        <v>0</v>
      </c>
      <c r="P2760" s="9"/>
      <c r="Q2760" s="9"/>
      <c r="R2760" s="85">
        <v>0</v>
      </c>
      <c r="S2760" s="10">
        <f t="shared" si="713"/>
        <v>166.66666666666666</v>
      </c>
    </row>
    <row r="2761" spans="2:19" customFormat="1" hidden="1" outlineLevel="1">
      <c r="B2761" s="13" t="s">
        <v>269</v>
      </c>
      <c r="C2761" s="7" t="str">
        <f t="shared" si="714"/>
        <v>VASSOURA MEC EMAQ SERIE</v>
      </c>
      <c r="D2761" s="8">
        <f t="shared" si="711"/>
        <v>46093</v>
      </c>
      <c r="E2761" s="15"/>
      <c r="F2761" s="15"/>
      <c r="G2761" s="15">
        <f t="shared" si="716"/>
        <v>0</v>
      </c>
      <c r="H2761" s="16" t="s">
        <v>233</v>
      </c>
      <c r="I2761" s="10">
        <f t="shared" si="715"/>
        <v>166.66666666666666</v>
      </c>
      <c r="J2761" s="16" t="s">
        <v>16</v>
      </c>
      <c r="K2761" s="15"/>
      <c r="L2761" s="15"/>
      <c r="M2761" s="16"/>
      <c r="N2761" s="8"/>
      <c r="O2761" s="18">
        <f t="shared" si="717"/>
        <v>0</v>
      </c>
      <c r="P2761" s="9"/>
      <c r="Q2761" s="9"/>
      <c r="R2761" s="85">
        <v>0</v>
      </c>
      <c r="S2761" s="10">
        <f t="shared" si="713"/>
        <v>166.66666666666666</v>
      </c>
    </row>
    <row r="2762" spans="2:19" customFormat="1" hidden="1" outlineLevel="1">
      <c r="B2762" s="13" t="s">
        <v>269</v>
      </c>
      <c r="C2762" s="7" t="str">
        <f t="shared" si="714"/>
        <v>VASSOURA MEC EMAQ SERIE</v>
      </c>
      <c r="D2762" s="8">
        <f t="shared" si="711"/>
        <v>46094</v>
      </c>
      <c r="E2762" s="15"/>
      <c r="F2762" s="15"/>
      <c r="G2762" s="15">
        <f t="shared" si="716"/>
        <v>0</v>
      </c>
      <c r="H2762" s="16" t="s">
        <v>233</v>
      </c>
      <c r="I2762" s="10">
        <f t="shared" si="715"/>
        <v>166.66666666666666</v>
      </c>
      <c r="J2762" s="16" t="s">
        <v>16</v>
      </c>
      <c r="K2762" s="15"/>
      <c r="L2762" s="15"/>
      <c r="M2762" s="16"/>
      <c r="N2762" s="8"/>
      <c r="O2762" s="18">
        <f t="shared" si="717"/>
        <v>0</v>
      </c>
      <c r="P2762" s="9"/>
      <c r="Q2762" s="9"/>
      <c r="R2762" s="85">
        <v>0</v>
      </c>
      <c r="S2762" s="10">
        <f t="shared" si="713"/>
        <v>166.66666666666666</v>
      </c>
    </row>
    <row r="2763" spans="2:19" customFormat="1" hidden="1" outlineLevel="1">
      <c r="B2763" s="13" t="s">
        <v>269</v>
      </c>
      <c r="C2763" s="7" t="str">
        <f t="shared" si="714"/>
        <v>VASSOURA MEC EMAQ SERIE</v>
      </c>
      <c r="D2763" s="8">
        <f t="shared" si="711"/>
        <v>46095</v>
      </c>
      <c r="E2763" s="15"/>
      <c r="F2763" s="15"/>
      <c r="G2763" s="15">
        <f t="shared" si="716"/>
        <v>0</v>
      </c>
      <c r="H2763" s="16" t="s">
        <v>233</v>
      </c>
      <c r="I2763" s="10">
        <f t="shared" si="715"/>
        <v>166.66666666666666</v>
      </c>
      <c r="J2763" s="16" t="s">
        <v>16</v>
      </c>
      <c r="K2763" s="15"/>
      <c r="L2763" s="15"/>
      <c r="M2763" s="16"/>
      <c r="N2763" s="8"/>
      <c r="O2763" s="18">
        <f t="shared" si="717"/>
        <v>0</v>
      </c>
      <c r="P2763" s="9"/>
      <c r="Q2763" s="9"/>
      <c r="R2763" s="85">
        <v>0</v>
      </c>
      <c r="S2763" s="10">
        <f t="shared" si="713"/>
        <v>166.66666666666666</v>
      </c>
    </row>
    <row r="2764" spans="2:19" customFormat="1" hidden="1" outlineLevel="1">
      <c r="B2764" s="13" t="s">
        <v>269</v>
      </c>
      <c r="C2764" s="7" t="str">
        <f t="shared" si="714"/>
        <v>VASSOURA MEC EMAQ SERIE</v>
      </c>
      <c r="D2764" s="8">
        <f t="shared" si="711"/>
        <v>46096</v>
      </c>
      <c r="E2764" s="15"/>
      <c r="F2764" s="15"/>
      <c r="G2764" s="15">
        <f t="shared" si="716"/>
        <v>0</v>
      </c>
      <c r="H2764" s="16" t="s">
        <v>233</v>
      </c>
      <c r="I2764" s="10">
        <f t="shared" si="715"/>
        <v>166.66666666666666</v>
      </c>
      <c r="J2764" s="16" t="s">
        <v>16</v>
      </c>
      <c r="K2764" s="15"/>
      <c r="L2764" s="15"/>
      <c r="M2764" s="16"/>
      <c r="N2764" s="8"/>
      <c r="O2764" s="18">
        <f t="shared" si="717"/>
        <v>0</v>
      </c>
      <c r="P2764" s="9"/>
      <c r="Q2764" s="9"/>
      <c r="R2764" s="85">
        <v>0</v>
      </c>
      <c r="S2764" s="10">
        <f t="shared" si="713"/>
        <v>166.66666666666666</v>
      </c>
    </row>
    <row r="2765" spans="2:19" customFormat="1" hidden="1" outlineLevel="1">
      <c r="B2765" s="13" t="s">
        <v>269</v>
      </c>
      <c r="C2765" s="7" t="str">
        <f t="shared" si="714"/>
        <v>VASSOURA MEC EMAQ SERIE</v>
      </c>
      <c r="D2765" s="8">
        <f t="shared" si="711"/>
        <v>46097</v>
      </c>
      <c r="E2765" s="15"/>
      <c r="F2765" s="15"/>
      <c r="G2765" s="15">
        <f t="shared" si="716"/>
        <v>0</v>
      </c>
      <c r="H2765" s="16" t="s">
        <v>233</v>
      </c>
      <c r="I2765" s="10">
        <f t="shared" si="715"/>
        <v>166.66666666666666</v>
      </c>
      <c r="J2765" s="16" t="s">
        <v>16</v>
      </c>
      <c r="K2765" s="15"/>
      <c r="L2765" s="15"/>
      <c r="M2765" s="16"/>
      <c r="N2765" s="8"/>
      <c r="O2765" s="18">
        <f t="shared" si="717"/>
        <v>0</v>
      </c>
      <c r="P2765" s="9"/>
      <c r="Q2765" s="9"/>
      <c r="R2765" s="85">
        <v>0</v>
      </c>
      <c r="S2765" s="10">
        <f t="shared" si="713"/>
        <v>166.66666666666666</v>
      </c>
    </row>
    <row r="2766" spans="2:19" customFormat="1" hidden="1" outlineLevel="1">
      <c r="B2766" s="13" t="s">
        <v>269</v>
      </c>
      <c r="C2766" s="7" t="str">
        <f t="shared" si="714"/>
        <v>VASSOURA MEC EMAQ SERIE</v>
      </c>
      <c r="D2766" s="8">
        <f t="shared" si="711"/>
        <v>46098</v>
      </c>
      <c r="E2766" s="15"/>
      <c r="F2766" s="15"/>
      <c r="G2766" s="15">
        <f t="shared" si="716"/>
        <v>0</v>
      </c>
      <c r="H2766" s="16" t="s">
        <v>233</v>
      </c>
      <c r="I2766" s="10">
        <f t="shared" si="715"/>
        <v>166.66666666666666</v>
      </c>
      <c r="J2766" s="16" t="s">
        <v>16</v>
      </c>
      <c r="K2766" s="15"/>
      <c r="L2766" s="15"/>
      <c r="M2766" s="16"/>
      <c r="N2766" s="8"/>
      <c r="O2766" s="18">
        <f t="shared" si="717"/>
        <v>0</v>
      </c>
      <c r="P2766" s="9"/>
      <c r="Q2766" s="9"/>
      <c r="R2766" s="85">
        <v>0</v>
      </c>
      <c r="S2766" s="10">
        <f t="shared" si="713"/>
        <v>166.66666666666666</v>
      </c>
    </row>
    <row r="2767" spans="2:19" customFormat="1" hidden="1" outlineLevel="1">
      <c r="B2767" s="13" t="s">
        <v>269</v>
      </c>
      <c r="C2767" s="7" t="str">
        <f t="shared" si="714"/>
        <v>VASSOURA MEC EMAQ SERIE</v>
      </c>
      <c r="D2767" s="8">
        <f t="shared" si="711"/>
        <v>46099</v>
      </c>
      <c r="E2767" s="15"/>
      <c r="F2767" s="15"/>
      <c r="G2767" s="15">
        <f t="shared" si="716"/>
        <v>0</v>
      </c>
      <c r="H2767" s="16" t="s">
        <v>233</v>
      </c>
      <c r="I2767" s="10">
        <f t="shared" si="715"/>
        <v>166.66666666666666</v>
      </c>
      <c r="J2767" s="16" t="s">
        <v>16</v>
      </c>
      <c r="K2767" s="15"/>
      <c r="L2767" s="15"/>
      <c r="M2767" s="16"/>
      <c r="N2767" s="8"/>
      <c r="O2767" s="18">
        <f t="shared" si="717"/>
        <v>0</v>
      </c>
      <c r="P2767" s="9"/>
      <c r="Q2767" s="9"/>
      <c r="R2767" s="85">
        <v>0</v>
      </c>
      <c r="S2767" s="10">
        <f t="shared" si="713"/>
        <v>166.66666666666666</v>
      </c>
    </row>
    <row r="2768" spans="2:19" customFormat="1" hidden="1" outlineLevel="1">
      <c r="B2768" s="13" t="s">
        <v>269</v>
      </c>
      <c r="C2768" s="7" t="str">
        <f t="shared" si="714"/>
        <v>VASSOURA MEC EMAQ SERIE</v>
      </c>
      <c r="D2768" s="8">
        <f t="shared" si="711"/>
        <v>46100</v>
      </c>
      <c r="E2768" s="15"/>
      <c r="F2768" s="15"/>
      <c r="G2768" s="15">
        <f t="shared" si="716"/>
        <v>0</v>
      </c>
      <c r="H2768" s="16" t="s">
        <v>233</v>
      </c>
      <c r="I2768" s="10">
        <f t="shared" si="715"/>
        <v>166.66666666666666</v>
      </c>
      <c r="J2768" s="16" t="s">
        <v>16</v>
      </c>
      <c r="K2768" s="15"/>
      <c r="L2768" s="15"/>
      <c r="M2768" s="16"/>
      <c r="N2768" s="8"/>
      <c r="O2768" s="18">
        <f t="shared" si="717"/>
        <v>0</v>
      </c>
      <c r="P2768" s="9"/>
      <c r="Q2768" s="9"/>
      <c r="R2768" s="85">
        <v>0</v>
      </c>
      <c r="S2768" s="10">
        <f t="shared" si="713"/>
        <v>166.66666666666666</v>
      </c>
    </row>
    <row r="2769" spans="2:19" customFormat="1" hidden="1" outlineLevel="1">
      <c r="B2769" s="13" t="s">
        <v>269</v>
      </c>
      <c r="C2769" s="7" t="str">
        <f t="shared" si="714"/>
        <v>VASSOURA MEC EMAQ SERIE</v>
      </c>
      <c r="D2769" s="8">
        <f t="shared" si="711"/>
        <v>46101</v>
      </c>
      <c r="E2769" s="15"/>
      <c r="F2769" s="15"/>
      <c r="G2769" s="15">
        <f t="shared" si="716"/>
        <v>0</v>
      </c>
      <c r="H2769" s="16" t="s">
        <v>233</v>
      </c>
      <c r="I2769" s="10">
        <f t="shared" si="715"/>
        <v>166.66666666666666</v>
      </c>
      <c r="J2769" s="16" t="s">
        <v>16</v>
      </c>
      <c r="K2769" s="15"/>
      <c r="L2769" s="15"/>
      <c r="M2769" s="16"/>
      <c r="N2769" s="8"/>
      <c r="O2769" s="18">
        <f t="shared" si="717"/>
        <v>0</v>
      </c>
      <c r="P2769" s="9"/>
      <c r="Q2769" s="9"/>
      <c r="R2769" s="85">
        <v>0</v>
      </c>
      <c r="S2769" s="10">
        <f t="shared" si="713"/>
        <v>166.66666666666666</v>
      </c>
    </row>
    <row r="2770" spans="2:19" customFormat="1" hidden="1" outlineLevel="1">
      <c r="B2770" s="13" t="s">
        <v>269</v>
      </c>
      <c r="C2770" s="7" t="str">
        <f t="shared" si="714"/>
        <v>VASSOURA MEC EMAQ SERIE</v>
      </c>
      <c r="D2770" s="8">
        <f t="shared" si="711"/>
        <v>46102</v>
      </c>
      <c r="E2770" s="15"/>
      <c r="F2770" s="15"/>
      <c r="G2770" s="15">
        <f t="shared" si="716"/>
        <v>0</v>
      </c>
      <c r="H2770" s="16" t="s">
        <v>233</v>
      </c>
      <c r="I2770" s="10">
        <f t="shared" si="715"/>
        <v>166.66666666666666</v>
      </c>
      <c r="J2770" s="16" t="s">
        <v>16</v>
      </c>
      <c r="K2770" s="15"/>
      <c r="L2770" s="15"/>
      <c r="M2770" s="16"/>
      <c r="N2770" s="8"/>
      <c r="O2770" s="18">
        <f t="shared" si="717"/>
        <v>0</v>
      </c>
      <c r="P2770" s="9"/>
      <c r="Q2770" s="9"/>
      <c r="R2770" s="85">
        <v>0</v>
      </c>
      <c r="S2770" s="10">
        <f t="shared" si="713"/>
        <v>166.66666666666666</v>
      </c>
    </row>
    <row r="2771" spans="2:19" customFormat="1" hidden="1" outlineLevel="1">
      <c r="B2771" s="13" t="s">
        <v>269</v>
      </c>
      <c r="C2771" s="7" t="str">
        <f t="shared" si="714"/>
        <v>VASSOURA MEC EMAQ SERIE</v>
      </c>
      <c r="D2771" s="8">
        <f t="shared" si="711"/>
        <v>46103</v>
      </c>
      <c r="E2771" s="15"/>
      <c r="F2771" s="15"/>
      <c r="G2771" s="15">
        <f t="shared" si="716"/>
        <v>0</v>
      </c>
      <c r="H2771" s="16" t="s">
        <v>233</v>
      </c>
      <c r="I2771" s="10">
        <f t="shared" si="715"/>
        <v>166.66666666666666</v>
      </c>
      <c r="J2771" s="16" t="s">
        <v>16</v>
      </c>
      <c r="K2771" s="15"/>
      <c r="L2771" s="15"/>
      <c r="M2771" s="16"/>
      <c r="N2771" s="8"/>
      <c r="O2771" s="18">
        <f t="shared" si="717"/>
        <v>0</v>
      </c>
      <c r="P2771" s="9"/>
      <c r="Q2771" s="9"/>
      <c r="R2771" s="85">
        <v>0</v>
      </c>
      <c r="S2771" s="10">
        <f t="shared" si="713"/>
        <v>166.66666666666666</v>
      </c>
    </row>
    <row r="2772" spans="2:19" customFormat="1" hidden="1" outlineLevel="1">
      <c r="B2772" s="13" t="s">
        <v>269</v>
      </c>
      <c r="C2772" s="7" t="str">
        <f t="shared" si="714"/>
        <v>VASSOURA MEC EMAQ SERIE</v>
      </c>
      <c r="D2772" s="8">
        <f t="shared" si="711"/>
        <v>46104</v>
      </c>
      <c r="E2772" s="15"/>
      <c r="F2772" s="15"/>
      <c r="G2772" s="15">
        <f t="shared" si="716"/>
        <v>0</v>
      </c>
      <c r="H2772" s="16" t="s">
        <v>233</v>
      </c>
      <c r="I2772" s="10">
        <f t="shared" si="715"/>
        <v>166.66666666666666</v>
      </c>
      <c r="J2772" s="16" t="s">
        <v>16</v>
      </c>
      <c r="K2772" s="15"/>
      <c r="L2772" s="15"/>
      <c r="M2772" s="16"/>
      <c r="N2772" s="8"/>
      <c r="O2772" s="18">
        <f t="shared" si="717"/>
        <v>0</v>
      </c>
      <c r="P2772" s="9"/>
      <c r="Q2772" s="9"/>
      <c r="R2772" s="85">
        <v>0</v>
      </c>
      <c r="S2772" s="10">
        <f t="shared" si="713"/>
        <v>166.66666666666666</v>
      </c>
    </row>
    <row r="2773" spans="2:19" customFormat="1" hidden="1" outlineLevel="1">
      <c r="B2773" s="13" t="s">
        <v>269</v>
      </c>
      <c r="C2773" s="7" t="str">
        <f t="shared" si="714"/>
        <v>VASSOURA MEC EMAQ SERIE</v>
      </c>
      <c r="D2773" s="8">
        <f t="shared" si="711"/>
        <v>46105</v>
      </c>
      <c r="E2773" s="15"/>
      <c r="F2773" s="15"/>
      <c r="G2773" s="15">
        <f t="shared" si="716"/>
        <v>0</v>
      </c>
      <c r="H2773" s="16" t="s">
        <v>233</v>
      </c>
      <c r="I2773" s="10">
        <f t="shared" si="715"/>
        <v>166.66666666666666</v>
      </c>
      <c r="J2773" s="16" t="s">
        <v>16</v>
      </c>
      <c r="K2773" s="15"/>
      <c r="L2773" s="15"/>
      <c r="M2773" s="16"/>
      <c r="N2773" s="8"/>
      <c r="O2773" s="18">
        <f t="shared" si="717"/>
        <v>0</v>
      </c>
      <c r="P2773" s="9"/>
      <c r="Q2773" s="9"/>
      <c r="R2773" s="85">
        <v>0</v>
      </c>
      <c r="S2773" s="10">
        <f t="shared" si="713"/>
        <v>166.66666666666666</v>
      </c>
    </row>
    <row r="2774" spans="2:19" customFormat="1" hidden="1" outlineLevel="1">
      <c r="B2774" s="13" t="s">
        <v>269</v>
      </c>
      <c r="C2774" s="7" t="str">
        <f t="shared" si="714"/>
        <v>VASSOURA MEC EMAQ SERIE</v>
      </c>
      <c r="D2774" s="8">
        <f t="shared" si="711"/>
        <v>46106</v>
      </c>
      <c r="E2774" s="15"/>
      <c r="F2774" s="15"/>
      <c r="G2774" s="15">
        <f t="shared" si="716"/>
        <v>0</v>
      </c>
      <c r="H2774" s="16" t="s">
        <v>233</v>
      </c>
      <c r="I2774" s="10">
        <f t="shared" si="715"/>
        <v>166.66666666666666</v>
      </c>
      <c r="J2774" s="16" t="s">
        <v>16</v>
      </c>
      <c r="K2774" s="15"/>
      <c r="L2774" s="15"/>
      <c r="M2774" s="16"/>
      <c r="N2774" s="8"/>
      <c r="O2774" s="18">
        <f t="shared" si="717"/>
        <v>0</v>
      </c>
      <c r="P2774" s="9"/>
      <c r="Q2774" s="9"/>
      <c r="R2774" s="85">
        <v>0</v>
      </c>
      <c r="S2774" s="10">
        <f t="shared" si="713"/>
        <v>166.66666666666666</v>
      </c>
    </row>
    <row r="2775" spans="2:19" customFormat="1" hidden="1" outlineLevel="1">
      <c r="B2775" s="13" t="s">
        <v>269</v>
      </c>
      <c r="C2775" s="7" t="str">
        <f t="shared" si="714"/>
        <v>VASSOURA MEC EMAQ SERIE</v>
      </c>
      <c r="D2775" s="8">
        <f t="shared" si="711"/>
        <v>46107</v>
      </c>
      <c r="E2775" s="15"/>
      <c r="F2775" s="15"/>
      <c r="G2775" s="15">
        <f t="shared" si="716"/>
        <v>0</v>
      </c>
      <c r="H2775" s="16" t="s">
        <v>233</v>
      </c>
      <c r="I2775" s="10">
        <f t="shared" si="715"/>
        <v>166.66666666666666</v>
      </c>
      <c r="J2775" s="16" t="s">
        <v>16</v>
      </c>
      <c r="K2775" s="15"/>
      <c r="L2775" s="15"/>
      <c r="M2775" s="16"/>
      <c r="N2775" s="8"/>
      <c r="O2775" s="18">
        <f t="shared" si="717"/>
        <v>0</v>
      </c>
      <c r="P2775" s="9"/>
      <c r="Q2775" s="9"/>
      <c r="R2775" s="85">
        <v>0</v>
      </c>
      <c r="S2775" s="10">
        <f t="shared" si="713"/>
        <v>166.66666666666666</v>
      </c>
    </row>
    <row r="2776" spans="2:19" customFormat="1" hidden="1" outlineLevel="1">
      <c r="B2776" s="13" t="s">
        <v>269</v>
      </c>
      <c r="C2776" s="7" t="str">
        <f t="shared" si="714"/>
        <v>VASSOURA MEC EMAQ SERIE</v>
      </c>
      <c r="D2776" s="8">
        <f t="shared" si="711"/>
        <v>46108</v>
      </c>
      <c r="E2776" s="15"/>
      <c r="F2776" s="15"/>
      <c r="G2776" s="15">
        <f t="shared" si="716"/>
        <v>0</v>
      </c>
      <c r="H2776" s="16" t="s">
        <v>233</v>
      </c>
      <c r="I2776" s="10">
        <f t="shared" si="715"/>
        <v>166.66666666666666</v>
      </c>
      <c r="J2776" s="16" t="s">
        <v>16</v>
      </c>
      <c r="K2776" s="15"/>
      <c r="L2776" s="15"/>
      <c r="M2776" s="16"/>
      <c r="N2776" s="8"/>
      <c r="O2776" s="18">
        <f t="shared" si="717"/>
        <v>0</v>
      </c>
      <c r="P2776" s="9"/>
      <c r="Q2776" s="9"/>
      <c r="R2776" s="85">
        <v>0</v>
      </c>
      <c r="S2776" s="10">
        <f t="shared" si="713"/>
        <v>166.66666666666666</v>
      </c>
    </row>
    <row r="2777" spans="2:19" customFormat="1" hidden="1" outlineLevel="1">
      <c r="B2777" s="13" t="s">
        <v>269</v>
      </c>
      <c r="C2777" s="7" t="str">
        <f t="shared" si="714"/>
        <v>VASSOURA MEC EMAQ SERIE</v>
      </c>
      <c r="D2777" s="8">
        <f t="shared" si="711"/>
        <v>46112</v>
      </c>
      <c r="E2777" s="15"/>
      <c r="F2777" s="15"/>
      <c r="G2777" s="15">
        <f t="shared" si="716"/>
        <v>0</v>
      </c>
      <c r="H2777" s="16" t="s">
        <v>233</v>
      </c>
      <c r="I2777" s="10">
        <f t="shared" si="715"/>
        <v>166.66666666666666</v>
      </c>
      <c r="J2777" s="16" t="s">
        <v>16</v>
      </c>
      <c r="K2777" s="15"/>
      <c r="L2777" s="15"/>
      <c r="M2777" s="17"/>
      <c r="N2777" s="8"/>
      <c r="O2777" s="18">
        <f t="shared" si="717"/>
        <v>0</v>
      </c>
      <c r="P2777" s="9"/>
      <c r="Q2777" s="9"/>
      <c r="R2777" s="85">
        <v>0</v>
      </c>
      <c r="S2777" s="10">
        <f t="shared" si="713"/>
        <v>166.66666666666666</v>
      </c>
    </row>
    <row r="2778" spans="2:19" customFormat="1" collapsed="1">
      <c r="B2778" s="13" t="s">
        <v>269</v>
      </c>
      <c r="D2778" s="1"/>
      <c r="E2778" s="2"/>
      <c r="F2778" s="2"/>
      <c r="G2778" s="2"/>
      <c r="K2778" s="2"/>
      <c r="L2778" s="2"/>
      <c r="O2778" s="2"/>
      <c r="P2778" s="2"/>
      <c r="Q2778" s="2"/>
      <c r="R2778" s="2"/>
    </row>
    <row r="2779" spans="2:19" customFormat="1">
      <c r="B2779" s="13" t="s">
        <v>269</v>
      </c>
      <c r="C2779" s="3" t="s">
        <v>254</v>
      </c>
      <c r="D2779" s="3"/>
      <c r="E2779" s="4"/>
      <c r="F2779" s="4"/>
      <c r="G2779" s="4"/>
      <c r="H2779" s="3"/>
      <c r="I2779" s="3"/>
      <c r="J2779" s="3"/>
      <c r="K2779" s="4"/>
      <c r="L2779" s="4"/>
      <c r="M2779" s="135" t="str">
        <f>M$1</f>
        <v>BM JANEIRO 2026</v>
      </c>
      <c r="N2779" s="135"/>
      <c r="O2779" s="135"/>
      <c r="P2779" s="19" t="s">
        <v>10</v>
      </c>
      <c r="Q2779" s="136"/>
      <c r="R2779" s="136"/>
      <c r="S2779" s="136"/>
    </row>
    <row r="2780" spans="2:19" customFormat="1">
      <c r="B2780" s="14"/>
      <c r="C2780" s="5" t="s">
        <v>1</v>
      </c>
      <c r="D2780" s="5" t="s">
        <v>11</v>
      </c>
      <c r="E2780" s="6" t="s">
        <v>12</v>
      </c>
      <c r="F2780" s="6" t="s">
        <v>13</v>
      </c>
      <c r="G2780" s="6" t="s">
        <v>14</v>
      </c>
      <c r="H2780" s="5" t="s">
        <v>3</v>
      </c>
      <c r="I2780" s="6" t="s">
        <v>15</v>
      </c>
      <c r="J2780" s="6" t="s">
        <v>16</v>
      </c>
      <c r="K2780" s="6" t="s">
        <v>17</v>
      </c>
      <c r="L2780" s="6" t="s">
        <v>18</v>
      </c>
      <c r="M2780" s="5" t="s">
        <v>11</v>
      </c>
      <c r="N2780" s="5" t="s">
        <v>19</v>
      </c>
      <c r="O2780" s="6" t="s">
        <v>2</v>
      </c>
      <c r="P2780" s="6" t="s">
        <v>20</v>
      </c>
      <c r="Q2780" s="6" t="s">
        <v>21</v>
      </c>
      <c r="R2780" s="6" t="s">
        <v>22</v>
      </c>
      <c r="S2780" s="6" t="s">
        <v>23</v>
      </c>
    </row>
    <row r="2781" spans="2:19" customFormat="1" hidden="1">
      <c r="B2781" s="11" t="s">
        <v>245</v>
      </c>
      <c r="C2781" s="7" t="str">
        <f>C$2779</f>
        <v xml:space="preserve">SPREDY EMAQ SERIE </v>
      </c>
      <c r="D2781" s="8">
        <f t="shared" ref="D2781:D2808" si="718">D2688</f>
        <v>46082</v>
      </c>
      <c r="E2781" s="15"/>
      <c r="F2781" s="15"/>
      <c r="G2781" s="15">
        <f t="shared" ref="G2781:G2784" si="719">F2781-E2781</f>
        <v>0</v>
      </c>
      <c r="H2781" s="74" t="s">
        <v>233</v>
      </c>
      <c r="I2781" s="10">
        <f>P2781</f>
        <v>166.66666666666666</v>
      </c>
      <c r="J2781" s="16" t="s">
        <v>16</v>
      </c>
      <c r="K2781" s="15"/>
      <c r="L2781" s="15"/>
      <c r="M2781" s="17"/>
      <c r="N2781" s="8"/>
      <c r="O2781" s="9">
        <v>5000</v>
      </c>
      <c r="P2781" s="9">
        <f>O2781/30</f>
        <v>166.66666666666666</v>
      </c>
      <c r="Q2781" s="9"/>
      <c r="R2781" s="9"/>
      <c r="S2781" s="10">
        <f t="shared" ref="S2781:S2792" si="720">SUM(R2781+Q2781+I2781)</f>
        <v>166.66666666666666</v>
      </c>
    </row>
    <row r="2782" spans="2:19" customFormat="1" hidden="1" outlineLevel="1">
      <c r="B2782" s="12" t="s">
        <v>0</v>
      </c>
      <c r="C2782" s="7" t="str">
        <f t="shared" ref="C2782:C2808" si="721">C$2779</f>
        <v xml:space="preserve">SPREDY EMAQ SERIE </v>
      </c>
      <c r="D2782" s="8">
        <f t="shared" si="718"/>
        <v>46083</v>
      </c>
      <c r="E2782" s="15"/>
      <c r="F2782" s="15"/>
      <c r="G2782" s="15">
        <f t="shared" si="719"/>
        <v>0</v>
      </c>
      <c r="H2782" s="74" t="s">
        <v>233</v>
      </c>
      <c r="I2782" s="10">
        <f>I2781</f>
        <v>166.66666666666666</v>
      </c>
      <c r="J2782" s="16" t="s">
        <v>16</v>
      </c>
      <c r="K2782" s="15"/>
      <c r="L2782" s="15"/>
      <c r="M2782" s="16"/>
      <c r="N2782" s="8"/>
      <c r="O2782" s="9"/>
      <c r="P2782" s="9"/>
      <c r="Q2782" s="9"/>
      <c r="R2782" s="9"/>
      <c r="S2782" s="10">
        <f t="shared" si="720"/>
        <v>166.66666666666666</v>
      </c>
    </row>
    <row r="2783" spans="2:19" customFormat="1" hidden="1" outlineLevel="1">
      <c r="B2783" s="13" t="s">
        <v>245</v>
      </c>
      <c r="C2783" s="7" t="str">
        <f t="shared" si="721"/>
        <v xml:space="preserve">SPREDY EMAQ SERIE </v>
      </c>
      <c r="D2783" s="8">
        <f t="shared" si="718"/>
        <v>46084</v>
      </c>
      <c r="E2783" s="15"/>
      <c r="F2783" s="15"/>
      <c r="G2783" s="15">
        <f t="shared" si="719"/>
        <v>0</v>
      </c>
      <c r="H2783" s="74" t="s">
        <v>233</v>
      </c>
      <c r="I2783" s="10">
        <f t="shared" ref="I2783:I2808" si="722">I2782</f>
        <v>166.66666666666666</v>
      </c>
      <c r="J2783" s="16" t="s">
        <v>16</v>
      </c>
      <c r="K2783" s="15"/>
      <c r="L2783" s="15"/>
      <c r="M2783" s="16"/>
      <c r="N2783" s="8"/>
      <c r="O2783" s="9"/>
      <c r="P2783" s="9"/>
      <c r="Q2783" s="9"/>
      <c r="R2783" s="9"/>
      <c r="S2783" s="10">
        <f t="shared" si="720"/>
        <v>166.66666666666666</v>
      </c>
    </row>
    <row r="2784" spans="2:19" customFormat="1" hidden="1" outlineLevel="1">
      <c r="B2784" s="13" t="s">
        <v>245</v>
      </c>
      <c r="C2784" s="7" t="str">
        <f t="shared" si="721"/>
        <v xml:space="preserve">SPREDY EMAQ SERIE </v>
      </c>
      <c r="D2784" s="8">
        <f t="shared" si="718"/>
        <v>46085</v>
      </c>
      <c r="E2784" s="15"/>
      <c r="F2784" s="15"/>
      <c r="G2784" s="15">
        <f t="shared" si="719"/>
        <v>0</v>
      </c>
      <c r="H2784" s="74" t="s">
        <v>233</v>
      </c>
      <c r="I2784" s="10">
        <f t="shared" si="722"/>
        <v>166.66666666666666</v>
      </c>
      <c r="J2784" s="16" t="s">
        <v>16</v>
      </c>
      <c r="K2784" s="15"/>
      <c r="L2784" s="15"/>
      <c r="M2784" s="16"/>
      <c r="N2784" s="8"/>
      <c r="O2784" s="9"/>
      <c r="P2784" s="9"/>
      <c r="Q2784" s="9"/>
      <c r="R2784" s="9"/>
      <c r="S2784" s="10">
        <f t="shared" si="720"/>
        <v>166.66666666666666</v>
      </c>
    </row>
    <row r="2785" spans="2:19" customFormat="1" hidden="1" outlineLevel="1">
      <c r="B2785" s="13" t="s">
        <v>245</v>
      </c>
      <c r="C2785" s="7" t="str">
        <f t="shared" si="721"/>
        <v xml:space="preserve">SPREDY EMAQ SERIE </v>
      </c>
      <c r="D2785" s="8">
        <f t="shared" si="718"/>
        <v>46086</v>
      </c>
      <c r="E2785" s="15"/>
      <c r="F2785" s="15"/>
      <c r="G2785" s="15">
        <f t="shared" ref="G2785:G2808" si="723">F2785-E2785</f>
        <v>0</v>
      </c>
      <c r="H2785" s="74" t="s">
        <v>233</v>
      </c>
      <c r="I2785" s="10">
        <f t="shared" si="722"/>
        <v>166.66666666666666</v>
      </c>
      <c r="J2785" s="16" t="s">
        <v>16</v>
      </c>
      <c r="K2785" s="15"/>
      <c r="L2785" s="15"/>
      <c r="M2785" s="16"/>
      <c r="N2785" s="8"/>
      <c r="O2785" s="9"/>
      <c r="P2785" s="9"/>
      <c r="Q2785" s="9"/>
      <c r="R2785" s="9"/>
      <c r="S2785" s="10">
        <f t="shared" si="720"/>
        <v>166.66666666666666</v>
      </c>
    </row>
    <row r="2786" spans="2:19" customFormat="1" hidden="1" outlineLevel="1">
      <c r="B2786" s="13" t="s">
        <v>245</v>
      </c>
      <c r="C2786" s="7" t="str">
        <f t="shared" si="721"/>
        <v xml:space="preserve">SPREDY EMAQ SERIE </v>
      </c>
      <c r="D2786" s="8">
        <f t="shared" si="718"/>
        <v>46087</v>
      </c>
      <c r="E2786" s="15"/>
      <c r="F2786" s="15"/>
      <c r="G2786" s="15">
        <f t="shared" si="723"/>
        <v>0</v>
      </c>
      <c r="H2786" s="74" t="s">
        <v>233</v>
      </c>
      <c r="I2786" s="10">
        <f t="shared" si="722"/>
        <v>166.66666666666666</v>
      </c>
      <c r="J2786" s="16" t="s">
        <v>16</v>
      </c>
      <c r="K2786" s="15"/>
      <c r="L2786" s="15"/>
      <c r="M2786" s="16"/>
      <c r="N2786" s="8"/>
      <c r="O2786" s="9"/>
      <c r="P2786" s="9"/>
      <c r="Q2786" s="9"/>
      <c r="R2786" s="9"/>
      <c r="S2786" s="10">
        <f t="shared" si="720"/>
        <v>166.66666666666666</v>
      </c>
    </row>
    <row r="2787" spans="2:19" customFormat="1" hidden="1" outlineLevel="1">
      <c r="B2787" s="13" t="s">
        <v>245</v>
      </c>
      <c r="C2787" s="7" t="str">
        <f t="shared" si="721"/>
        <v xml:space="preserve">SPREDY EMAQ SERIE </v>
      </c>
      <c r="D2787" s="8">
        <f t="shared" si="718"/>
        <v>46088</v>
      </c>
      <c r="E2787" s="15"/>
      <c r="F2787" s="15"/>
      <c r="G2787" s="15">
        <f t="shared" si="723"/>
        <v>0</v>
      </c>
      <c r="H2787" s="74" t="s">
        <v>233</v>
      </c>
      <c r="I2787" s="10">
        <f t="shared" si="722"/>
        <v>166.66666666666666</v>
      </c>
      <c r="J2787" s="16" t="s">
        <v>16</v>
      </c>
      <c r="K2787" s="15"/>
      <c r="L2787" s="15"/>
      <c r="M2787" s="16"/>
      <c r="N2787" s="8"/>
      <c r="O2787" s="18"/>
      <c r="P2787" s="9"/>
      <c r="Q2787" s="9"/>
      <c r="R2787" s="9"/>
      <c r="S2787" s="10">
        <f t="shared" si="720"/>
        <v>166.66666666666666</v>
      </c>
    </row>
    <row r="2788" spans="2:19" customFormat="1" hidden="1" outlineLevel="1">
      <c r="B2788" s="13" t="s">
        <v>245</v>
      </c>
      <c r="C2788" s="7" t="str">
        <f t="shared" si="721"/>
        <v xml:space="preserve">SPREDY EMAQ SERIE </v>
      </c>
      <c r="D2788" s="8">
        <f t="shared" si="718"/>
        <v>46089</v>
      </c>
      <c r="E2788" s="15"/>
      <c r="F2788" s="15"/>
      <c r="G2788" s="15">
        <f t="shared" si="723"/>
        <v>0</v>
      </c>
      <c r="H2788" s="74" t="s">
        <v>233</v>
      </c>
      <c r="I2788" s="10">
        <f t="shared" si="722"/>
        <v>166.66666666666666</v>
      </c>
      <c r="J2788" s="16" t="s">
        <v>16</v>
      </c>
      <c r="K2788" s="15"/>
      <c r="L2788" s="15"/>
      <c r="M2788" s="16"/>
      <c r="N2788" s="8"/>
      <c r="O2788" s="18"/>
      <c r="P2788" s="9"/>
      <c r="Q2788" s="9"/>
      <c r="R2788" s="9"/>
      <c r="S2788" s="10">
        <f t="shared" si="720"/>
        <v>166.66666666666666</v>
      </c>
    </row>
    <row r="2789" spans="2:19" customFormat="1" hidden="1" outlineLevel="1">
      <c r="B2789" s="13" t="s">
        <v>245</v>
      </c>
      <c r="C2789" s="7" t="str">
        <f t="shared" si="721"/>
        <v xml:space="preserve">SPREDY EMAQ SERIE </v>
      </c>
      <c r="D2789" s="8">
        <f t="shared" si="718"/>
        <v>46090</v>
      </c>
      <c r="E2789" s="15"/>
      <c r="F2789" s="15"/>
      <c r="G2789" s="15">
        <f t="shared" si="723"/>
        <v>0</v>
      </c>
      <c r="H2789" s="74" t="s">
        <v>233</v>
      </c>
      <c r="I2789" s="10">
        <f t="shared" si="722"/>
        <v>166.66666666666666</v>
      </c>
      <c r="J2789" s="16" t="s">
        <v>16</v>
      </c>
      <c r="K2789" s="15"/>
      <c r="L2789" s="15"/>
      <c r="M2789" s="16"/>
      <c r="N2789" s="8"/>
      <c r="O2789" s="18"/>
      <c r="P2789" s="9"/>
      <c r="Q2789" s="9"/>
      <c r="R2789" s="9"/>
      <c r="S2789" s="10">
        <f t="shared" si="720"/>
        <v>166.66666666666666</v>
      </c>
    </row>
    <row r="2790" spans="2:19" customFormat="1" hidden="1" outlineLevel="1">
      <c r="B2790" s="13" t="s">
        <v>245</v>
      </c>
      <c r="C2790" s="7" t="str">
        <f t="shared" si="721"/>
        <v xml:space="preserve">SPREDY EMAQ SERIE </v>
      </c>
      <c r="D2790" s="8">
        <f t="shared" si="718"/>
        <v>46091</v>
      </c>
      <c r="E2790" s="15"/>
      <c r="F2790" s="15"/>
      <c r="G2790" s="15">
        <f t="shared" si="723"/>
        <v>0</v>
      </c>
      <c r="H2790" s="74" t="s">
        <v>233</v>
      </c>
      <c r="I2790" s="10">
        <f t="shared" si="722"/>
        <v>166.66666666666666</v>
      </c>
      <c r="J2790" s="16" t="s">
        <v>16</v>
      </c>
      <c r="K2790" s="15"/>
      <c r="L2790" s="15"/>
      <c r="M2790" s="16"/>
      <c r="N2790" s="8"/>
      <c r="O2790" s="18"/>
      <c r="P2790" s="9"/>
      <c r="Q2790" s="9"/>
      <c r="R2790" s="9"/>
      <c r="S2790" s="10">
        <f t="shared" si="720"/>
        <v>166.66666666666666</v>
      </c>
    </row>
    <row r="2791" spans="2:19" customFormat="1" hidden="1" outlineLevel="1">
      <c r="B2791" s="13" t="s">
        <v>245</v>
      </c>
      <c r="C2791" s="7" t="str">
        <f t="shared" si="721"/>
        <v xml:space="preserve">SPREDY EMAQ SERIE </v>
      </c>
      <c r="D2791" s="8">
        <f t="shared" si="718"/>
        <v>46092</v>
      </c>
      <c r="E2791" s="15"/>
      <c r="F2791" s="15"/>
      <c r="G2791" s="15">
        <f t="shared" si="723"/>
        <v>0</v>
      </c>
      <c r="H2791" s="74" t="s">
        <v>233</v>
      </c>
      <c r="I2791" s="10">
        <f t="shared" si="722"/>
        <v>166.66666666666666</v>
      </c>
      <c r="J2791" s="16" t="s">
        <v>16</v>
      </c>
      <c r="K2791" s="15"/>
      <c r="L2791" s="15"/>
      <c r="M2791" s="16"/>
      <c r="N2791" s="8"/>
      <c r="O2791" s="18">
        <f t="shared" ref="O2791:O2808" si="724">O2790</f>
        <v>0</v>
      </c>
      <c r="P2791" s="9"/>
      <c r="Q2791" s="9"/>
      <c r="R2791" s="9"/>
      <c r="S2791" s="10">
        <f t="shared" si="720"/>
        <v>166.66666666666666</v>
      </c>
    </row>
    <row r="2792" spans="2:19" customFormat="1" hidden="1" outlineLevel="1">
      <c r="B2792" s="13" t="s">
        <v>245</v>
      </c>
      <c r="C2792" s="7" t="str">
        <f t="shared" si="721"/>
        <v xml:space="preserve">SPREDY EMAQ SERIE </v>
      </c>
      <c r="D2792" s="8">
        <f t="shared" si="718"/>
        <v>46093</v>
      </c>
      <c r="E2792" s="15"/>
      <c r="F2792" s="15"/>
      <c r="G2792" s="15">
        <f t="shared" si="723"/>
        <v>0</v>
      </c>
      <c r="H2792" s="74" t="s">
        <v>233</v>
      </c>
      <c r="I2792" s="10">
        <f t="shared" si="722"/>
        <v>166.66666666666666</v>
      </c>
      <c r="J2792" s="16" t="s">
        <v>16</v>
      </c>
      <c r="K2792" s="15"/>
      <c r="L2792" s="15"/>
      <c r="M2792" s="16"/>
      <c r="N2792" s="8"/>
      <c r="O2792" s="18">
        <f t="shared" si="724"/>
        <v>0</v>
      </c>
      <c r="P2792" s="9"/>
      <c r="Q2792" s="9"/>
      <c r="R2792" s="9"/>
      <c r="S2792" s="10">
        <f t="shared" si="720"/>
        <v>166.66666666666666</v>
      </c>
    </row>
    <row r="2793" spans="2:19" customFormat="1" hidden="1" outlineLevel="1">
      <c r="B2793" s="13" t="s">
        <v>245</v>
      </c>
      <c r="C2793" s="7" t="str">
        <f t="shared" si="721"/>
        <v xml:space="preserve">SPREDY EMAQ SERIE </v>
      </c>
      <c r="D2793" s="8">
        <f t="shared" si="718"/>
        <v>46094</v>
      </c>
      <c r="E2793" s="15"/>
      <c r="F2793" s="15"/>
      <c r="G2793" s="15">
        <f t="shared" si="723"/>
        <v>0</v>
      </c>
      <c r="H2793" s="74" t="s">
        <v>233</v>
      </c>
      <c r="I2793" s="10">
        <f t="shared" si="722"/>
        <v>166.66666666666666</v>
      </c>
      <c r="J2793" s="16" t="s">
        <v>16</v>
      </c>
      <c r="K2793" s="15"/>
      <c r="L2793" s="15"/>
      <c r="M2793" s="16"/>
      <c r="N2793" s="8"/>
      <c r="O2793" s="18">
        <f t="shared" si="724"/>
        <v>0</v>
      </c>
      <c r="P2793" s="9"/>
      <c r="Q2793" s="9"/>
      <c r="R2793" s="9"/>
      <c r="S2793" s="10">
        <f t="shared" ref="S2793:S2808" si="725">SUM(R2793+Q2793+I2793)</f>
        <v>166.66666666666666</v>
      </c>
    </row>
    <row r="2794" spans="2:19" customFormat="1" hidden="1" outlineLevel="1">
      <c r="B2794" s="13" t="s">
        <v>245</v>
      </c>
      <c r="C2794" s="7" t="str">
        <f t="shared" si="721"/>
        <v xml:space="preserve">SPREDY EMAQ SERIE </v>
      </c>
      <c r="D2794" s="8">
        <f t="shared" si="718"/>
        <v>46095</v>
      </c>
      <c r="E2794" s="15"/>
      <c r="F2794" s="15"/>
      <c r="G2794" s="15">
        <f t="shared" si="723"/>
        <v>0</v>
      </c>
      <c r="H2794" s="74" t="s">
        <v>233</v>
      </c>
      <c r="I2794" s="10">
        <f t="shared" si="722"/>
        <v>166.66666666666666</v>
      </c>
      <c r="J2794" s="16" t="s">
        <v>16</v>
      </c>
      <c r="K2794" s="15"/>
      <c r="L2794" s="15"/>
      <c r="M2794" s="16"/>
      <c r="N2794" s="8"/>
      <c r="O2794" s="18">
        <f t="shared" si="724"/>
        <v>0</v>
      </c>
      <c r="P2794" s="9"/>
      <c r="Q2794" s="9"/>
      <c r="R2794" s="9"/>
      <c r="S2794" s="10">
        <f t="shared" si="725"/>
        <v>166.66666666666666</v>
      </c>
    </row>
    <row r="2795" spans="2:19" customFormat="1" hidden="1" outlineLevel="1">
      <c r="B2795" s="13" t="s">
        <v>245</v>
      </c>
      <c r="C2795" s="7" t="str">
        <f t="shared" si="721"/>
        <v xml:space="preserve">SPREDY EMAQ SERIE </v>
      </c>
      <c r="D2795" s="8">
        <f t="shared" si="718"/>
        <v>46096</v>
      </c>
      <c r="E2795" s="15"/>
      <c r="F2795" s="15"/>
      <c r="G2795" s="15">
        <f t="shared" si="723"/>
        <v>0</v>
      </c>
      <c r="H2795" s="74" t="s">
        <v>233</v>
      </c>
      <c r="I2795" s="10">
        <f t="shared" si="722"/>
        <v>166.66666666666666</v>
      </c>
      <c r="J2795" s="16" t="s">
        <v>16</v>
      </c>
      <c r="K2795" s="15"/>
      <c r="L2795" s="15"/>
      <c r="M2795" s="16"/>
      <c r="N2795" s="8"/>
      <c r="O2795" s="18">
        <f t="shared" si="724"/>
        <v>0</v>
      </c>
      <c r="P2795" s="9"/>
      <c r="Q2795" s="9"/>
      <c r="R2795" s="9"/>
      <c r="S2795" s="10">
        <f t="shared" si="725"/>
        <v>166.66666666666666</v>
      </c>
    </row>
    <row r="2796" spans="2:19" customFormat="1" hidden="1" outlineLevel="1">
      <c r="B2796" s="13" t="s">
        <v>245</v>
      </c>
      <c r="C2796" s="7" t="str">
        <f t="shared" si="721"/>
        <v xml:space="preserve">SPREDY EMAQ SERIE </v>
      </c>
      <c r="D2796" s="8">
        <f t="shared" si="718"/>
        <v>46097</v>
      </c>
      <c r="E2796" s="15"/>
      <c r="F2796" s="15"/>
      <c r="G2796" s="15">
        <f t="shared" si="723"/>
        <v>0</v>
      </c>
      <c r="H2796" s="74" t="s">
        <v>233</v>
      </c>
      <c r="I2796" s="10">
        <f t="shared" si="722"/>
        <v>166.66666666666666</v>
      </c>
      <c r="J2796" s="16" t="s">
        <v>16</v>
      </c>
      <c r="K2796" s="15"/>
      <c r="L2796" s="15"/>
      <c r="M2796" s="16"/>
      <c r="N2796" s="8"/>
      <c r="O2796" s="18">
        <f t="shared" si="724"/>
        <v>0</v>
      </c>
      <c r="P2796" s="9"/>
      <c r="Q2796" s="9"/>
      <c r="R2796" s="9"/>
      <c r="S2796" s="10">
        <f t="shared" si="725"/>
        <v>166.66666666666666</v>
      </c>
    </row>
    <row r="2797" spans="2:19" customFormat="1" hidden="1" outlineLevel="1">
      <c r="B2797" s="13" t="s">
        <v>245</v>
      </c>
      <c r="C2797" s="7" t="str">
        <f t="shared" si="721"/>
        <v xml:space="preserve">SPREDY EMAQ SERIE </v>
      </c>
      <c r="D2797" s="8">
        <f t="shared" si="718"/>
        <v>46098</v>
      </c>
      <c r="E2797" s="15"/>
      <c r="F2797" s="15"/>
      <c r="G2797" s="15">
        <f t="shared" si="723"/>
        <v>0</v>
      </c>
      <c r="H2797" s="74" t="s">
        <v>233</v>
      </c>
      <c r="I2797" s="10">
        <f t="shared" si="722"/>
        <v>166.66666666666666</v>
      </c>
      <c r="J2797" s="16" t="s">
        <v>16</v>
      </c>
      <c r="K2797" s="15"/>
      <c r="L2797" s="15"/>
      <c r="M2797" s="16"/>
      <c r="N2797" s="8"/>
      <c r="O2797" s="18">
        <f t="shared" si="724"/>
        <v>0</v>
      </c>
      <c r="P2797" s="9"/>
      <c r="Q2797" s="9"/>
      <c r="R2797" s="9"/>
      <c r="S2797" s="10">
        <f t="shared" si="725"/>
        <v>166.66666666666666</v>
      </c>
    </row>
    <row r="2798" spans="2:19" customFormat="1" hidden="1" outlineLevel="1">
      <c r="B2798" s="13" t="s">
        <v>245</v>
      </c>
      <c r="C2798" s="7" t="str">
        <f t="shared" si="721"/>
        <v xml:space="preserve">SPREDY EMAQ SERIE </v>
      </c>
      <c r="D2798" s="8">
        <f t="shared" si="718"/>
        <v>46099</v>
      </c>
      <c r="E2798" s="15"/>
      <c r="F2798" s="15"/>
      <c r="G2798" s="15">
        <f t="shared" si="723"/>
        <v>0</v>
      </c>
      <c r="H2798" s="74" t="s">
        <v>233</v>
      </c>
      <c r="I2798" s="10">
        <f t="shared" si="722"/>
        <v>166.66666666666666</v>
      </c>
      <c r="J2798" s="16" t="s">
        <v>16</v>
      </c>
      <c r="K2798" s="15"/>
      <c r="L2798" s="15"/>
      <c r="M2798" s="16"/>
      <c r="N2798" s="8"/>
      <c r="O2798" s="18">
        <f t="shared" si="724"/>
        <v>0</v>
      </c>
      <c r="P2798" s="9"/>
      <c r="Q2798" s="9"/>
      <c r="R2798" s="9"/>
      <c r="S2798" s="10">
        <f t="shared" si="725"/>
        <v>166.66666666666666</v>
      </c>
    </row>
    <row r="2799" spans="2:19" customFormat="1" hidden="1" outlineLevel="1">
      <c r="B2799" s="13" t="s">
        <v>245</v>
      </c>
      <c r="C2799" s="7" t="str">
        <f t="shared" si="721"/>
        <v xml:space="preserve">SPREDY EMAQ SERIE </v>
      </c>
      <c r="D2799" s="8">
        <f t="shared" si="718"/>
        <v>46100</v>
      </c>
      <c r="E2799" s="15"/>
      <c r="F2799" s="15"/>
      <c r="G2799" s="15">
        <f t="shared" si="723"/>
        <v>0</v>
      </c>
      <c r="H2799" s="74" t="s">
        <v>233</v>
      </c>
      <c r="I2799" s="10">
        <f t="shared" si="722"/>
        <v>166.66666666666666</v>
      </c>
      <c r="J2799" s="16" t="s">
        <v>16</v>
      </c>
      <c r="K2799" s="15"/>
      <c r="L2799" s="15"/>
      <c r="M2799" s="16"/>
      <c r="N2799" s="8"/>
      <c r="O2799" s="18">
        <f t="shared" si="724"/>
        <v>0</v>
      </c>
      <c r="P2799" s="9"/>
      <c r="Q2799" s="9"/>
      <c r="R2799" s="9"/>
      <c r="S2799" s="10">
        <f t="shared" si="725"/>
        <v>166.66666666666666</v>
      </c>
    </row>
    <row r="2800" spans="2:19" customFormat="1" hidden="1" outlineLevel="1">
      <c r="B2800" s="13" t="s">
        <v>245</v>
      </c>
      <c r="C2800" s="7" t="str">
        <f t="shared" si="721"/>
        <v xml:space="preserve">SPREDY EMAQ SERIE </v>
      </c>
      <c r="D2800" s="8">
        <f t="shared" si="718"/>
        <v>46101</v>
      </c>
      <c r="E2800" s="15"/>
      <c r="F2800" s="15"/>
      <c r="G2800" s="15">
        <f t="shared" si="723"/>
        <v>0</v>
      </c>
      <c r="H2800" s="74" t="s">
        <v>233</v>
      </c>
      <c r="I2800" s="10">
        <f t="shared" si="722"/>
        <v>166.66666666666666</v>
      </c>
      <c r="J2800" s="16" t="s">
        <v>16</v>
      </c>
      <c r="K2800" s="15"/>
      <c r="L2800" s="15"/>
      <c r="M2800" s="16"/>
      <c r="N2800" s="8"/>
      <c r="O2800" s="18">
        <f t="shared" si="724"/>
        <v>0</v>
      </c>
      <c r="P2800" s="9"/>
      <c r="Q2800" s="9"/>
      <c r="R2800" s="9"/>
      <c r="S2800" s="10">
        <f t="shared" si="725"/>
        <v>166.66666666666666</v>
      </c>
    </row>
    <row r="2801" spans="2:19" customFormat="1" hidden="1" outlineLevel="1">
      <c r="B2801" s="13" t="s">
        <v>245</v>
      </c>
      <c r="C2801" s="7" t="str">
        <f t="shared" si="721"/>
        <v xml:space="preserve">SPREDY EMAQ SERIE </v>
      </c>
      <c r="D2801" s="8">
        <f t="shared" si="718"/>
        <v>46102</v>
      </c>
      <c r="E2801" s="15"/>
      <c r="F2801" s="15"/>
      <c r="G2801" s="15">
        <f t="shared" si="723"/>
        <v>0</v>
      </c>
      <c r="H2801" s="74" t="s">
        <v>233</v>
      </c>
      <c r="I2801" s="10">
        <f t="shared" si="722"/>
        <v>166.66666666666666</v>
      </c>
      <c r="J2801" s="16" t="s">
        <v>16</v>
      </c>
      <c r="K2801" s="15"/>
      <c r="L2801" s="15"/>
      <c r="M2801" s="16"/>
      <c r="N2801" s="8"/>
      <c r="O2801" s="18">
        <f t="shared" si="724"/>
        <v>0</v>
      </c>
      <c r="P2801" s="9"/>
      <c r="Q2801" s="9"/>
      <c r="R2801" s="9"/>
      <c r="S2801" s="10">
        <f t="shared" si="725"/>
        <v>166.66666666666666</v>
      </c>
    </row>
    <row r="2802" spans="2:19" customFormat="1" hidden="1" outlineLevel="1">
      <c r="B2802" s="13" t="s">
        <v>245</v>
      </c>
      <c r="C2802" s="7" t="str">
        <f t="shared" si="721"/>
        <v xml:space="preserve">SPREDY EMAQ SERIE </v>
      </c>
      <c r="D2802" s="8">
        <f t="shared" si="718"/>
        <v>46103</v>
      </c>
      <c r="E2802" s="15"/>
      <c r="F2802" s="15"/>
      <c r="G2802" s="15">
        <f t="shared" si="723"/>
        <v>0</v>
      </c>
      <c r="H2802" s="74" t="s">
        <v>233</v>
      </c>
      <c r="I2802" s="10">
        <f t="shared" si="722"/>
        <v>166.66666666666666</v>
      </c>
      <c r="J2802" s="16" t="s">
        <v>16</v>
      </c>
      <c r="K2802" s="15"/>
      <c r="L2802" s="15"/>
      <c r="M2802" s="16"/>
      <c r="N2802" s="8"/>
      <c r="O2802" s="18">
        <f t="shared" si="724"/>
        <v>0</v>
      </c>
      <c r="P2802" s="9"/>
      <c r="Q2802" s="9"/>
      <c r="R2802" s="9"/>
      <c r="S2802" s="10">
        <f t="shared" si="725"/>
        <v>166.66666666666666</v>
      </c>
    </row>
    <row r="2803" spans="2:19" customFormat="1" hidden="1" outlineLevel="1">
      <c r="B2803" s="13" t="s">
        <v>245</v>
      </c>
      <c r="C2803" s="7" t="str">
        <f t="shared" si="721"/>
        <v xml:space="preserve">SPREDY EMAQ SERIE </v>
      </c>
      <c r="D2803" s="8">
        <f t="shared" si="718"/>
        <v>46104</v>
      </c>
      <c r="E2803" s="15"/>
      <c r="F2803" s="15"/>
      <c r="G2803" s="15">
        <f t="shared" si="723"/>
        <v>0</v>
      </c>
      <c r="H2803" s="74" t="s">
        <v>233</v>
      </c>
      <c r="I2803" s="10">
        <f t="shared" si="722"/>
        <v>166.66666666666666</v>
      </c>
      <c r="J2803" s="16" t="s">
        <v>16</v>
      </c>
      <c r="K2803" s="15"/>
      <c r="L2803" s="15"/>
      <c r="M2803" s="16"/>
      <c r="N2803" s="8"/>
      <c r="O2803" s="18">
        <f t="shared" si="724"/>
        <v>0</v>
      </c>
      <c r="P2803" s="9"/>
      <c r="Q2803" s="9"/>
      <c r="R2803" s="9"/>
      <c r="S2803" s="10">
        <f t="shared" si="725"/>
        <v>166.66666666666666</v>
      </c>
    </row>
    <row r="2804" spans="2:19" customFormat="1" hidden="1" outlineLevel="1">
      <c r="B2804" s="13" t="s">
        <v>245</v>
      </c>
      <c r="C2804" s="7" t="str">
        <f t="shared" si="721"/>
        <v xml:space="preserve">SPREDY EMAQ SERIE </v>
      </c>
      <c r="D2804" s="8">
        <f t="shared" si="718"/>
        <v>46105</v>
      </c>
      <c r="E2804" s="15"/>
      <c r="F2804" s="15"/>
      <c r="G2804" s="15">
        <f t="shared" si="723"/>
        <v>0</v>
      </c>
      <c r="H2804" s="74" t="s">
        <v>233</v>
      </c>
      <c r="I2804" s="10">
        <f t="shared" si="722"/>
        <v>166.66666666666666</v>
      </c>
      <c r="J2804" s="16" t="s">
        <v>16</v>
      </c>
      <c r="K2804" s="15"/>
      <c r="L2804" s="15"/>
      <c r="M2804" s="16"/>
      <c r="N2804" s="8"/>
      <c r="O2804" s="18">
        <f t="shared" si="724"/>
        <v>0</v>
      </c>
      <c r="P2804" s="9"/>
      <c r="Q2804" s="9"/>
      <c r="R2804" s="9"/>
      <c r="S2804" s="10">
        <f t="shared" si="725"/>
        <v>166.66666666666666</v>
      </c>
    </row>
    <row r="2805" spans="2:19" customFormat="1" hidden="1" outlineLevel="1">
      <c r="B2805" s="13" t="s">
        <v>245</v>
      </c>
      <c r="C2805" s="7" t="str">
        <f t="shared" si="721"/>
        <v xml:space="preserve">SPREDY EMAQ SERIE </v>
      </c>
      <c r="D2805" s="8">
        <f t="shared" si="718"/>
        <v>46106</v>
      </c>
      <c r="E2805" s="15"/>
      <c r="F2805" s="15"/>
      <c r="G2805" s="15">
        <f t="shared" si="723"/>
        <v>0</v>
      </c>
      <c r="H2805" s="74" t="s">
        <v>233</v>
      </c>
      <c r="I2805" s="10">
        <f t="shared" si="722"/>
        <v>166.66666666666666</v>
      </c>
      <c r="J2805" s="16" t="s">
        <v>16</v>
      </c>
      <c r="K2805" s="15"/>
      <c r="L2805" s="15"/>
      <c r="M2805" s="16"/>
      <c r="N2805" s="8"/>
      <c r="O2805" s="18">
        <f t="shared" si="724"/>
        <v>0</v>
      </c>
      <c r="P2805" s="9"/>
      <c r="Q2805" s="9"/>
      <c r="R2805" s="9"/>
      <c r="S2805" s="10">
        <f t="shared" si="725"/>
        <v>166.66666666666666</v>
      </c>
    </row>
    <row r="2806" spans="2:19" customFormat="1" hidden="1" outlineLevel="1">
      <c r="B2806" s="13" t="s">
        <v>245</v>
      </c>
      <c r="C2806" s="7" t="str">
        <f t="shared" si="721"/>
        <v xml:space="preserve">SPREDY EMAQ SERIE </v>
      </c>
      <c r="D2806" s="8">
        <f t="shared" si="718"/>
        <v>46107</v>
      </c>
      <c r="E2806" s="15"/>
      <c r="F2806" s="15"/>
      <c r="G2806" s="15">
        <f t="shared" si="723"/>
        <v>0</v>
      </c>
      <c r="H2806" s="74" t="s">
        <v>233</v>
      </c>
      <c r="I2806" s="10">
        <f t="shared" si="722"/>
        <v>166.66666666666666</v>
      </c>
      <c r="J2806" s="16" t="s">
        <v>16</v>
      </c>
      <c r="K2806" s="15"/>
      <c r="L2806" s="15"/>
      <c r="M2806" s="16"/>
      <c r="N2806" s="8"/>
      <c r="O2806" s="18">
        <f t="shared" si="724"/>
        <v>0</v>
      </c>
      <c r="P2806" s="9"/>
      <c r="Q2806" s="9"/>
      <c r="R2806" s="9"/>
      <c r="S2806" s="10">
        <f t="shared" si="725"/>
        <v>166.66666666666666</v>
      </c>
    </row>
    <row r="2807" spans="2:19" customFormat="1" hidden="1" outlineLevel="1">
      <c r="B2807" s="13" t="s">
        <v>245</v>
      </c>
      <c r="C2807" s="7" t="str">
        <f t="shared" si="721"/>
        <v xml:space="preserve">SPREDY EMAQ SERIE </v>
      </c>
      <c r="D2807" s="8">
        <f t="shared" si="718"/>
        <v>46108</v>
      </c>
      <c r="E2807" s="15"/>
      <c r="F2807" s="15"/>
      <c r="G2807" s="15">
        <f t="shared" si="723"/>
        <v>0</v>
      </c>
      <c r="H2807" s="74" t="s">
        <v>233</v>
      </c>
      <c r="I2807" s="10">
        <f t="shared" si="722"/>
        <v>166.66666666666666</v>
      </c>
      <c r="J2807" s="16" t="s">
        <v>16</v>
      </c>
      <c r="K2807" s="15"/>
      <c r="L2807" s="15"/>
      <c r="M2807" s="16"/>
      <c r="N2807" s="8"/>
      <c r="O2807" s="18">
        <f t="shared" si="724"/>
        <v>0</v>
      </c>
      <c r="P2807" s="9"/>
      <c r="Q2807" s="9"/>
      <c r="R2807" s="9"/>
      <c r="S2807" s="10">
        <f t="shared" si="725"/>
        <v>166.66666666666666</v>
      </c>
    </row>
    <row r="2808" spans="2:19" customFormat="1" hidden="1" outlineLevel="1">
      <c r="B2808" s="13" t="s">
        <v>245</v>
      </c>
      <c r="C2808" s="7" t="str">
        <f t="shared" si="721"/>
        <v xml:space="preserve">SPREDY EMAQ SERIE </v>
      </c>
      <c r="D2808" s="8">
        <f t="shared" si="718"/>
        <v>46112</v>
      </c>
      <c r="E2808" s="15"/>
      <c r="F2808" s="15"/>
      <c r="G2808" s="15">
        <f t="shared" si="723"/>
        <v>0</v>
      </c>
      <c r="H2808" s="74" t="s">
        <v>233</v>
      </c>
      <c r="I2808" s="10">
        <f t="shared" si="722"/>
        <v>166.66666666666666</v>
      </c>
      <c r="J2808" s="16" t="s">
        <v>16</v>
      </c>
      <c r="K2808" s="15"/>
      <c r="L2808" s="15"/>
      <c r="M2808" s="17"/>
      <c r="N2808" s="8"/>
      <c r="O2808" s="18">
        <f t="shared" si="724"/>
        <v>0</v>
      </c>
      <c r="P2808" s="9"/>
      <c r="Q2808" s="9"/>
      <c r="R2808" s="9"/>
      <c r="S2808" s="10">
        <f t="shared" si="725"/>
        <v>166.66666666666666</v>
      </c>
    </row>
    <row r="2809" spans="2:19" customFormat="1" collapsed="1">
      <c r="B2809" s="13" t="s">
        <v>245</v>
      </c>
      <c r="E2809" s="2"/>
      <c r="F2809" s="2"/>
      <c r="G2809" s="2"/>
      <c r="K2809" s="2"/>
      <c r="L2809" s="2"/>
      <c r="O2809" s="2"/>
      <c r="P2809" s="2"/>
      <c r="Q2809" s="2"/>
      <c r="R2809" s="2"/>
    </row>
    <row r="2810" spans="2:19" customFormat="1">
      <c r="B2810" s="13" t="s">
        <v>245</v>
      </c>
      <c r="C2810" s="3" t="s">
        <v>288</v>
      </c>
      <c r="D2810" s="3"/>
      <c r="E2810" s="4"/>
      <c r="F2810" s="4"/>
      <c r="G2810" s="4"/>
      <c r="H2810" s="3"/>
      <c r="I2810" s="3"/>
      <c r="J2810" s="3"/>
      <c r="K2810" s="4"/>
      <c r="L2810" s="4"/>
      <c r="M2810" s="135" t="str">
        <f>M$1</f>
        <v>BM JANEIRO 2026</v>
      </c>
      <c r="N2810" s="135"/>
      <c r="O2810" s="135"/>
      <c r="P2810" s="19" t="s">
        <v>10</v>
      </c>
      <c r="Q2810" s="136"/>
      <c r="R2810" s="136"/>
      <c r="S2810" s="136"/>
    </row>
    <row r="2811" spans="2:19" customFormat="1">
      <c r="B2811" s="14"/>
      <c r="C2811" s="5" t="s">
        <v>1</v>
      </c>
      <c r="D2811" s="5" t="s">
        <v>11</v>
      </c>
      <c r="E2811" s="6" t="s">
        <v>12</v>
      </c>
      <c r="F2811" s="6" t="s">
        <v>13</v>
      </c>
      <c r="G2811" s="6" t="s">
        <v>14</v>
      </c>
      <c r="H2811" s="5" t="s">
        <v>3</v>
      </c>
      <c r="I2811" s="6" t="s">
        <v>15</v>
      </c>
      <c r="J2811" s="6" t="s">
        <v>16</v>
      </c>
      <c r="K2811" s="6" t="s">
        <v>17</v>
      </c>
      <c r="L2811" s="6" t="s">
        <v>18</v>
      </c>
      <c r="M2811" s="5" t="s">
        <v>11</v>
      </c>
      <c r="N2811" s="5" t="s">
        <v>19</v>
      </c>
      <c r="O2811" s="6" t="s">
        <v>2</v>
      </c>
      <c r="P2811" s="6" t="s">
        <v>20</v>
      </c>
      <c r="Q2811" s="6" t="s">
        <v>21</v>
      </c>
      <c r="R2811" s="6" t="s">
        <v>22</v>
      </c>
      <c r="S2811" s="6" t="s">
        <v>23</v>
      </c>
    </row>
    <row r="2812" spans="2:19" customFormat="1" hidden="1">
      <c r="B2812" s="11" t="s">
        <v>344</v>
      </c>
      <c r="C2812" s="7" t="s">
        <v>288</v>
      </c>
      <c r="D2812" s="8">
        <f t="shared" ref="D2812:D2839" si="726">D2719</f>
        <v>46082</v>
      </c>
      <c r="E2812" s="15">
        <v>0</v>
      </c>
      <c r="F2812" s="15"/>
      <c r="G2812" s="15">
        <f t="shared" ref="G2812:G2839" si="727">F2812-E2812</f>
        <v>0</v>
      </c>
      <c r="H2812" s="74" t="s">
        <v>284</v>
      </c>
      <c r="I2812" s="117" t="s">
        <v>228</v>
      </c>
      <c r="J2812" s="16" t="s">
        <v>16</v>
      </c>
      <c r="K2812" s="15"/>
      <c r="L2812" s="15"/>
      <c r="M2812" s="17"/>
      <c r="N2812" s="8"/>
      <c r="O2812" s="116">
        <v>35000</v>
      </c>
      <c r="P2812" s="116">
        <f>O2812/30</f>
        <v>1166.6666666666667</v>
      </c>
      <c r="Q2812" s="9"/>
      <c r="R2812" s="9"/>
      <c r="S2812" s="117" t="e">
        <f t="shared" ref="S2812" si="728">SUM(R2812+Q2812+I2812)</f>
        <v>#VALUE!</v>
      </c>
    </row>
    <row r="2813" spans="2:19" customFormat="1" hidden="1" outlineLevel="1">
      <c r="B2813" s="12" t="s">
        <v>0</v>
      </c>
      <c r="C2813" s="7" t="s">
        <v>288</v>
      </c>
      <c r="D2813" s="8">
        <f t="shared" si="726"/>
        <v>46083</v>
      </c>
      <c r="E2813" s="15"/>
      <c r="F2813" s="15"/>
      <c r="G2813" s="15">
        <f t="shared" si="727"/>
        <v>0</v>
      </c>
      <c r="H2813" s="74" t="s">
        <v>284</v>
      </c>
      <c r="I2813" s="10">
        <f t="shared" ref="I2813:I2839" si="729">P2813</f>
        <v>1166.6666666666667</v>
      </c>
      <c r="J2813" s="16" t="s">
        <v>16</v>
      </c>
      <c r="K2813" s="15"/>
      <c r="L2813" s="15"/>
      <c r="M2813" s="16"/>
      <c r="N2813" s="8"/>
      <c r="O2813" s="116">
        <v>35000</v>
      </c>
      <c r="P2813" s="116">
        <f t="shared" ref="P2813:P2839" si="730">O2813/30</f>
        <v>1166.6666666666667</v>
      </c>
      <c r="Q2813" s="9"/>
      <c r="R2813" s="9"/>
      <c r="S2813" s="10">
        <f t="shared" ref="S2813:S2839" si="731">SUM(R2813+Q2813+I2813)</f>
        <v>1166.6666666666667</v>
      </c>
    </row>
    <row r="2814" spans="2:19" customFormat="1" hidden="1" outlineLevel="1">
      <c r="B2814" s="115"/>
      <c r="C2814" s="7" t="s">
        <v>288</v>
      </c>
      <c r="D2814" s="8">
        <f t="shared" si="726"/>
        <v>46084</v>
      </c>
      <c r="E2814" s="15"/>
      <c r="F2814" s="15"/>
      <c r="G2814" s="15">
        <f t="shared" si="727"/>
        <v>0</v>
      </c>
      <c r="H2814" s="74" t="s">
        <v>284</v>
      </c>
      <c r="I2814" s="10">
        <f t="shared" si="729"/>
        <v>1166.6666666666667</v>
      </c>
      <c r="J2814" s="16" t="s">
        <v>16</v>
      </c>
      <c r="K2814" s="15"/>
      <c r="L2814" s="15"/>
      <c r="M2814" s="16"/>
      <c r="N2814" s="8"/>
      <c r="O2814" s="116">
        <v>35000</v>
      </c>
      <c r="P2814" s="116">
        <f t="shared" si="730"/>
        <v>1166.6666666666667</v>
      </c>
      <c r="Q2814" s="9"/>
      <c r="R2814" s="9"/>
      <c r="S2814" s="10">
        <f t="shared" si="731"/>
        <v>1166.6666666666667</v>
      </c>
    </row>
    <row r="2815" spans="2:19" customFormat="1" hidden="1" outlineLevel="1">
      <c r="B2815" s="13" t="s">
        <v>344</v>
      </c>
      <c r="C2815" s="7" t="s">
        <v>288</v>
      </c>
      <c r="D2815" s="8">
        <f t="shared" si="726"/>
        <v>46085</v>
      </c>
      <c r="E2815" s="15"/>
      <c r="F2815" s="15"/>
      <c r="G2815" s="15">
        <f t="shared" si="727"/>
        <v>0</v>
      </c>
      <c r="H2815" s="74" t="s">
        <v>284</v>
      </c>
      <c r="I2815" s="10">
        <f t="shared" si="729"/>
        <v>1166.6666666666667</v>
      </c>
      <c r="J2815" s="16" t="s">
        <v>16</v>
      </c>
      <c r="K2815" s="15"/>
      <c r="L2815" s="15"/>
      <c r="M2815" s="16"/>
      <c r="N2815" s="8"/>
      <c r="O2815" s="116">
        <v>35000</v>
      </c>
      <c r="P2815" s="116">
        <f t="shared" si="730"/>
        <v>1166.6666666666667</v>
      </c>
      <c r="Q2815" s="9"/>
      <c r="R2815" s="9"/>
      <c r="S2815" s="10">
        <f t="shared" si="731"/>
        <v>1166.6666666666667</v>
      </c>
    </row>
    <row r="2816" spans="2:19" customFormat="1" hidden="1" outlineLevel="1">
      <c r="B2816" s="13" t="s">
        <v>344</v>
      </c>
      <c r="C2816" s="7" t="s">
        <v>288</v>
      </c>
      <c r="D2816" s="8">
        <f t="shared" si="726"/>
        <v>46086</v>
      </c>
      <c r="E2816" s="15"/>
      <c r="F2816" s="15"/>
      <c r="G2816" s="15">
        <f t="shared" si="727"/>
        <v>0</v>
      </c>
      <c r="H2816" s="74" t="s">
        <v>284</v>
      </c>
      <c r="I2816" s="10">
        <f t="shared" si="729"/>
        <v>1166.6666666666667</v>
      </c>
      <c r="J2816" s="16" t="s">
        <v>16</v>
      </c>
      <c r="K2816" s="15"/>
      <c r="L2816" s="15"/>
      <c r="M2816" s="16"/>
      <c r="N2816" s="8"/>
      <c r="O2816" s="116">
        <v>35000</v>
      </c>
      <c r="P2816" s="116">
        <f t="shared" si="730"/>
        <v>1166.6666666666667</v>
      </c>
      <c r="Q2816" s="9"/>
      <c r="R2816" s="9"/>
      <c r="S2816" s="10">
        <f t="shared" si="731"/>
        <v>1166.6666666666667</v>
      </c>
    </row>
    <row r="2817" spans="2:19" customFormat="1" hidden="1" outlineLevel="1">
      <c r="B2817" s="13" t="s">
        <v>344</v>
      </c>
      <c r="C2817" s="7" t="s">
        <v>288</v>
      </c>
      <c r="D2817" s="8">
        <f t="shared" si="726"/>
        <v>46087</v>
      </c>
      <c r="E2817" s="15"/>
      <c r="F2817" s="15"/>
      <c r="G2817" s="15">
        <f t="shared" si="727"/>
        <v>0</v>
      </c>
      <c r="H2817" s="74" t="s">
        <v>284</v>
      </c>
      <c r="I2817" s="10">
        <f t="shared" si="729"/>
        <v>1166.6666666666667</v>
      </c>
      <c r="J2817" s="16" t="s">
        <v>16</v>
      </c>
      <c r="K2817" s="15"/>
      <c r="L2817" s="15"/>
      <c r="M2817" s="16"/>
      <c r="N2817" s="8"/>
      <c r="O2817" s="116">
        <v>35000</v>
      </c>
      <c r="P2817" s="116">
        <f t="shared" si="730"/>
        <v>1166.6666666666667</v>
      </c>
      <c r="Q2817" s="9"/>
      <c r="R2817" s="9"/>
      <c r="S2817" s="10">
        <f t="shared" si="731"/>
        <v>1166.6666666666667</v>
      </c>
    </row>
    <row r="2818" spans="2:19" customFormat="1" hidden="1" outlineLevel="1">
      <c r="B2818" s="13" t="s">
        <v>344</v>
      </c>
      <c r="C2818" s="7" t="s">
        <v>288</v>
      </c>
      <c r="D2818" s="8">
        <f t="shared" si="726"/>
        <v>46088</v>
      </c>
      <c r="E2818" s="15"/>
      <c r="F2818" s="15"/>
      <c r="G2818" s="15">
        <f t="shared" si="727"/>
        <v>0</v>
      </c>
      <c r="H2818" s="74" t="s">
        <v>284</v>
      </c>
      <c r="I2818" s="10">
        <f t="shared" si="729"/>
        <v>1166.6666666666667</v>
      </c>
      <c r="J2818" s="16" t="s">
        <v>16</v>
      </c>
      <c r="K2818" s="15"/>
      <c r="L2818" s="15"/>
      <c r="M2818" s="16"/>
      <c r="N2818" s="8"/>
      <c r="O2818" s="116">
        <v>35000</v>
      </c>
      <c r="P2818" s="116">
        <f t="shared" si="730"/>
        <v>1166.6666666666667</v>
      </c>
      <c r="Q2818" s="9"/>
      <c r="R2818" s="9"/>
      <c r="S2818" s="10">
        <f t="shared" si="731"/>
        <v>1166.6666666666667</v>
      </c>
    </row>
    <row r="2819" spans="2:19" customFormat="1" hidden="1" outlineLevel="1">
      <c r="B2819" s="13" t="s">
        <v>344</v>
      </c>
      <c r="C2819" s="7" t="s">
        <v>288</v>
      </c>
      <c r="D2819" s="8">
        <f t="shared" si="726"/>
        <v>46089</v>
      </c>
      <c r="E2819" s="15"/>
      <c r="F2819" s="15"/>
      <c r="G2819" s="15">
        <f t="shared" si="727"/>
        <v>0</v>
      </c>
      <c r="H2819" s="74" t="s">
        <v>284</v>
      </c>
      <c r="I2819" s="10">
        <f t="shared" si="729"/>
        <v>1166.6666666666667</v>
      </c>
      <c r="J2819" s="16" t="s">
        <v>16</v>
      </c>
      <c r="K2819" s="15"/>
      <c r="L2819" s="15"/>
      <c r="M2819" s="16"/>
      <c r="N2819" s="8"/>
      <c r="O2819" s="116">
        <v>35000</v>
      </c>
      <c r="P2819" s="116">
        <f t="shared" si="730"/>
        <v>1166.6666666666667</v>
      </c>
      <c r="Q2819" s="9"/>
      <c r="R2819" s="9"/>
      <c r="S2819" s="10">
        <f t="shared" si="731"/>
        <v>1166.6666666666667</v>
      </c>
    </row>
    <row r="2820" spans="2:19" customFormat="1" hidden="1" outlineLevel="1">
      <c r="B2820" s="13" t="s">
        <v>344</v>
      </c>
      <c r="C2820" s="7" t="s">
        <v>288</v>
      </c>
      <c r="D2820" s="8">
        <f t="shared" si="726"/>
        <v>46090</v>
      </c>
      <c r="E2820" s="15"/>
      <c r="F2820" s="15"/>
      <c r="G2820" s="15">
        <f t="shared" si="727"/>
        <v>0</v>
      </c>
      <c r="H2820" s="74" t="s">
        <v>284</v>
      </c>
      <c r="I2820" s="10">
        <f t="shared" si="729"/>
        <v>1166.6666666666667</v>
      </c>
      <c r="J2820" s="16" t="s">
        <v>16</v>
      </c>
      <c r="K2820" s="15"/>
      <c r="L2820" s="15"/>
      <c r="M2820" s="16"/>
      <c r="N2820" s="8"/>
      <c r="O2820" s="116">
        <v>35000</v>
      </c>
      <c r="P2820" s="116">
        <f t="shared" si="730"/>
        <v>1166.6666666666667</v>
      </c>
      <c r="Q2820" s="9"/>
      <c r="R2820" s="9"/>
      <c r="S2820" s="10">
        <f t="shared" si="731"/>
        <v>1166.6666666666667</v>
      </c>
    </row>
    <row r="2821" spans="2:19" customFormat="1" hidden="1" outlineLevel="1">
      <c r="B2821" s="13" t="s">
        <v>344</v>
      </c>
      <c r="C2821" s="7" t="s">
        <v>288</v>
      </c>
      <c r="D2821" s="8">
        <f t="shared" si="726"/>
        <v>46091</v>
      </c>
      <c r="E2821" s="15"/>
      <c r="F2821" s="15"/>
      <c r="G2821" s="15">
        <f t="shared" si="727"/>
        <v>0</v>
      </c>
      <c r="H2821" s="74" t="s">
        <v>284</v>
      </c>
      <c r="I2821" s="10">
        <f t="shared" si="729"/>
        <v>1166.6666666666667</v>
      </c>
      <c r="J2821" s="16" t="s">
        <v>16</v>
      </c>
      <c r="K2821" s="15"/>
      <c r="L2821" s="15"/>
      <c r="M2821" s="16"/>
      <c r="N2821" s="8"/>
      <c r="O2821" s="116">
        <v>35000</v>
      </c>
      <c r="P2821" s="116">
        <f t="shared" si="730"/>
        <v>1166.6666666666667</v>
      </c>
      <c r="Q2821" s="9"/>
      <c r="R2821" s="9"/>
      <c r="S2821" s="10">
        <f t="shared" si="731"/>
        <v>1166.6666666666667</v>
      </c>
    </row>
    <row r="2822" spans="2:19" customFormat="1" hidden="1" outlineLevel="1">
      <c r="B2822" s="13" t="s">
        <v>344</v>
      </c>
      <c r="C2822" s="7" t="s">
        <v>288</v>
      </c>
      <c r="D2822" s="8">
        <f t="shared" si="726"/>
        <v>46092</v>
      </c>
      <c r="E2822" s="15"/>
      <c r="F2822" s="15">
        <v>37</v>
      </c>
      <c r="G2822" s="15">
        <f t="shared" si="727"/>
        <v>37</v>
      </c>
      <c r="H2822" s="74" t="s">
        <v>284</v>
      </c>
      <c r="I2822" s="10">
        <f t="shared" si="729"/>
        <v>1166.6666666666667</v>
      </c>
      <c r="J2822" s="16"/>
      <c r="K2822" s="15">
        <v>1</v>
      </c>
      <c r="L2822" s="15"/>
      <c r="M2822" s="16"/>
      <c r="N2822" s="8"/>
      <c r="O2822" s="116">
        <v>35000</v>
      </c>
      <c r="P2822" s="116">
        <f t="shared" si="730"/>
        <v>1166.6666666666667</v>
      </c>
      <c r="Q2822" s="9"/>
      <c r="R2822" s="9"/>
      <c r="S2822" s="10">
        <f t="shared" si="731"/>
        <v>1166.6666666666667</v>
      </c>
    </row>
    <row r="2823" spans="2:19" customFormat="1" hidden="1" outlineLevel="1">
      <c r="B2823" s="13" t="s">
        <v>344</v>
      </c>
      <c r="C2823" s="7" t="s">
        <v>288</v>
      </c>
      <c r="D2823" s="8">
        <f t="shared" si="726"/>
        <v>46093</v>
      </c>
      <c r="E2823" s="15">
        <v>37</v>
      </c>
      <c r="F2823" s="15">
        <v>48</v>
      </c>
      <c r="G2823" s="15">
        <f t="shared" si="727"/>
        <v>11</v>
      </c>
      <c r="H2823" s="74" t="s">
        <v>284</v>
      </c>
      <c r="I2823" s="10">
        <f t="shared" si="729"/>
        <v>1166.6666666666667</v>
      </c>
      <c r="J2823" s="16"/>
      <c r="K2823" s="15">
        <v>1</v>
      </c>
      <c r="L2823" s="15"/>
      <c r="M2823" s="16"/>
      <c r="N2823" s="8"/>
      <c r="O2823" s="116">
        <v>35000</v>
      </c>
      <c r="P2823" s="116">
        <f t="shared" si="730"/>
        <v>1166.6666666666667</v>
      </c>
      <c r="Q2823" s="9"/>
      <c r="R2823" s="9"/>
      <c r="S2823" s="10">
        <f t="shared" si="731"/>
        <v>1166.6666666666667</v>
      </c>
    </row>
    <row r="2824" spans="2:19" customFormat="1" hidden="1" outlineLevel="1">
      <c r="B2824" s="13" t="s">
        <v>344</v>
      </c>
      <c r="C2824" s="7" t="s">
        <v>288</v>
      </c>
      <c r="D2824" s="8">
        <f t="shared" si="726"/>
        <v>46094</v>
      </c>
      <c r="E2824" s="15">
        <v>48</v>
      </c>
      <c r="F2824" s="15">
        <v>64</v>
      </c>
      <c r="G2824" s="15">
        <f t="shared" si="727"/>
        <v>16</v>
      </c>
      <c r="H2824" s="74" t="s">
        <v>284</v>
      </c>
      <c r="I2824" s="10">
        <f t="shared" si="729"/>
        <v>1166.6666666666667</v>
      </c>
      <c r="J2824" s="16"/>
      <c r="K2824" s="15">
        <v>1</v>
      </c>
      <c r="L2824" s="15"/>
      <c r="M2824" s="16"/>
      <c r="N2824" s="8"/>
      <c r="O2824" s="116">
        <v>35000</v>
      </c>
      <c r="P2824" s="116">
        <f t="shared" si="730"/>
        <v>1166.6666666666667</v>
      </c>
      <c r="Q2824" s="9"/>
      <c r="R2824" s="9"/>
      <c r="S2824" s="10">
        <f t="shared" si="731"/>
        <v>1166.6666666666667</v>
      </c>
    </row>
    <row r="2825" spans="2:19" customFormat="1" hidden="1" outlineLevel="1">
      <c r="B2825" s="13" t="s">
        <v>344</v>
      </c>
      <c r="C2825" s="7" t="s">
        <v>288</v>
      </c>
      <c r="D2825" s="8">
        <f t="shared" si="726"/>
        <v>46095</v>
      </c>
      <c r="E2825" s="15">
        <v>64</v>
      </c>
      <c r="F2825" s="15">
        <v>65</v>
      </c>
      <c r="G2825" s="15">
        <f t="shared" si="727"/>
        <v>1</v>
      </c>
      <c r="H2825" s="74" t="s">
        <v>284</v>
      </c>
      <c r="I2825" s="10">
        <f t="shared" si="729"/>
        <v>1166.6666666666667</v>
      </c>
      <c r="J2825" s="16"/>
      <c r="K2825" s="15">
        <v>1</v>
      </c>
      <c r="L2825" s="15"/>
      <c r="M2825" s="16"/>
      <c r="N2825" s="8"/>
      <c r="O2825" s="116">
        <v>35000</v>
      </c>
      <c r="P2825" s="116">
        <f t="shared" si="730"/>
        <v>1166.6666666666667</v>
      </c>
      <c r="Q2825" s="9"/>
      <c r="R2825" s="9"/>
      <c r="S2825" s="10">
        <f t="shared" si="731"/>
        <v>1166.6666666666667</v>
      </c>
    </row>
    <row r="2826" spans="2:19" customFormat="1" hidden="1" outlineLevel="1">
      <c r="B2826" s="13" t="s">
        <v>344</v>
      </c>
      <c r="C2826" s="7" t="s">
        <v>288</v>
      </c>
      <c r="D2826" s="8">
        <f t="shared" si="726"/>
        <v>46096</v>
      </c>
      <c r="E2826" s="15"/>
      <c r="F2826" s="15"/>
      <c r="G2826" s="15">
        <f t="shared" si="727"/>
        <v>0</v>
      </c>
      <c r="H2826" s="74" t="s">
        <v>284</v>
      </c>
      <c r="I2826" s="10">
        <f t="shared" si="729"/>
        <v>1166.6666666666667</v>
      </c>
      <c r="J2826" s="16"/>
      <c r="K2826" s="15">
        <v>1</v>
      </c>
      <c r="L2826" s="15"/>
      <c r="M2826" s="16"/>
      <c r="N2826" s="8"/>
      <c r="O2826" s="116">
        <v>35000</v>
      </c>
      <c r="P2826" s="116">
        <f t="shared" si="730"/>
        <v>1166.6666666666667</v>
      </c>
      <c r="Q2826" s="9"/>
      <c r="R2826" s="9"/>
      <c r="S2826" s="10">
        <f t="shared" si="731"/>
        <v>1166.6666666666667</v>
      </c>
    </row>
    <row r="2827" spans="2:19" customFormat="1" hidden="1" outlineLevel="1">
      <c r="B2827" s="13" t="s">
        <v>344</v>
      </c>
      <c r="C2827" s="7" t="s">
        <v>288</v>
      </c>
      <c r="D2827" s="8">
        <f t="shared" si="726"/>
        <v>46097</v>
      </c>
      <c r="E2827" s="15">
        <v>65</v>
      </c>
      <c r="F2827" s="15">
        <v>71</v>
      </c>
      <c r="G2827" s="15">
        <f t="shared" si="727"/>
        <v>6</v>
      </c>
      <c r="H2827" s="74" t="s">
        <v>284</v>
      </c>
      <c r="I2827" s="10">
        <f t="shared" si="729"/>
        <v>1166.6666666666667</v>
      </c>
      <c r="J2827" s="16"/>
      <c r="K2827" s="15">
        <v>1</v>
      </c>
      <c r="L2827" s="15"/>
      <c r="M2827" s="16"/>
      <c r="N2827" s="8"/>
      <c r="O2827" s="116">
        <v>35000</v>
      </c>
      <c r="P2827" s="116">
        <f t="shared" si="730"/>
        <v>1166.6666666666667</v>
      </c>
      <c r="Q2827" s="9"/>
      <c r="R2827" s="9"/>
      <c r="S2827" s="10">
        <f t="shared" si="731"/>
        <v>1166.6666666666667</v>
      </c>
    </row>
    <row r="2828" spans="2:19" customFormat="1" hidden="1" outlineLevel="1">
      <c r="B2828" s="13" t="s">
        <v>344</v>
      </c>
      <c r="C2828" s="7" t="s">
        <v>288</v>
      </c>
      <c r="D2828" s="8">
        <f t="shared" si="726"/>
        <v>46098</v>
      </c>
      <c r="E2828" s="15"/>
      <c r="F2828" s="15"/>
      <c r="G2828" s="15">
        <f t="shared" si="727"/>
        <v>0</v>
      </c>
      <c r="H2828" s="74" t="s">
        <v>284</v>
      </c>
      <c r="I2828" s="10">
        <f t="shared" si="729"/>
        <v>1166.6666666666667</v>
      </c>
      <c r="J2828" s="16"/>
      <c r="K2828" s="15">
        <v>1</v>
      </c>
      <c r="L2828" s="15"/>
      <c r="M2828" s="16"/>
      <c r="N2828" s="8"/>
      <c r="O2828" s="116">
        <v>35000</v>
      </c>
      <c r="P2828" s="116">
        <f t="shared" si="730"/>
        <v>1166.6666666666667</v>
      </c>
      <c r="Q2828" s="9"/>
      <c r="R2828" s="9"/>
      <c r="S2828" s="10">
        <f t="shared" si="731"/>
        <v>1166.6666666666667</v>
      </c>
    </row>
    <row r="2829" spans="2:19" customFormat="1" hidden="1" outlineLevel="1">
      <c r="B2829" s="13" t="s">
        <v>344</v>
      </c>
      <c r="C2829" s="7" t="s">
        <v>288</v>
      </c>
      <c r="D2829" s="8">
        <f t="shared" si="726"/>
        <v>46099</v>
      </c>
      <c r="E2829" s="15">
        <v>71</v>
      </c>
      <c r="F2829" s="15">
        <v>75</v>
      </c>
      <c r="G2829" s="15">
        <f t="shared" si="727"/>
        <v>4</v>
      </c>
      <c r="H2829" s="74" t="s">
        <v>284</v>
      </c>
      <c r="I2829" s="10">
        <f t="shared" si="729"/>
        <v>1166.6666666666667</v>
      </c>
      <c r="J2829" s="16"/>
      <c r="K2829" s="15">
        <v>1</v>
      </c>
      <c r="L2829" s="15"/>
      <c r="M2829" s="16"/>
      <c r="N2829" s="8"/>
      <c r="O2829" s="116">
        <v>35000</v>
      </c>
      <c r="P2829" s="116">
        <f t="shared" si="730"/>
        <v>1166.6666666666667</v>
      </c>
      <c r="Q2829" s="9"/>
      <c r="R2829" s="9"/>
      <c r="S2829" s="10">
        <f t="shared" si="731"/>
        <v>1166.6666666666667</v>
      </c>
    </row>
    <row r="2830" spans="2:19" customFormat="1" hidden="1" outlineLevel="1">
      <c r="B2830" s="13" t="s">
        <v>344</v>
      </c>
      <c r="C2830" s="7" t="s">
        <v>288</v>
      </c>
      <c r="D2830" s="8">
        <f t="shared" si="726"/>
        <v>46100</v>
      </c>
      <c r="E2830" s="15">
        <v>75</v>
      </c>
      <c r="F2830" s="15">
        <v>79</v>
      </c>
      <c r="G2830" s="15">
        <f t="shared" si="727"/>
        <v>4</v>
      </c>
      <c r="H2830" s="74" t="s">
        <v>284</v>
      </c>
      <c r="I2830" s="10">
        <f t="shared" si="729"/>
        <v>1166.6666666666667</v>
      </c>
      <c r="J2830" s="16"/>
      <c r="K2830" s="15">
        <v>1</v>
      </c>
      <c r="L2830" s="15"/>
      <c r="M2830" s="16"/>
      <c r="N2830" s="8"/>
      <c r="O2830" s="116">
        <v>35000</v>
      </c>
      <c r="P2830" s="116">
        <f t="shared" si="730"/>
        <v>1166.6666666666667</v>
      </c>
      <c r="Q2830" s="9"/>
      <c r="R2830" s="9"/>
      <c r="S2830" s="10">
        <f t="shared" si="731"/>
        <v>1166.6666666666667</v>
      </c>
    </row>
    <row r="2831" spans="2:19" customFormat="1" hidden="1" outlineLevel="1">
      <c r="B2831" s="13" t="s">
        <v>344</v>
      </c>
      <c r="C2831" s="7" t="s">
        <v>288</v>
      </c>
      <c r="D2831" s="8">
        <f t="shared" si="726"/>
        <v>46101</v>
      </c>
      <c r="E2831" s="15">
        <v>79</v>
      </c>
      <c r="F2831" s="15">
        <v>87</v>
      </c>
      <c r="G2831" s="15">
        <f t="shared" si="727"/>
        <v>8</v>
      </c>
      <c r="H2831" s="74" t="s">
        <v>284</v>
      </c>
      <c r="I2831" s="10">
        <f t="shared" si="729"/>
        <v>1166.6666666666667</v>
      </c>
      <c r="J2831" s="16"/>
      <c r="K2831" s="15">
        <v>1</v>
      </c>
      <c r="L2831" s="15"/>
      <c r="M2831" s="16"/>
      <c r="N2831" s="8"/>
      <c r="O2831" s="116">
        <v>35000</v>
      </c>
      <c r="P2831" s="116">
        <f t="shared" si="730"/>
        <v>1166.6666666666667</v>
      </c>
      <c r="Q2831" s="9"/>
      <c r="R2831" s="9"/>
      <c r="S2831" s="10">
        <f t="shared" si="731"/>
        <v>1166.6666666666667</v>
      </c>
    </row>
    <row r="2832" spans="2:19" customFormat="1" hidden="1" outlineLevel="1">
      <c r="B2832" s="13" t="s">
        <v>344</v>
      </c>
      <c r="C2832" s="7" t="s">
        <v>288</v>
      </c>
      <c r="D2832" s="8">
        <f t="shared" si="726"/>
        <v>46102</v>
      </c>
      <c r="E2832" s="15">
        <v>87</v>
      </c>
      <c r="F2832" s="15">
        <v>96</v>
      </c>
      <c r="G2832" s="15">
        <f t="shared" si="727"/>
        <v>9</v>
      </c>
      <c r="H2832" s="74" t="s">
        <v>284</v>
      </c>
      <c r="I2832" s="10">
        <f t="shared" si="729"/>
        <v>1166.6666666666667</v>
      </c>
      <c r="J2832" s="16"/>
      <c r="K2832" s="15">
        <v>1</v>
      </c>
      <c r="L2832" s="15"/>
      <c r="M2832" s="16"/>
      <c r="N2832" s="8"/>
      <c r="O2832" s="116">
        <v>35000</v>
      </c>
      <c r="P2832" s="116">
        <f t="shared" si="730"/>
        <v>1166.6666666666667</v>
      </c>
      <c r="Q2832" s="9"/>
      <c r="R2832" s="9"/>
      <c r="S2832" s="10">
        <f t="shared" si="731"/>
        <v>1166.6666666666667</v>
      </c>
    </row>
    <row r="2833" spans="2:19" customFormat="1" hidden="1" outlineLevel="1">
      <c r="B2833" s="13" t="s">
        <v>344</v>
      </c>
      <c r="C2833" s="7" t="s">
        <v>288</v>
      </c>
      <c r="D2833" s="8">
        <f t="shared" si="726"/>
        <v>46103</v>
      </c>
      <c r="E2833" s="15"/>
      <c r="F2833" s="15"/>
      <c r="G2833" s="15">
        <f t="shared" si="727"/>
        <v>0</v>
      </c>
      <c r="H2833" s="74" t="s">
        <v>284</v>
      </c>
      <c r="I2833" s="10">
        <f t="shared" si="729"/>
        <v>1166.6666666666667</v>
      </c>
      <c r="J2833" s="16" t="s">
        <v>16</v>
      </c>
      <c r="K2833" s="15"/>
      <c r="L2833" s="15"/>
      <c r="M2833" s="16"/>
      <c r="N2833" s="8"/>
      <c r="O2833" s="116">
        <v>35000</v>
      </c>
      <c r="P2833" s="116">
        <f t="shared" si="730"/>
        <v>1166.6666666666667</v>
      </c>
      <c r="Q2833" s="9"/>
      <c r="R2833" s="9"/>
      <c r="S2833" s="10">
        <f t="shared" si="731"/>
        <v>1166.6666666666667</v>
      </c>
    </row>
    <row r="2834" spans="2:19" customFormat="1" hidden="1" outlineLevel="1">
      <c r="B2834" s="13" t="s">
        <v>344</v>
      </c>
      <c r="C2834" s="7" t="s">
        <v>288</v>
      </c>
      <c r="D2834" s="8">
        <f t="shared" si="726"/>
        <v>46104</v>
      </c>
      <c r="E2834" s="15"/>
      <c r="F2834" s="15"/>
      <c r="G2834" s="15">
        <f t="shared" si="727"/>
        <v>0</v>
      </c>
      <c r="H2834" s="74" t="s">
        <v>284</v>
      </c>
      <c r="I2834" s="10">
        <f t="shared" si="729"/>
        <v>1166.6666666666667</v>
      </c>
      <c r="J2834" s="16" t="s">
        <v>16</v>
      </c>
      <c r="K2834" s="15"/>
      <c r="L2834" s="15"/>
      <c r="M2834" s="16"/>
      <c r="N2834" s="8"/>
      <c r="O2834" s="116">
        <v>35000</v>
      </c>
      <c r="P2834" s="116">
        <f t="shared" si="730"/>
        <v>1166.6666666666667</v>
      </c>
      <c r="Q2834" s="9"/>
      <c r="R2834" s="9"/>
      <c r="S2834" s="10">
        <f t="shared" si="731"/>
        <v>1166.6666666666667</v>
      </c>
    </row>
    <row r="2835" spans="2:19" customFormat="1" hidden="1" outlineLevel="1">
      <c r="B2835" s="13" t="s">
        <v>344</v>
      </c>
      <c r="C2835" s="7" t="s">
        <v>288</v>
      </c>
      <c r="D2835" s="8">
        <f t="shared" si="726"/>
        <v>46105</v>
      </c>
      <c r="E2835" s="15">
        <v>96</v>
      </c>
      <c r="F2835" s="15">
        <v>99</v>
      </c>
      <c r="G2835" s="15">
        <f t="shared" si="727"/>
        <v>3</v>
      </c>
      <c r="H2835" s="74" t="s">
        <v>284</v>
      </c>
      <c r="I2835" s="10">
        <f t="shared" si="729"/>
        <v>1166.6666666666667</v>
      </c>
      <c r="J2835" s="16"/>
      <c r="K2835" s="15">
        <v>1</v>
      </c>
      <c r="L2835" s="15"/>
      <c r="M2835" s="16"/>
      <c r="N2835" s="8"/>
      <c r="O2835" s="116">
        <v>35000</v>
      </c>
      <c r="P2835" s="116">
        <f t="shared" si="730"/>
        <v>1166.6666666666667</v>
      </c>
      <c r="Q2835" s="9"/>
      <c r="R2835" s="9"/>
      <c r="S2835" s="10">
        <f t="shared" si="731"/>
        <v>1166.6666666666667</v>
      </c>
    </row>
    <row r="2836" spans="2:19" customFormat="1" hidden="1" outlineLevel="1">
      <c r="B2836" s="13" t="s">
        <v>344</v>
      </c>
      <c r="C2836" s="7" t="s">
        <v>288</v>
      </c>
      <c r="D2836" s="8">
        <f t="shared" si="726"/>
        <v>46106</v>
      </c>
      <c r="E2836" s="15">
        <v>99</v>
      </c>
      <c r="F2836" s="15">
        <v>104</v>
      </c>
      <c r="G2836" s="15">
        <f t="shared" si="727"/>
        <v>5</v>
      </c>
      <c r="H2836" s="74" t="s">
        <v>284</v>
      </c>
      <c r="I2836" s="10">
        <f t="shared" si="729"/>
        <v>1166.6666666666667</v>
      </c>
      <c r="J2836" s="16"/>
      <c r="K2836" s="15">
        <v>1</v>
      </c>
      <c r="L2836" s="15"/>
      <c r="M2836" s="16"/>
      <c r="N2836" s="8"/>
      <c r="O2836" s="116">
        <v>35000</v>
      </c>
      <c r="P2836" s="116">
        <f t="shared" si="730"/>
        <v>1166.6666666666667</v>
      </c>
      <c r="Q2836" s="9"/>
      <c r="R2836" s="9"/>
      <c r="S2836" s="10">
        <f t="shared" si="731"/>
        <v>1166.6666666666667</v>
      </c>
    </row>
    <row r="2837" spans="2:19" customFormat="1" hidden="1" outlineLevel="1">
      <c r="B2837" s="13" t="s">
        <v>344</v>
      </c>
      <c r="C2837" s="7" t="s">
        <v>288</v>
      </c>
      <c r="D2837" s="8">
        <f t="shared" si="726"/>
        <v>46107</v>
      </c>
      <c r="E2837" s="15"/>
      <c r="F2837" s="15"/>
      <c r="G2837" s="15">
        <f t="shared" si="727"/>
        <v>0</v>
      </c>
      <c r="H2837" s="74" t="s">
        <v>284</v>
      </c>
      <c r="I2837" s="10">
        <f t="shared" si="729"/>
        <v>1166.6666666666667</v>
      </c>
      <c r="J2837" s="16" t="s">
        <v>16</v>
      </c>
      <c r="K2837" s="15"/>
      <c r="L2837" s="15"/>
      <c r="M2837" s="16"/>
      <c r="N2837" s="8"/>
      <c r="O2837" s="116">
        <v>35000</v>
      </c>
      <c r="P2837" s="116">
        <f t="shared" si="730"/>
        <v>1166.6666666666667</v>
      </c>
      <c r="Q2837" s="9"/>
      <c r="R2837" s="9"/>
      <c r="S2837" s="10">
        <f t="shared" si="731"/>
        <v>1166.6666666666667</v>
      </c>
    </row>
    <row r="2838" spans="2:19" customFormat="1" hidden="1" outlineLevel="1">
      <c r="B2838" s="13" t="s">
        <v>344</v>
      </c>
      <c r="C2838" s="7" t="s">
        <v>288</v>
      </c>
      <c r="D2838" s="8">
        <f t="shared" si="726"/>
        <v>46108</v>
      </c>
      <c r="E2838" s="15">
        <v>104</v>
      </c>
      <c r="F2838" s="15">
        <v>113</v>
      </c>
      <c r="G2838" s="15">
        <f t="shared" si="727"/>
        <v>9</v>
      </c>
      <c r="H2838" s="74" t="s">
        <v>284</v>
      </c>
      <c r="I2838" s="10">
        <f t="shared" si="729"/>
        <v>1166.6666666666667</v>
      </c>
      <c r="J2838" s="16"/>
      <c r="K2838" s="15">
        <v>1</v>
      </c>
      <c r="L2838" s="15"/>
      <c r="M2838" s="16"/>
      <c r="N2838" s="8"/>
      <c r="O2838" s="116">
        <v>35000</v>
      </c>
      <c r="P2838" s="116">
        <f t="shared" si="730"/>
        <v>1166.6666666666667</v>
      </c>
      <c r="Q2838" s="9"/>
      <c r="R2838" s="9"/>
      <c r="S2838" s="10">
        <f t="shared" si="731"/>
        <v>1166.6666666666667</v>
      </c>
    </row>
    <row r="2839" spans="2:19" customFormat="1" hidden="1" outlineLevel="1">
      <c r="B2839" s="13" t="s">
        <v>344</v>
      </c>
      <c r="C2839" s="7" t="s">
        <v>288</v>
      </c>
      <c r="D2839" s="8">
        <f t="shared" si="726"/>
        <v>46112</v>
      </c>
      <c r="E2839" s="15">
        <v>113</v>
      </c>
      <c r="F2839" s="15">
        <v>121</v>
      </c>
      <c r="G2839" s="15">
        <f t="shared" si="727"/>
        <v>8</v>
      </c>
      <c r="H2839" s="74" t="s">
        <v>284</v>
      </c>
      <c r="I2839" s="10">
        <f t="shared" si="729"/>
        <v>1166.6666666666667</v>
      </c>
      <c r="J2839" s="16"/>
      <c r="K2839" s="15">
        <v>1</v>
      </c>
      <c r="L2839" s="15"/>
      <c r="M2839" s="17"/>
      <c r="N2839" s="8"/>
      <c r="O2839" s="116">
        <v>35000</v>
      </c>
      <c r="P2839" s="116">
        <f t="shared" si="730"/>
        <v>1166.6666666666667</v>
      </c>
      <c r="Q2839" s="9"/>
      <c r="R2839" s="9"/>
      <c r="S2839" s="10">
        <f t="shared" si="731"/>
        <v>1166.6666666666667</v>
      </c>
    </row>
    <row r="2840" spans="2:19" customFormat="1" collapsed="1">
      <c r="B2840" s="13" t="s">
        <v>344</v>
      </c>
      <c r="E2840" s="2"/>
      <c r="F2840" s="2"/>
      <c r="G2840" s="2"/>
      <c r="K2840" s="2"/>
      <c r="L2840" s="2"/>
      <c r="O2840" s="2"/>
      <c r="P2840" s="2"/>
      <c r="Q2840" s="2"/>
      <c r="R2840" s="2"/>
    </row>
    <row r="2841" spans="2:19" customFormat="1">
      <c r="B2841" s="13" t="s">
        <v>344</v>
      </c>
      <c r="E2841" s="2"/>
      <c r="F2841" s="2"/>
      <c r="G2841" s="2"/>
      <c r="K2841" s="2"/>
      <c r="L2841" s="2"/>
      <c r="O2841" s="2"/>
      <c r="P2841" s="2"/>
      <c r="Q2841" s="2"/>
      <c r="R2841" s="2"/>
    </row>
  </sheetData>
  <mergeCells count="174">
    <mergeCell ref="M2810:O2810"/>
    <mergeCell ref="Q2810:S2810"/>
    <mergeCell ref="M2779:O2779"/>
    <mergeCell ref="Q2779:S2779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911:O1911"/>
    <mergeCell ref="Q1911:S1911"/>
    <mergeCell ref="M1942:O1942"/>
    <mergeCell ref="Q1942:S1942"/>
    <mergeCell ref="M1973:O1973"/>
    <mergeCell ref="Q1973:S1973"/>
    <mergeCell ref="M1815:O1815"/>
    <mergeCell ref="Q1815:S1815"/>
    <mergeCell ref="M1849:O1849"/>
    <mergeCell ref="Q1849:S1849"/>
    <mergeCell ref="M1880:O1880"/>
    <mergeCell ref="Q1880:S1880"/>
    <mergeCell ref="M2097:O2097"/>
    <mergeCell ref="Q2097:S2097"/>
    <mergeCell ref="M2128:O2128"/>
    <mergeCell ref="Q2128:S2128"/>
    <mergeCell ref="M2159:O2159"/>
    <mergeCell ref="Q2159:S2159"/>
    <mergeCell ref="M2004:O2004"/>
    <mergeCell ref="Q2004:S2004"/>
    <mergeCell ref="M2035:O2035"/>
    <mergeCell ref="Q2035:S2035"/>
    <mergeCell ref="M2066:O2066"/>
    <mergeCell ref="Q2066:S2066"/>
    <mergeCell ref="M2283:O2283"/>
    <mergeCell ref="Q2283:S2283"/>
    <mergeCell ref="M2314:O2314"/>
    <mergeCell ref="Q2314:S2314"/>
    <mergeCell ref="M2345:O2345"/>
    <mergeCell ref="Q2345:S2345"/>
    <mergeCell ref="M2190:O2190"/>
    <mergeCell ref="Q2190:S2190"/>
    <mergeCell ref="M2221:O2221"/>
    <mergeCell ref="Q2221:S2221"/>
    <mergeCell ref="M2252:O2252"/>
    <mergeCell ref="Q2252:S2252"/>
    <mergeCell ref="M2469:O2469"/>
    <mergeCell ref="Q2469:S2469"/>
    <mergeCell ref="M2500:O2500"/>
    <mergeCell ref="Q2500:S2500"/>
    <mergeCell ref="M2531:O2531"/>
    <mergeCell ref="Q2531:S2531"/>
    <mergeCell ref="M2376:O2376"/>
    <mergeCell ref="Q2376:S2376"/>
    <mergeCell ref="M2407:O2407"/>
    <mergeCell ref="Q2407:S2407"/>
    <mergeCell ref="M2438:O2438"/>
    <mergeCell ref="Q2438:S2438"/>
    <mergeCell ref="M2748:O2748"/>
    <mergeCell ref="Q2748:S2748"/>
    <mergeCell ref="M2655:O2655"/>
    <mergeCell ref="Q2655:S2655"/>
    <mergeCell ref="M2686:O2686"/>
    <mergeCell ref="Q2686:S2686"/>
    <mergeCell ref="M2717:O2717"/>
    <mergeCell ref="Q2717:S2717"/>
    <mergeCell ref="M2562:O2562"/>
    <mergeCell ref="Q2562:S2562"/>
    <mergeCell ref="M2593:O2593"/>
    <mergeCell ref="Q2593:S2593"/>
    <mergeCell ref="M2624:O2624"/>
    <mergeCell ref="Q2624:S2624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4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3" t="s">
        <v>268</v>
      </c>
      <c r="B1" s="153"/>
    </row>
    <row r="2" spans="1:2" ht="31.9" customHeight="1">
      <c r="A2" s="153"/>
      <c r="B2" s="153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2026-03-03T13:06:17Z</dcterms:modified>
  <cp:category/>
  <cp:contentStatus/>
</cp:coreProperties>
</file>