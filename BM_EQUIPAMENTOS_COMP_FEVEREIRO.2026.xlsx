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7FB5EF80-CF3F-4118-B992-D72E66F108E4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02.026'!$A$1:$J$50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06.020'!$A$1:$J$63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120" r:id="rId63"/>
    <pivotCache cacheId="121" r:id="rId64"/>
    <pivotCache cacheId="122" r:id="rId65"/>
    <pivotCache cacheId="123" r:id="rId66"/>
    <pivotCache cacheId="124" r:id="rId67"/>
    <pivotCache cacheId="125" r:id="rId68"/>
    <pivotCache cacheId="126" r:id="rId69"/>
    <pivotCache cacheId="127" r:id="rId70"/>
    <pivotCache cacheId="128" r:id="rId71"/>
    <pivotCache cacheId="129" r:id="rId72"/>
    <pivotCache cacheId="130" r:id="rId73"/>
    <pivotCache cacheId="131" r:id="rId74"/>
    <pivotCache cacheId="132" r:id="rId75"/>
    <pivotCache cacheId="133" r:id="rId76"/>
    <pivotCache cacheId="134" r:id="rId77"/>
    <pivotCache cacheId="135" r:id="rId78"/>
    <pivotCache cacheId="136" r:id="rId79"/>
    <pivotCache cacheId="137" r:id="rId80"/>
    <pivotCache cacheId="138" r:id="rId81"/>
    <pivotCache cacheId="139" r:id="rId82"/>
    <pivotCache cacheId="140" r:id="rId83"/>
    <pivotCache cacheId="141" r:id="rId84"/>
    <pivotCache cacheId="142" r:id="rId85"/>
    <pivotCache cacheId="143" r:id="rId86"/>
    <pivotCache cacheId="144" r:id="rId87"/>
    <pivotCache cacheId="145" r:id="rId88"/>
    <pivotCache cacheId="146" r:id="rId89"/>
    <pivotCache cacheId="147" r:id="rId90"/>
    <pivotCache cacheId="148" r:id="rId91"/>
    <pivotCache cacheId="149" r:id="rId92"/>
    <pivotCache cacheId="150" r:id="rId93"/>
    <pivotCache cacheId="151" r:id="rId94"/>
    <pivotCache cacheId="152" r:id="rId95"/>
    <pivotCache cacheId="153" r:id="rId96"/>
    <pivotCache cacheId="154" r:id="rId97"/>
    <pivotCache cacheId="155" r:id="rId98"/>
    <pivotCache cacheId="156" r:id="rId99"/>
    <pivotCache cacheId="157" r:id="rId100"/>
    <pivotCache cacheId="158" r:id="rId101"/>
    <pivotCache cacheId="159" r:id="rId102"/>
    <pivotCache cacheId="160" r:id="rId103"/>
    <pivotCache cacheId="161" r:id="rId104"/>
    <pivotCache cacheId="162" r:id="rId105"/>
    <pivotCache cacheId="163" r:id="rId106"/>
    <pivotCache cacheId="164" r:id="rId107"/>
    <pivotCache cacheId="165" r:id="rId108"/>
    <pivotCache cacheId="166" r:id="rId109"/>
    <pivotCache cacheId="167" r:id="rId110"/>
    <pivotCache cacheId="168" r:id="rId111"/>
    <pivotCache cacheId="169" r:id="rId112"/>
    <pivotCache cacheId="170" r:id="rId113"/>
    <pivotCache cacheId="171" r:id="rId114"/>
    <pivotCache cacheId="172" r:id="rId115"/>
    <pivotCache cacheId="173" r:id="rId116"/>
    <pivotCache cacheId="174" r:id="rId117"/>
    <pivotCache cacheId="175" r:id="rId118"/>
    <pivotCache cacheId="176" r:id="rId119"/>
    <pivotCache cacheId="177" r:id="rId120"/>
    <pivotCache cacheId="178" r:id="rId121"/>
    <pivotCache cacheId="17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8" i="62" l="1"/>
  <c r="G2357" i="62"/>
  <c r="G2356" i="62"/>
  <c r="G2355" i="62"/>
  <c r="G2354" i="62"/>
  <c r="G2353" i="62"/>
  <c r="G2352" i="62"/>
  <c r="G2351" i="62"/>
  <c r="G2350" i="62"/>
  <c r="G2349" i="62"/>
  <c r="G2348" i="62"/>
  <c r="G2347" i="62"/>
  <c r="G2346" i="62"/>
  <c r="G2345" i="62"/>
  <c r="G2344" i="62"/>
  <c r="G2343" i="62"/>
  <c r="G2342" i="62"/>
  <c r="G2341" i="62"/>
  <c r="G2340" i="62"/>
  <c r="G2339" i="62"/>
  <c r="G2338" i="62"/>
  <c r="G2337" i="62"/>
  <c r="G2336" i="62"/>
  <c r="G2335" i="62"/>
  <c r="G2334" i="62"/>
  <c r="G2333" i="62"/>
  <c r="G2332" i="62"/>
  <c r="G2359" i="62"/>
  <c r="I21" i="24"/>
  <c r="I22" i="8"/>
  <c r="I21" i="8"/>
  <c r="I21" i="35"/>
  <c r="I20" i="35"/>
  <c r="I19" i="35"/>
  <c r="I20" i="23"/>
  <c r="I19" i="23"/>
  <c r="I26" i="70"/>
  <c r="I25" i="70"/>
  <c r="I24" i="70"/>
  <c r="I23" i="70"/>
  <c r="I22" i="70"/>
  <c r="I21" i="70"/>
  <c r="I20" i="70"/>
  <c r="I19" i="70"/>
  <c r="I25" i="47"/>
  <c r="P1030" i="62"/>
  <c r="I1030" i="62" s="1"/>
  <c r="R1031" i="62"/>
  <c r="R1032" i="62"/>
  <c r="R1033" i="62"/>
  <c r="R1034" i="62"/>
  <c r="R1030" i="62"/>
  <c r="Q1031" i="62"/>
  <c r="Q1032" i="62"/>
  <c r="Q1033" i="62"/>
  <c r="Q1034" i="62"/>
  <c r="Q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4" i="10" l="1"/>
  <c r="I20" i="39"/>
  <c r="I19" i="26"/>
  <c r="H20" i="61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27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I2394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C2350" i="62"/>
  <c r="C2349" i="62"/>
  <c r="C2348" i="62"/>
  <c r="C2347" i="62"/>
  <c r="C2346" i="62"/>
  <c r="C2345" i="62"/>
  <c r="C2344" i="62"/>
  <c r="C2343" i="62"/>
  <c r="C2342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C2340" i="62"/>
  <c r="C2339" i="62"/>
  <c r="C2338" i="62"/>
  <c r="C2337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I2395" i="62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I2396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1" i="23" l="1"/>
  <c r="I19" i="5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I2397" i="62"/>
  <c r="S2396" i="62"/>
  <c r="I1932" i="62"/>
  <c r="S1931" i="62"/>
  <c r="I1903" i="62"/>
  <c r="S1902" i="62"/>
  <c r="S2117" i="62"/>
  <c r="I2118" i="62"/>
  <c r="I20" i="32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I2398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I2399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2400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I2401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I2402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I2403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I240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405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I2406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I2407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I2408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409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2410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I2411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I2412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413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414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2415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I2416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I2417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I2418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2419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I2420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I2421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<sst xmlns="http://schemas.openxmlformats.org/spreadsheetml/2006/main" count="9652" uniqueCount="373">
  <si>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</si>
  <si>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</si>
  <si>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</si>
  <si>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</si>
  <si>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</si>
  <si>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</si>
  <si>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</si>
  <si>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</si>
  <si>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</si>
  <si>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</si>
  <si>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</si>
  <si>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</si>
  <si>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</si>
  <si>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</si>
  <si>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</si>
  <si>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</si>
  <si>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</si>
  <si>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</si>
  <si>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</si>
  <si>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</si>
  <si>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</si>
  <si>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</si>
  <si>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</si>
  <si>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</si>
  <si>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</si>
  <si>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</si>
  <si>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</si>
  <si>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</si>
  <si>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</si>
  <si>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</si>
  <si>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</si>
  <si>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</si>
  <si>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</si>
  <si>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</si>
  <si>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</si>
  <si>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</si>
  <si>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</si>
  <si>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</si>
  <si>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</si>
  <si>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</si>
  <si>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</si>
  <si>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</si>
  <si>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</si>
  <si>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</si>
  <si>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</si>
  <si>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</si>
  <si>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</si>
  <si>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</si>
  <si>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</si>
  <si>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</si>
  <si>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</si>
  <si>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</si>
  <si>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</si>
  <si>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</si>
  <si>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</si>
  <si>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</si>
  <si>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</si>
  <si>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</si>
  <si>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</si>
  <si>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</si>
  <si>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</si>
  <si>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</si>
  <si>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</si>
  <si>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</si>
  <si>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</si>
  <si>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</si>
  <si>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</si>
  <si>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</si>
  <si>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</si>
  <si>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</si>
  <si>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</si>
  <si>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</si>
  <si>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</si>
  <si>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</si>
  <si>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</si>
  <si>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</si>
  <si>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</si>
  <si>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</si>
  <si>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</si>
  <si>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</si>
  <si>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</si>
  <si>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</si>
  <si>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</si>
  <si>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</si>
  <si>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</si>
  <si>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</si>
  <si>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</si>
  <si>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</si>
  <si>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</si>
  <si>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</si>
  <si>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</si>
  <si>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</si>
  <si>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</si>
  <si>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</si>
  <si>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</si>
  <si>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</si>
  <si>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</si>
  <si>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</si>
  <si>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</si>
  <si>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</si>
  <si>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</si>
  <si>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</si>
  <si>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</si>
  <si>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</si>
  <si>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</si>
  <si>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</si>
  <si>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</si>
  <si>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</si>
  <si>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</si>
  <si>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</si>
  <si>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</si>
  <si>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</si>
  <si>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</si>
  <si>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</si>
  <si>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</si>
  <si>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</si>
  <si>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</si>
  <si>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</si>
  <si>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</si>
  <si>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</si>
  <si>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</si>
  <si>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</si>
  <si>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</si>
  <si>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</si>
  <si>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</si>
  <si>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</si>
  <si>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</si>
  <si>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</si>
  <si>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</si>
  <si>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</si>
  <si>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</si>
  <si>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</si>
  <si>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</si>
  <si>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</si>
  <si>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</si>
  <si>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</si>
  <si>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</si>
  <si>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</si>
  <si>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</si>
  <si>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</si>
  <si>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</si>
  <si>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</si>
  <si>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</si>
  <si>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</si>
  <si>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</si>
  <si>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</si>
  <si>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</si>
  <si>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</si>
  <si>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</si>
  <si>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</si>
  <si>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</si>
  <si>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</si>
  <si>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</si>
  <si>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</si>
  <si>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</si>
  <si>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</si>
  <si>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</si>
  <si>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</si>
  <si>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</si>
  <si>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</si>
  <si>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</si>
  <si>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</si>
  <si>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</si>
  <si>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</si>
  <si>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</si>
  <si>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</si>
  <si>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</si>
  <si>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</si>
  <si>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</si>
  <si>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</si>
  <si>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</si>
  <si>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</si>
  <si>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</si>
  <si>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</si>
  <si>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</si>
  <si>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</si>
  <si>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</si>
  <si>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</si>
  <si>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</si>
  <si>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</si>
  <si>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</si>
  <si>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</si>
  <si>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</si>
  <si>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</si>
  <si>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</si>
  <si>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</si>
  <si>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</si>
  <si>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</si>
  <si>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</si>
  <si>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</si>
  <si>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</si>
  <si>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</si>
  <si>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</si>
  <si>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</si>
  <si>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</si>
  <si>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</si>
  <si>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</si>
  <si>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</si>
  <si>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</si>
  <si>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</si>
  <si>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</si>
  <si>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</si>
  <si>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</si>
  <si>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</si>
  <si>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</si>
  <si>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</si>
  <si>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</si>
  <si>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</si>
  <si>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</si>
  <si>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</si>
  <si>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</si>
  <si>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</si>
  <si>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</si>
  <si>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</si>
  <si>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</si>
  <si>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</si>
  <si>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</si>
  <si>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</si>
  <si>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</si>
  <si>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</si>
  <si>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</si>
  <si>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</si>
  <si>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</si>
  <si>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</si>
  <si>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</si>
  <si>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</si>
  <si>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</si>
  <si>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</si>
  <si>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</si>
  <si>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</si>
  <si>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</si>
  <si>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</si>
  <si>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</si>
  <si>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</si>
  <si>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</si>
  <si>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</si>
  <si>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</si>
  <si>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</si>
  <si>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</si>
  <si>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</si>
  <si>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</si>
  <si>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</si>
  <si>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</si>
  <si>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</si>
  <si>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</si>
  <si>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</si>
  <si>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</si>
  <si>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</si>
  <si>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</si>
  <si>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</si>
  <si>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</si>
  <si>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</si>
  <si>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</si>
  <si>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</si>
  <si>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</si>
  <si>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</si>
  <si>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</si>
  <si>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</si>
  <si>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</si>
  <si>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</si>
  <si>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</si>
  <si>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</si>
  <si>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</si>
  <si>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</si>
  <si>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</si>
  <si>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</si>
  <si>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</si>
  <si>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</si>
  <si>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</si>
  <si>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</si>
  <si>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</si>
  <si>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</si>
  <si>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</si>
  <si>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</si>
  <si>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</si>
  <si>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</si>
  <si>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</si>
  <si>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</si>
  <si>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</si>
  <si>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</si>
  <si>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</si>
  <si>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</si>
  <si>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</si>
  <si>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</si>
  <si>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</si>
  <si>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</si>
  <si>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</si>
  <si>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</si>
  <si>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</si>
  <si>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</si>
  <si>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</si>
  <si>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</si>
  <si>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</si>
  <si>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</si>
  <si>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</si>
  <si>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</si>
  <si>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</si>
  <si>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</si>
  <si>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</si>
  <si>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</si>
  <si>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</si>
  <si>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</si>
  <si>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</si>
  <si>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</si>
  <si>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</si>
  <si>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</si>
  <si>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</si>
  <si>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</si>
  <si>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</si>
  <si>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</si>
  <si>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</si>
  <si>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</si>
  <si>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</si>
  <si>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</si>
  <si>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</si>
  <si>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</si>
  <si>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</si>
  <si>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</si>
  <si>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</si>
  <si>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</si>
  <si>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</si>
  <si>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</si>
  <si>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</si>
  <si>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</si>
  <si>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</si>
  <si>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</si>
  <si>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</si>
  <si>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</si>
  <si>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</si>
  <si>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</si>
  <si>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</si>
  <si>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</si>
  <si>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</si>
  <si>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</si>
  <si>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</si>
  <si>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</si>
  <si>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</si>
  <si>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</si>
  <si>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</si>
  <si>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</si>
  <si>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</si>
  <si>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</si>
  <si>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</si>
  <si>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</si>
  <si>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</si>
  <si>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</si>
  <si>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</si>
  <si>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</si>
  <si>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</si>
  <si>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</si>
  <si>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</si>
  <si>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</si>
  <si>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TRAPO COSTURADO 1KG</t>
  </si>
  <si>
    <t>ESTOPA BRANCA 1KG</t>
  </si>
  <si>
    <t>OLEO VALVOLINE HYDRAULIC AW 68 1LT</t>
  </si>
  <si>
    <t>VALVULA ESFERA 2" REGISTRO</t>
  </si>
  <si>
    <t>VEDA ROSCA</t>
  </si>
  <si>
    <t>SILICONE WURTH ALTA TEMP</t>
  </si>
  <si>
    <t>PARAFUSO SX 5/8X50</t>
  </si>
  <si>
    <t>DESENGRIPANTE</t>
  </si>
  <si>
    <t>ENFORCA GATO 4,8X300MM</t>
  </si>
  <si>
    <t>TERMINAL ENCAIXE FEMEA C/ TRAVA</t>
  </si>
  <si>
    <t>FITA ISOLANTE 5MT</t>
  </si>
  <si>
    <t>LAVA AUTO SHAMPOO</t>
  </si>
  <si>
    <t>PNEU NV 275 DUNLOP SP320 149/146L</t>
  </si>
  <si>
    <t>AGUA BI DESMINERALIZADA</t>
  </si>
  <si>
    <t>OLEO VALVOLINE 15W40 CK4 1L</t>
  </si>
  <si>
    <t>LIMPA CONTATO TECBRIL</t>
  </si>
  <si>
    <t>ARRUELA DE PRESSAO LISA 5/8</t>
  </si>
  <si>
    <t>PA SX 6X35</t>
  </si>
  <si>
    <t>PA SX 8X35</t>
  </si>
  <si>
    <t>ABRAÇADEIRA 32X44X14MM</t>
  </si>
  <si>
    <t>OLEO MOBIL DELVAC MODERNO 15W40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</si>
</sst>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2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0" fontId="0" fillId="14" borderId="1" xfId="0" applyFill="1" applyBorder="1"/>
    <xf numFmtId="44" fontId="0" fillId="14" borderId="1" xfId="0" applyNumberFormat="1" applyFill="1" applyBorder="1"/>
    <xf numFmtId="44" fontId="0" fillId="14" borderId="1" xfId="2" applyFont="1" applyFill="1" applyBorder="1" applyAlignment="1"/>
    <xf numFmtId="44" fontId="15" fillId="14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1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1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1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1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1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1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1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1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1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1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1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1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1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1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1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1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17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1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1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16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1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1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1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1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1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1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16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1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1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1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1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1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1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1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1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1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1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1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1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1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abSelected="1" topLeftCell="A2329" zoomScale="70" zoomScaleNormal="70" workbookViewId="0">
      <selection activeCell="F2347" sqref="F234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6" t="s">
        <v>8</v>
      </c>
      <c r="C1" s="137"/>
      <c r="D1" s="137"/>
      <c r="E1" s="137"/>
      <c r="F1" s="137"/>
      <c r="G1" s="137"/>
      <c r="H1" s="137"/>
      <c r="I1" s="137"/>
      <c r="J1" s="137"/>
      <c r="K1" s="137"/>
      <c r="L1" s="138"/>
      <c r="M1" s="136" t="s">
        <v>261</v>
      </c>
      <c r="N1" s="137"/>
      <c r="O1" s="137"/>
      <c r="P1" s="137"/>
      <c r="Q1" s="137"/>
      <c r="R1" s="137"/>
      <c r="S1" s="138"/>
    </row>
    <row r="2" spans="2:19" ht="14.45" customHeight="1">
      <c r="B2" s="139"/>
      <c r="C2" s="140"/>
      <c r="D2" s="140"/>
      <c r="E2" s="140"/>
      <c r="F2" s="140"/>
      <c r="G2" s="140"/>
      <c r="H2" s="140"/>
      <c r="I2" s="140"/>
      <c r="J2" s="140"/>
      <c r="K2" s="140"/>
      <c r="L2" s="141"/>
      <c r="M2" s="139"/>
      <c r="N2" s="140"/>
      <c r="O2" s="140"/>
      <c r="P2" s="140"/>
      <c r="Q2" s="140"/>
      <c r="R2" s="140"/>
      <c r="S2" s="141"/>
    </row>
    <row r="3" spans="2:19" ht="14.45" customHeight="1">
      <c r="B3" s="142"/>
      <c r="C3" s="143"/>
      <c r="D3" s="143"/>
      <c r="E3" s="143"/>
      <c r="F3" s="143"/>
      <c r="G3" s="143"/>
      <c r="H3" s="143"/>
      <c r="I3" s="143"/>
      <c r="J3" s="143"/>
      <c r="K3" s="143"/>
      <c r="L3" s="144"/>
      <c r="M3" s="142"/>
      <c r="N3" s="143"/>
      <c r="O3" s="143"/>
      <c r="P3" s="143"/>
      <c r="Q3" s="143"/>
      <c r="R3" s="143"/>
      <c r="S3" s="144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3" t="str">
        <f>M$1</f>
        <v>BM JANEIRO 2026</v>
      </c>
      <c r="N5" s="133"/>
      <c r="O5" s="133"/>
      <c r="P5" s="19" t="s">
        <v>10</v>
      </c>
      <c r="Q5" s="134"/>
      <c r="R5" s="134"/>
      <c r="S5" s="134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33" t="str">
        <f>M$1</f>
        <v>BM JANEIRO 2026</v>
      </c>
      <c r="N36" s="133"/>
      <c r="O36" s="133"/>
      <c r="P36" s="19" t="s">
        <v>10</v>
      </c>
      <c r="Q36" s="134"/>
      <c r="R36" s="134"/>
      <c r="S36" s="134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33" t="str">
        <f>M$1</f>
        <v>BM JANEIRO 2026</v>
      </c>
      <c r="N67" s="133"/>
      <c r="O67" s="133"/>
      <c r="P67" s="19" t="s">
        <v>10</v>
      </c>
      <c r="Q67" s="134"/>
      <c r="R67" s="134"/>
      <c r="S67" s="134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33" t="str">
        <f>M$1</f>
        <v>BM JANEIRO 2026</v>
      </c>
      <c r="N98" s="133"/>
      <c r="O98" s="133"/>
      <c r="P98" s="19" t="s">
        <v>10</v>
      </c>
      <c r="Q98" s="134"/>
      <c r="R98" s="134"/>
      <c r="S98" s="134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33" t="str">
        <f>M$1</f>
        <v>BM JANEIRO 2026</v>
      </c>
      <c r="N129" s="133"/>
      <c r="O129" s="133"/>
      <c r="P129" s="19" t="s">
        <v>10</v>
      </c>
      <c r="Q129" s="134"/>
      <c r="R129" s="134"/>
      <c r="S129" s="134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33" t="str">
        <f>M$1</f>
        <v>BM JANEIRO 2026</v>
      </c>
      <c r="N160" s="133"/>
      <c r="O160" s="133"/>
      <c r="P160" s="19" t="s">
        <v>10</v>
      </c>
      <c r="Q160" s="134"/>
      <c r="R160" s="134"/>
      <c r="S160" s="134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33" t="str">
        <f>M$1</f>
        <v>BM JANEIRO 2026</v>
      </c>
      <c r="N191" s="133"/>
      <c r="O191" s="133"/>
      <c r="P191" s="19" t="s">
        <v>10</v>
      </c>
      <c r="Q191" s="134"/>
      <c r="R191" s="134"/>
      <c r="S191" s="134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33" t="str">
        <f>M$1</f>
        <v>BM JANEIRO 2026</v>
      </c>
      <c r="N222" s="133"/>
      <c r="O222" s="133"/>
      <c r="P222" s="19" t="s">
        <v>10</v>
      </c>
      <c r="Q222" s="134"/>
      <c r="R222" s="134"/>
      <c r="S222" s="134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33" t="str">
        <f>M$1</f>
        <v>BM JANEIRO 2026</v>
      </c>
      <c r="N253" s="133"/>
      <c r="O253" s="133"/>
      <c r="P253" s="19" t="s">
        <v>10</v>
      </c>
      <c r="Q253" s="134"/>
      <c r="R253" s="134"/>
      <c r="S253" s="134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33" t="str">
        <f>M$1</f>
        <v>BM JANEIRO 2026</v>
      </c>
      <c r="N284" s="133"/>
      <c r="O284" s="133"/>
      <c r="P284" s="19" t="s">
        <v>10</v>
      </c>
      <c r="Q284" s="134"/>
      <c r="R284" s="134"/>
      <c r="S284" s="134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33" t="str">
        <f>M$1</f>
        <v>BM JANEIRO 2026</v>
      </c>
      <c r="N315" s="133"/>
      <c r="O315" s="133"/>
      <c r="P315" s="19" t="s">
        <v>10</v>
      </c>
      <c r="Q315" s="134"/>
      <c r="R315" s="134"/>
      <c r="S315" s="134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33" t="str">
        <f>M$1</f>
        <v>BM JANEIRO 2026</v>
      </c>
      <c r="N346" s="133"/>
      <c r="O346" s="133"/>
      <c r="P346" s="19" t="s">
        <v>10</v>
      </c>
      <c r="Q346" s="134" t="s">
        <v>259</v>
      </c>
      <c r="R346" s="134"/>
      <c r="S346" s="134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33" t="str">
        <f>M$1</f>
        <v>BM JANEIRO 2026</v>
      </c>
      <c r="N377" s="133"/>
      <c r="O377" s="133"/>
      <c r="P377" s="19" t="s">
        <v>10</v>
      </c>
      <c r="Q377" s="134"/>
      <c r="R377" s="134"/>
      <c r="S377" s="134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33" t="str">
        <f>M$1</f>
        <v>BM JANEIRO 2026</v>
      </c>
      <c r="N408" s="133"/>
      <c r="O408" s="133"/>
      <c r="P408" s="19" t="s">
        <v>10</v>
      </c>
      <c r="Q408" s="134"/>
      <c r="R408" s="134"/>
      <c r="S408" s="134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33" t="str">
        <f>M$1</f>
        <v>BM JANEIRO 2026</v>
      </c>
      <c r="N439" s="133"/>
      <c r="O439" s="133"/>
      <c r="P439" s="19" t="s">
        <v>10</v>
      </c>
      <c r="Q439" s="134"/>
      <c r="R439" s="134"/>
      <c r="S439" s="134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33" t="str">
        <f>M$1</f>
        <v>BM JANEIRO 2026</v>
      </c>
      <c r="N470" s="133"/>
      <c r="O470" s="133"/>
      <c r="P470" s="19" t="s">
        <v>10</v>
      </c>
      <c r="Q470" s="134"/>
      <c r="R470" s="134"/>
      <c r="S470" s="134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33" t="str">
        <f>M$1</f>
        <v>BM JANEIRO 2026</v>
      </c>
      <c r="N501" s="133"/>
      <c r="O501" s="133"/>
      <c r="P501" s="19" t="s">
        <v>10</v>
      </c>
      <c r="Q501" s="134"/>
      <c r="R501" s="134"/>
      <c r="S501" s="134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33" t="str">
        <f>M$1</f>
        <v>BM JANEIRO 2026</v>
      </c>
      <c r="N532" s="133"/>
      <c r="O532" s="133"/>
      <c r="P532" s="19" t="s">
        <v>10</v>
      </c>
      <c r="Q532" s="134"/>
      <c r="R532" s="134"/>
      <c r="S532" s="134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33" t="str">
        <f>M$1</f>
        <v>BM JANEIRO 2026</v>
      </c>
      <c r="N563" s="133"/>
      <c r="O563" s="133"/>
      <c r="P563" s="19" t="s">
        <v>10</v>
      </c>
      <c r="Q563" s="134"/>
      <c r="R563" s="134"/>
      <c r="S563" s="134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33" t="str">
        <f>M$1</f>
        <v>BM JANEIRO 2026</v>
      </c>
      <c r="N594" s="133"/>
      <c r="O594" s="133"/>
      <c r="P594" s="19" t="s">
        <v>10</v>
      </c>
      <c r="Q594" s="134"/>
      <c r="R594" s="134"/>
      <c r="S594" s="134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33" t="str">
        <f>M$1</f>
        <v>BM JANEIRO 2026</v>
      </c>
      <c r="N625" s="133"/>
      <c r="O625" s="133"/>
      <c r="P625" s="19" t="s">
        <v>10</v>
      </c>
      <c r="Q625" s="134" t="s">
        <v>267</v>
      </c>
      <c r="R625" s="134"/>
      <c r="S625" s="134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33" t="str">
        <f>M$1</f>
        <v>BM JANEIRO 2026</v>
      </c>
      <c r="N656" s="133"/>
      <c r="O656" s="133"/>
      <c r="P656" s="19" t="s">
        <v>10</v>
      </c>
      <c r="Q656" s="134" t="s">
        <v>198</v>
      </c>
      <c r="R656" s="134"/>
      <c r="S656" s="134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33" t="str">
        <f>M$1</f>
        <v>BM JANEIRO 2026</v>
      </c>
      <c r="N687" s="133"/>
      <c r="O687" s="133"/>
      <c r="P687" s="19" t="s">
        <v>10</v>
      </c>
      <c r="Q687" s="134" t="s">
        <v>207</v>
      </c>
      <c r="R687" s="134"/>
      <c r="S687" s="134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33" t="str">
        <f>M$1</f>
        <v>BM JANEIRO 2026</v>
      </c>
      <c r="N718" s="133"/>
      <c r="O718" s="133"/>
      <c r="P718" s="19" t="s">
        <v>10</v>
      </c>
      <c r="Q718" s="134" t="s">
        <v>208</v>
      </c>
      <c r="R718" s="134"/>
      <c r="S718" s="134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33" t="str">
        <f>M$1</f>
        <v>BM JANEIRO 2026</v>
      </c>
      <c r="N749" s="133"/>
      <c r="O749" s="133"/>
      <c r="P749" s="19" t="s">
        <v>10</v>
      </c>
      <c r="Q749" s="134"/>
      <c r="R749" s="134"/>
      <c r="S749" s="134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33" t="str">
        <f>M$1</f>
        <v>BM JANEIRO 2026</v>
      </c>
      <c r="N780" s="133"/>
      <c r="O780" s="133"/>
      <c r="P780" s="19" t="s">
        <v>10</v>
      </c>
      <c r="Q780" s="134"/>
      <c r="R780" s="134"/>
      <c r="S780" s="134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33" t="str">
        <f>M$1</f>
        <v>BM JANEIRO 2026</v>
      </c>
      <c r="N811" s="133"/>
      <c r="O811" s="133"/>
      <c r="P811" s="19" t="s">
        <v>10</v>
      </c>
      <c r="Q811" s="134"/>
      <c r="R811" s="134"/>
      <c r="S811" s="134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33" t="str">
        <f>M$1</f>
        <v>BM JANEIRO 2026</v>
      </c>
      <c r="N842" s="133"/>
      <c r="O842" s="133"/>
      <c r="P842" s="19" t="s">
        <v>10</v>
      </c>
      <c r="Q842" s="134"/>
      <c r="R842" s="134"/>
      <c r="S842" s="134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33" t="str">
        <f>M$1</f>
        <v>BM JANEIRO 2026</v>
      </c>
      <c r="N873" s="133"/>
      <c r="O873" s="133"/>
      <c r="P873" s="19" t="s">
        <v>10</v>
      </c>
      <c r="Q873" s="134"/>
      <c r="R873" s="134"/>
      <c r="S873" s="134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33" t="str">
        <f>M$1</f>
        <v>BM JANEIRO 2026</v>
      </c>
      <c r="N904" s="133"/>
      <c r="O904" s="133"/>
      <c r="P904" s="19" t="s">
        <v>10</v>
      </c>
      <c r="Q904" s="134"/>
      <c r="R904" s="134"/>
      <c r="S904" s="134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33" t="str">
        <f>M$1</f>
        <v>BM JANEIRO 2026</v>
      </c>
      <c r="N935" s="133"/>
      <c r="O935" s="133"/>
      <c r="P935" s="19" t="s">
        <v>10</v>
      </c>
      <c r="Q935" s="134"/>
      <c r="R935" s="134"/>
      <c r="S935" s="134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33" t="str">
        <f>M$1</f>
        <v>BM JANEIRO 2026</v>
      </c>
      <c r="N966" s="133"/>
      <c r="O966" s="133"/>
      <c r="P966" s="19" t="s">
        <v>10</v>
      </c>
      <c r="Q966" s="134" t="s">
        <v>275</v>
      </c>
      <c r="R966" s="134"/>
      <c r="S966" s="134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6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33" t="str">
        <f>M$1</f>
        <v>BM JANEIRO 2026</v>
      </c>
      <c r="N997" s="133"/>
      <c r="O997" s="133"/>
      <c r="P997" s="19" t="s">
        <v>10</v>
      </c>
      <c r="Q997" s="134"/>
      <c r="R997" s="134"/>
      <c r="S997" s="134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>
      <c r="D1027" s="1"/>
    </row>
    <row r="1028" spans="2:19">
      <c r="B1028" s="120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33" t="str">
        <f>M$1</f>
        <v>BM JANEIRO 2026</v>
      </c>
      <c r="N1028" s="133"/>
      <c r="O1028" s="133"/>
      <c r="P1028" s="19" t="s">
        <v>10</v>
      </c>
      <c r="Q1028" s="134" t="s">
        <v>188</v>
      </c>
      <c r="R1028" s="134"/>
      <c r="S1028" s="134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33" t="str">
        <f>M$1</f>
        <v>BM JANEIRO 2026</v>
      </c>
      <c r="N1059" s="133"/>
      <c r="O1059" s="133"/>
      <c r="P1059" s="19" t="s">
        <v>10</v>
      </c>
      <c r="Q1059" s="134" t="s">
        <v>209</v>
      </c>
      <c r="R1059" s="134"/>
      <c r="S1059" s="134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33" t="str">
        <f>M$1</f>
        <v>BM JANEIRO 2026</v>
      </c>
      <c r="N1090" s="133"/>
      <c r="O1090" s="133"/>
      <c r="P1090" s="19" t="s">
        <v>10</v>
      </c>
      <c r="Q1090" s="134" t="s">
        <v>199</v>
      </c>
      <c r="R1090" s="134"/>
      <c r="S1090" s="134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33" t="str">
        <f>M$1</f>
        <v>BM JANEIRO 2026</v>
      </c>
      <c r="N1121" s="133"/>
      <c r="O1121" s="133"/>
      <c r="P1121" s="19" t="s">
        <v>228</v>
      </c>
      <c r="Q1121" s="134" t="s">
        <v>229</v>
      </c>
      <c r="R1121" s="134"/>
      <c r="S1121" s="134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33" t="str">
        <f>M$1</f>
        <v>BM JANEIRO 2026</v>
      </c>
      <c r="N1152" s="133"/>
      <c r="O1152" s="133"/>
      <c r="P1152" s="19" t="s">
        <v>10</v>
      </c>
      <c r="Q1152" s="134" t="s">
        <v>210</v>
      </c>
      <c r="R1152" s="134"/>
      <c r="S1152" s="134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33" t="str">
        <f>M$1</f>
        <v>BM JANEIRO 2026</v>
      </c>
      <c r="N1183" s="133"/>
      <c r="O1183" s="133"/>
      <c r="P1183" s="19" t="s">
        <v>10</v>
      </c>
      <c r="Q1183" s="134"/>
      <c r="R1183" s="134"/>
      <c r="S1183" s="134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33" t="str">
        <f>M$1</f>
        <v>BM JANEIRO 2026</v>
      </c>
      <c r="N1214" s="133"/>
      <c r="O1214" s="133"/>
      <c r="P1214" s="19" t="s">
        <v>10</v>
      </c>
      <c r="Q1214" s="134" t="s">
        <v>211</v>
      </c>
      <c r="R1214" s="134"/>
      <c r="S1214" s="134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33" t="str">
        <f>M$1</f>
        <v>BM JANEIRO 2026</v>
      </c>
      <c r="N1245" s="133"/>
      <c r="O1245" s="133"/>
      <c r="P1245" s="19" t="s">
        <v>10</v>
      </c>
      <c r="Q1245" s="134" t="s">
        <v>258</v>
      </c>
      <c r="R1245" s="134"/>
      <c r="S1245" s="134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33" t="str">
        <f>M$1</f>
        <v>BM JANEIRO 2026</v>
      </c>
      <c r="N1276" s="133"/>
      <c r="O1276" s="133"/>
      <c r="P1276" s="19" t="s">
        <v>10</v>
      </c>
      <c r="Q1276" s="134"/>
      <c r="R1276" s="134"/>
      <c r="S1276" s="134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33" t="str">
        <f>M$1</f>
        <v>BM JANEIRO 2026</v>
      </c>
      <c r="N1307" s="133"/>
      <c r="O1307" s="133"/>
      <c r="P1307" s="19" t="s">
        <v>10</v>
      </c>
      <c r="Q1307" s="134" t="s">
        <v>189</v>
      </c>
      <c r="R1307" s="134"/>
      <c r="S1307" s="134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33" t="str">
        <f>M$1</f>
        <v>BM JANEIRO 2026</v>
      </c>
      <c r="N1338" s="133"/>
      <c r="O1338" s="133"/>
      <c r="P1338" s="19" t="s">
        <v>10</v>
      </c>
      <c r="Q1338" s="134"/>
      <c r="R1338" s="134"/>
      <c r="S1338" s="134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33" t="str">
        <f>M$1</f>
        <v>BM JANEIRO 2026</v>
      </c>
      <c r="N1369" s="133"/>
      <c r="O1369" s="133"/>
      <c r="P1369" s="19" t="s">
        <v>10</v>
      </c>
      <c r="Q1369" s="134"/>
      <c r="R1369" s="134"/>
      <c r="S1369" s="134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33" t="str">
        <f>M$1</f>
        <v>BM JANEIRO 2026</v>
      </c>
      <c r="N1400" s="133"/>
      <c r="O1400" s="133"/>
      <c r="P1400" s="19" t="s">
        <v>10</v>
      </c>
      <c r="Q1400" s="134" t="s">
        <v>264</v>
      </c>
      <c r="R1400" s="134"/>
      <c r="S1400" s="134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33" t="str">
        <f>M$1</f>
        <v>BM JANEIRO 2026</v>
      </c>
      <c r="N1431" s="133"/>
      <c r="O1431" s="133"/>
      <c r="P1431" s="19" t="s">
        <v>10</v>
      </c>
      <c r="Q1431" s="134" t="s">
        <v>243</v>
      </c>
      <c r="R1431" s="134"/>
      <c r="S1431" s="134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33" t="str">
        <f>M$1</f>
        <v>BM JANEIRO 2026</v>
      </c>
      <c r="N1462" s="133"/>
      <c r="O1462" s="133"/>
      <c r="P1462" s="19" t="s">
        <v>10</v>
      </c>
      <c r="Q1462" s="134" t="s">
        <v>239</v>
      </c>
      <c r="R1462" s="134"/>
      <c r="S1462" s="134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33" t="str">
        <f>M$1</f>
        <v>BM JANEIRO 2026</v>
      </c>
      <c r="N1493" s="133"/>
      <c r="O1493" s="133"/>
      <c r="P1493" s="19" t="s">
        <v>10</v>
      </c>
      <c r="Q1493" s="134" t="s">
        <v>212</v>
      </c>
      <c r="R1493" s="134"/>
      <c r="S1493" s="134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5" customFormat="1" outlineLevel="1">
      <c r="B1506" s="115" t="s">
        <v>116</v>
      </c>
      <c r="C1506" s="123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3" t="s">
        <v>251</v>
      </c>
      <c r="I1506" s="117">
        <f t="shared" si="302"/>
        <v>514.28571428571433</v>
      </c>
      <c r="J1506" s="123"/>
      <c r="K1506" s="116">
        <v>1</v>
      </c>
      <c r="L1506" s="116"/>
      <c r="M1506" s="114"/>
      <c r="N1506" s="116"/>
      <c r="O1506" s="124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33" t="str">
        <f>M$1</f>
        <v>BM JANEIRO 2026</v>
      </c>
      <c r="N1524" s="133"/>
      <c r="O1524" s="133"/>
      <c r="P1524" s="19" t="s">
        <v>10</v>
      </c>
      <c r="Q1524" s="134"/>
      <c r="R1524" s="134"/>
      <c r="S1524" s="134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33" t="str">
        <f>M$1</f>
        <v>BM JANEIRO 2026</v>
      </c>
      <c r="N1555" s="133"/>
      <c r="O1555" s="133"/>
      <c r="P1555" s="19" t="s">
        <v>10</v>
      </c>
      <c r="Q1555" s="134" t="s">
        <v>193</v>
      </c>
      <c r="R1555" s="134"/>
      <c r="S1555" s="134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7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33" t="str">
        <f>M$1</f>
        <v>BM JANEIRO 2026</v>
      </c>
      <c r="N1586" s="133"/>
      <c r="O1586" s="133"/>
      <c r="P1586" s="19" t="s">
        <v>10</v>
      </c>
      <c r="Q1586" s="134"/>
      <c r="R1586" s="134"/>
      <c r="S1586" s="134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33" t="str">
        <f>M$1</f>
        <v>BM JANEIRO 2026</v>
      </c>
      <c r="N1617" s="133"/>
      <c r="O1617" s="133"/>
      <c r="P1617" s="19" t="s">
        <v>10</v>
      </c>
      <c r="Q1617" s="134" t="s">
        <v>256</v>
      </c>
      <c r="R1617" s="134"/>
      <c r="S1617" s="134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33" t="str">
        <f>M$1</f>
        <v>BM JANEIRO 2026</v>
      </c>
      <c r="N1648" s="133"/>
      <c r="O1648" s="133"/>
      <c r="P1648" s="19" t="s">
        <v>10</v>
      </c>
      <c r="Q1648" s="134" t="s">
        <v>247</v>
      </c>
      <c r="R1648" s="134"/>
      <c r="S1648" s="134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3" t="str">
        <f>M$1</f>
        <v>BM JANEIRO 2026</v>
      </c>
      <c r="N1679" s="133"/>
      <c r="O1679" s="133"/>
      <c r="P1679" s="19" t="s">
        <v>10</v>
      </c>
      <c r="Q1679" s="134" t="s">
        <v>195</v>
      </c>
      <c r="R1679" s="134"/>
      <c r="S1679" s="134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33" t="str">
        <f>M$1</f>
        <v>BM JANEIRO 2026</v>
      </c>
      <c r="N1710" s="133"/>
      <c r="O1710" s="133"/>
      <c r="P1710" s="19" t="s">
        <v>10</v>
      </c>
      <c r="Q1710" s="134" t="s">
        <v>241</v>
      </c>
      <c r="R1710" s="134"/>
      <c r="S1710" s="134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33" t="str">
        <f>M$1</f>
        <v>BM JANEIRO 2026</v>
      </c>
      <c r="N1741" s="133"/>
      <c r="O1741" s="133"/>
      <c r="P1741" s="19" t="s">
        <v>10</v>
      </c>
      <c r="Q1741" s="134" t="s">
        <v>237</v>
      </c>
      <c r="R1741" s="134"/>
      <c r="S1741" s="134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7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33" t="str">
        <f>M$1</f>
        <v>BM JANEIRO 2026</v>
      </c>
      <c r="N1772" s="133"/>
      <c r="O1772" s="133"/>
      <c r="P1772" s="19" t="s">
        <v>10</v>
      </c>
      <c r="Q1772" s="134" t="s">
        <v>213</v>
      </c>
      <c r="R1772" s="134"/>
      <c r="S1772" s="134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33" t="str">
        <f>M$1</f>
        <v>BM JANEIRO 2026</v>
      </c>
      <c r="N1803" s="133"/>
      <c r="O1803" s="133"/>
      <c r="P1803" s="19" t="s">
        <v>10</v>
      </c>
      <c r="Q1803" s="134" t="s">
        <v>214</v>
      </c>
      <c r="R1803" s="134"/>
      <c r="S1803" s="134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33" t="str">
        <f>M$1</f>
        <v>BM JANEIRO 2026</v>
      </c>
      <c r="N1834" s="133"/>
      <c r="O1834" s="133"/>
      <c r="P1834" s="19" t="s">
        <v>10</v>
      </c>
      <c r="Q1834" s="134" t="s">
        <v>260</v>
      </c>
      <c r="R1834" s="134"/>
      <c r="S1834" s="134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>
        <v>2981.5</v>
      </c>
      <c r="F1859" s="15">
        <v>2991</v>
      </c>
      <c r="G1859" s="15">
        <f t="shared" si="377"/>
        <v>9.5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>
        <v>2991</v>
      </c>
      <c r="F1860" s="15">
        <v>2997.1</v>
      </c>
      <c r="G1860" s="15">
        <f t="shared" si="377"/>
        <v>6.0999999999999091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>
        <v>2997.1</v>
      </c>
      <c r="F1861" s="15">
        <v>3002.6</v>
      </c>
      <c r="G1861" s="15">
        <f t="shared" si="377"/>
        <v>5.5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33" t="str">
        <f>M$1</f>
        <v>BM JANEIRO 2026</v>
      </c>
      <c r="N1865" s="133"/>
      <c r="O1865" s="133"/>
      <c r="P1865" s="19" t="s">
        <v>10</v>
      </c>
      <c r="Q1865" s="134" t="s">
        <v>236</v>
      </c>
      <c r="R1865" s="134"/>
      <c r="S1865" s="134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6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33" t="str">
        <f>M$1</f>
        <v>BM JANEIRO 2026</v>
      </c>
      <c r="N1896" s="133"/>
      <c r="O1896" s="133"/>
      <c r="P1896" s="19" t="s">
        <v>10</v>
      </c>
      <c r="Q1896" s="134" t="s">
        <v>242</v>
      </c>
      <c r="R1896" s="134"/>
      <c r="S1896" s="134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33" t="str">
        <f>M$1</f>
        <v>BM JANEIRO 2026</v>
      </c>
      <c r="N1927" s="133"/>
      <c r="O1927" s="133"/>
      <c r="P1927" s="19" t="s">
        <v>10</v>
      </c>
      <c r="Q1927" s="134" t="s">
        <v>266</v>
      </c>
      <c r="R1927" s="134"/>
      <c r="S1927" s="134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33" t="str">
        <f>M$1</f>
        <v>BM JANEIRO 2026</v>
      </c>
      <c r="N1958" s="133"/>
      <c r="O1958" s="133"/>
      <c r="P1958" s="19" t="s">
        <v>10</v>
      </c>
      <c r="Q1958" s="134" t="s">
        <v>250</v>
      </c>
      <c r="R1958" s="134"/>
      <c r="S1958" s="134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33" t="str">
        <f>M$1</f>
        <v>BM JANEIRO 2026</v>
      </c>
      <c r="N1989" s="133"/>
      <c r="O1989" s="133"/>
      <c r="P1989" s="19" t="s">
        <v>10</v>
      </c>
      <c r="Q1989" s="134" t="s">
        <v>240</v>
      </c>
      <c r="R1989" s="134"/>
      <c r="S1989" s="134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6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33" t="str">
        <f>M$1</f>
        <v>BM JANEIRO 2026</v>
      </c>
      <c r="N2020" s="133"/>
      <c r="O2020" s="133"/>
      <c r="P2020" s="19" t="s">
        <v>10</v>
      </c>
      <c r="Q2020" s="134" t="s">
        <v>257</v>
      </c>
      <c r="R2020" s="134"/>
      <c r="S2020" s="134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>
        <v>169490.7</v>
      </c>
      <c r="F2027" s="21">
        <v>169660.2</v>
      </c>
      <c r="G2027" s="15">
        <f t="shared" si="418"/>
        <v>169.5</v>
      </c>
      <c r="H2027" s="16" t="s">
        <v>278</v>
      </c>
      <c r="I2027" s="10">
        <f t="shared" si="417"/>
        <v>714.28571428571433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>
        <v>169660.2</v>
      </c>
      <c r="F2028" s="21">
        <v>169673.2</v>
      </c>
      <c r="G2028" s="15">
        <f t="shared" si="418"/>
        <v>13</v>
      </c>
      <c r="H2028" s="16" t="s">
        <v>278</v>
      </c>
      <c r="I2028" s="10">
        <f t="shared" si="417"/>
        <v>714.28571428571433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>
        <v>169673</v>
      </c>
      <c r="F2030" s="21">
        <v>169818.5</v>
      </c>
      <c r="G2030" s="15">
        <f t="shared" si="418"/>
        <v>145.5</v>
      </c>
      <c r="H2030" s="16" t="s">
        <v>278</v>
      </c>
      <c r="I2030" s="10">
        <f t="shared" si="417"/>
        <v>714.28571428571433</v>
      </c>
      <c r="J2030" s="16"/>
      <c r="K2030" s="15">
        <v>1</v>
      </c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>
        <v>169818.5</v>
      </c>
      <c r="F2031" s="21">
        <v>169824.9</v>
      </c>
      <c r="G2031" s="15">
        <f t="shared" si="418"/>
        <v>6.3999999999941792</v>
      </c>
      <c r="H2031" s="16" t="s">
        <v>278</v>
      </c>
      <c r="I2031" s="10">
        <f t="shared" si="417"/>
        <v>714.28571428571433</v>
      </c>
      <c r="J2031" s="16"/>
      <c r="K2031" s="15">
        <v>1</v>
      </c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>
        <v>169824.9</v>
      </c>
      <c r="F2032" s="21">
        <v>169890.8</v>
      </c>
      <c r="G2032" s="15">
        <f t="shared" si="418"/>
        <v>65.899999999994179</v>
      </c>
      <c r="H2032" s="16" t="s">
        <v>278</v>
      </c>
      <c r="I2032" s="10">
        <f t="shared" si="417"/>
        <v>714.28571428571433</v>
      </c>
      <c r="J2032" s="16"/>
      <c r="K2032" s="15">
        <v>1</v>
      </c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>
        <v>169890.9</v>
      </c>
      <c r="F2033" s="21">
        <v>170008</v>
      </c>
      <c r="G2033" s="15">
        <f t="shared" si="418"/>
        <v>117.10000000000582</v>
      </c>
      <c r="H2033" s="16" t="s">
        <v>278</v>
      </c>
      <c r="I2033" s="10">
        <f t="shared" si="417"/>
        <v>714.28571428571433</v>
      </c>
      <c r="J2033" s="16"/>
      <c r="K2033" s="15">
        <v>1</v>
      </c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/>
      <c r="K2034" s="15">
        <v>1</v>
      </c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>
        <v>170008</v>
      </c>
      <c r="F2035" s="21">
        <v>170059</v>
      </c>
      <c r="G2035" s="15">
        <f t="shared" si="418"/>
        <v>51</v>
      </c>
      <c r="H2035" s="16" t="s">
        <v>278</v>
      </c>
      <c r="I2035" s="10">
        <f t="shared" si="417"/>
        <v>714.28571428571433</v>
      </c>
      <c r="J2035" s="16"/>
      <c r="K2035" s="15">
        <v>1</v>
      </c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>
        <v>170059</v>
      </c>
      <c r="F2037" s="21">
        <v>170104</v>
      </c>
      <c r="G2037" s="15">
        <f t="shared" si="418"/>
        <v>45</v>
      </c>
      <c r="H2037" s="16" t="s">
        <v>278</v>
      </c>
      <c r="I2037" s="10">
        <f t="shared" si="417"/>
        <v>714.28571428571433</v>
      </c>
      <c r="J2037" s="16"/>
      <c r="K2037" s="15">
        <v>1</v>
      </c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>
        <v>170104</v>
      </c>
      <c r="F2038" s="21">
        <v>170221</v>
      </c>
      <c r="G2038" s="15">
        <f t="shared" si="418"/>
        <v>117</v>
      </c>
      <c r="H2038" s="16" t="s">
        <v>278</v>
      </c>
      <c r="I2038" s="10">
        <f t="shared" si="417"/>
        <v>714.28571428571433</v>
      </c>
      <c r="J2038" s="16"/>
      <c r="K2038" s="15">
        <v>1</v>
      </c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>
        <v>170221</v>
      </c>
      <c r="F2039" s="21">
        <v>170286</v>
      </c>
      <c r="G2039" s="15">
        <f t="shared" si="418"/>
        <v>65</v>
      </c>
      <c r="H2039" s="16" t="s">
        <v>278</v>
      </c>
      <c r="I2039" s="10">
        <f t="shared" si="417"/>
        <v>714.28571428571433</v>
      </c>
      <c r="J2039" s="16"/>
      <c r="K2039" s="15">
        <v>1</v>
      </c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>
        <v>170286</v>
      </c>
      <c r="F2040" s="21">
        <v>170337</v>
      </c>
      <c r="G2040" s="15">
        <f t="shared" si="418"/>
        <v>51</v>
      </c>
      <c r="H2040" s="16" t="s">
        <v>278</v>
      </c>
      <c r="I2040" s="10">
        <f t="shared" si="417"/>
        <v>714.28571428571433</v>
      </c>
      <c r="J2040" s="16"/>
      <c r="K2040" s="15">
        <v>1</v>
      </c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>
        <v>170337</v>
      </c>
      <c r="F2041" s="21">
        <v>170487</v>
      </c>
      <c r="G2041" s="15">
        <f t="shared" si="418"/>
        <v>150</v>
      </c>
      <c r="H2041" s="16" t="s">
        <v>278</v>
      </c>
      <c r="I2041" s="10">
        <f t="shared" si="417"/>
        <v>714.28571428571433</v>
      </c>
      <c r="J2041" s="16"/>
      <c r="K2041" s="15">
        <v>1</v>
      </c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21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15">
        <v>170497</v>
      </c>
      <c r="F2044" s="15">
        <v>170506</v>
      </c>
      <c r="G2044" s="15">
        <f t="shared" si="418"/>
        <v>9</v>
      </c>
      <c r="H2044" s="16" t="s">
        <v>278</v>
      </c>
      <c r="I2044" s="10">
        <f t="shared" si="417"/>
        <v>714.28571428571433</v>
      </c>
      <c r="J2044" s="16"/>
      <c r="K2044" s="15">
        <v>1</v>
      </c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15">
        <v>170506</v>
      </c>
      <c r="F2045" s="15">
        <v>170512</v>
      </c>
      <c r="G2045" s="15">
        <f t="shared" si="418"/>
        <v>6</v>
      </c>
      <c r="H2045" s="16" t="s">
        <v>278</v>
      </c>
      <c r="I2045" s="10">
        <f t="shared" si="417"/>
        <v>714.28571428571433</v>
      </c>
      <c r="J2045" s="16"/>
      <c r="K2045" s="15">
        <v>1</v>
      </c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15">
        <v>170512</v>
      </c>
      <c r="F2046" s="15">
        <v>170515</v>
      </c>
      <c r="G2046" s="15">
        <f t="shared" si="418"/>
        <v>3</v>
      </c>
      <c r="H2046" s="16" t="s">
        <v>278</v>
      </c>
      <c r="I2046" s="10">
        <f t="shared" si="417"/>
        <v>714.28571428571433</v>
      </c>
      <c r="J2046" s="16"/>
      <c r="K2046" s="15">
        <v>1</v>
      </c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15">
        <v>170515</v>
      </c>
      <c r="F2047" s="15">
        <v>170520</v>
      </c>
      <c r="G2047" s="15">
        <f t="shared" si="418"/>
        <v>5</v>
      </c>
      <c r="H2047" s="16" t="s">
        <v>278</v>
      </c>
      <c r="I2047" s="10">
        <f t="shared" si="417"/>
        <v>714.28571428571433</v>
      </c>
      <c r="J2047" s="16"/>
      <c r="K2047" s="15">
        <v>1</v>
      </c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15">
        <v>170520</v>
      </c>
      <c r="F2048" s="15">
        <v>170655</v>
      </c>
      <c r="G2048" s="15">
        <f t="shared" si="418"/>
        <v>135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15">
        <v>170655</v>
      </c>
      <c r="F2049" s="15">
        <v>170720</v>
      </c>
      <c r="G2049" s="15">
        <f t="shared" si="418"/>
        <v>65</v>
      </c>
      <c r="H2049" s="16" t="s">
        <v>201</v>
      </c>
      <c r="I2049" s="10">
        <f t="shared" si="417"/>
        <v>714.28571428571433</v>
      </c>
      <c r="J2049" s="16" t="s">
        <v>201</v>
      </c>
      <c r="K2049" s="15"/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33" t="str">
        <f>M$1</f>
        <v>BM JANEIRO 2026</v>
      </c>
      <c r="N2051" s="133"/>
      <c r="O2051" s="133"/>
      <c r="P2051" s="19" t="s">
        <v>10</v>
      </c>
      <c r="Q2051" s="134" t="s">
        <v>197</v>
      </c>
      <c r="R2051" s="134"/>
      <c r="S2051" s="134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>
        <v>2744</v>
      </c>
      <c r="F2075" s="15">
        <v>2747</v>
      </c>
      <c r="G2075" s="15">
        <f t="shared" si="426"/>
        <v>3</v>
      </c>
      <c r="H2075" s="16" t="s">
        <v>203</v>
      </c>
      <c r="I2075" s="10">
        <f t="shared" si="425"/>
        <v>1000</v>
      </c>
      <c r="J2075" s="16"/>
      <c r="K2075" s="15">
        <v>1</v>
      </c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>
        <v>2747</v>
      </c>
      <c r="F2080" s="15">
        <v>2751</v>
      </c>
      <c r="G2080" s="15">
        <f t="shared" si="426"/>
        <v>4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33" t="str">
        <f>M$1</f>
        <v>BM JANEIRO 2026</v>
      </c>
      <c r="N2082" s="133"/>
      <c r="O2082" s="133"/>
      <c r="P2082" s="19" t="s">
        <v>10</v>
      </c>
      <c r="Q2082" s="134" t="s">
        <v>190</v>
      </c>
      <c r="R2082" s="134"/>
      <c r="S2082" s="134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33" t="str">
        <f>M$1</f>
        <v>BM JANEIRO 2026</v>
      </c>
      <c r="N2113" s="133"/>
      <c r="O2113" s="133"/>
      <c r="P2113" s="19" t="s">
        <v>10</v>
      </c>
      <c r="Q2113" s="134" t="s">
        <v>191</v>
      </c>
      <c r="R2113" s="134"/>
      <c r="S2113" s="134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>
      <c r="D2143" s="1"/>
    </row>
    <row r="2144" spans="2:19">
      <c r="B2144" s="122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33" t="str">
        <f>M$1</f>
        <v>BM JANEIRO 2026</v>
      </c>
      <c r="N2144" s="133"/>
      <c r="O2144" s="133"/>
      <c r="P2144" s="19" t="s">
        <v>10</v>
      </c>
      <c r="Q2144" s="134" t="s">
        <v>252</v>
      </c>
      <c r="R2144" s="134"/>
      <c r="S2144" s="134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33" t="str">
        <f>M$1</f>
        <v>BM JANEIRO 2026</v>
      </c>
      <c r="N2175" s="133"/>
      <c r="O2175" s="133"/>
      <c r="P2175" s="19" t="s">
        <v>10</v>
      </c>
      <c r="Q2175" s="134" t="s">
        <v>196</v>
      </c>
      <c r="R2175" s="134"/>
      <c r="S2175" s="134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6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33" t="str">
        <f>M$1</f>
        <v>BM JANEIRO 2026</v>
      </c>
      <c r="N2206" s="133"/>
      <c r="O2206" s="133"/>
      <c r="P2206" s="19" t="s">
        <v>10</v>
      </c>
      <c r="Q2206" s="135" t="s">
        <v>263</v>
      </c>
      <c r="R2206" s="135"/>
      <c r="S2206" s="135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6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>
        <v>1666.3</v>
      </c>
      <c r="F2230" s="15">
        <v>1674</v>
      </c>
      <c r="G2230" s="15">
        <f t="shared" si="460"/>
        <v>7.7000000000000455</v>
      </c>
      <c r="H2230" s="16" t="s">
        <v>203</v>
      </c>
      <c r="I2230" s="10">
        <f t="shared" si="459"/>
        <v>514.28571428571433</v>
      </c>
      <c r="J2230" s="16"/>
      <c r="K2230" s="15">
        <v>1</v>
      </c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>
        <v>1674.8</v>
      </c>
      <c r="F2233" s="15">
        <v>1677.2</v>
      </c>
      <c r="G2233" s="15">
        <f t="shared" si="460"/>
        <v>2.4000000000000909</v>
      </c>
      <c r="H2233" s="16" t="s">
        <v>203</v>
      </c>
      <c r="I2233" s="10">
        <f t="shared" si="459"/>
        <v>514.28571428571433</v>
      </c>
      <c r="J2233" s="16"/>
      <c r="K2233" s="15">
        <v>1</v>
      </c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33" t="str">
        <f>M$1</f>
        <v>BM JANEIRO 2026</v>
      </c>
      <c r="N2237" s="133"/>
      <c r="O2237" s="133"/>
      <c r="P2237" s="19" t="s">
        <v>10</v>
      </c>
      <c r="Q2237" s="134" t="s">
        <v>192</v>
      </c>
      <c r="R2237" s="134"/>
      <c r="S2237" s="134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33" t="str">
        <f>M$1</f>
        <v>BM JANEIRO 2026</v>
      </c>
      <c r="N2268" s="133"/>
      <c r="O2268" s="133"/>
      <c r="P2268" s="19" t="s">
        <v>10</v>
      </c>
      <c r="Q2268" s="134" t="s">
        <v>193</v>
      </c>
      <c r="R2268" s="134"/>
      <c r="S2268" s="134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33" t="str">
        <f>M$1</f>
        <v>BM JANEIRO 2026</v>
      </c>
      <c r="N2299" s="133"/>
      <c r="O2299" s="133"/>
      <c r="P2299" s="19" t="s">
        <v>10</v>
      </c>
      <c r="Q2299" s="134" t="s">
        <v>265</v>
      </c>
      <c r="R2299" s="134"/>
      <c r="S2299" s="134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>
        <v>1217.2</v>
      </c>
      <c r="F2311" s="15">
        <v>1224.8</v>
      </c>
      <c r="G2311" s="15">
        <f t="shared" si="480"/>
        <v>7.5999999999999091</v>
      </c>
      <c r="H2311" s="16" t="s">
        <v>262</v>
      </c>
      <c r="I2311" s="10">
        <f t="shared" si="479"/>
        <v>514.28571428571433</v>
      </c>
      <c r="J2311" s="16"/>
      <c r="K2311" s="15">
        <v>1</v>
      </c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>
        <v>1224.8</v>
      </c>
      <c r="F2316" s="15">
        <v>1225.8</v>
      </c>
      <c r="G2316" s="15">
        <f t="shared" si="480"/>
        <v>1</v>
      </c>
      <c r="H2316" s="16" t="s">
        <v>262</v>
      </c>
      <c r="I2316" s="10">
        <f t="shared" si="479"/>
        <v>514.28571428571433</v>
      </c>
      <c r="J2316" s="16"/>
      <c r="K2316" s="15">
        <v>1</v>
      </c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>
        <v>1225.8</v>
      </c>
      <c r="F2317" s="15">
        <v>1231.4000000000001</v>
      </c>
      <c r="G2317" s="15">
        <f t="shared" si="480"/>
        <v>5.6000000000001364</v>
      </c>
      <c r="H2317" s="16" t="s">
        <v>262</v>
      </c>
      <c r="I2317" s="10">
        <f t="shared" si="479"/>
        <v>514.28571428571433</v>
      </c>
      <c r="J2317" s="16"/>
      <c r="K2317" s="15">
        <v>1</v>
      </c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>
        <v>1231.4000000000001</v>
      </c>
      <c r="F2318" s="15">
        <v>1232.9000000000001</v>
      </c>
      <c r="G2318" s="15">
        <f t="shared" si="480"/>
        <v>1.5</v>
      </c>
      <c r="H2318" s="16" t="s">
        <v>262</v>
      </c>
      <c r="I2318" s="10">
        <f t="shared" si="479"/>
        <v>514.28571428571433</v>
      </c>
      <c r="J2318" s="16"/>
      <c r="K2318" s="15">
        <v>1</v>
      </c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>
        <v>1232.9000000000001</v>
      </c>
      <c r="F2319" s="15">
        <v>1236.5999999999999</v>
      </c>
      <c r="G2319" s="15">
        <f t="shared" si="480"/>
        <v>3.6999999999998181</v>
      </c>
      <c r="H2319" s="16" t="s">
        <v>262</v>
      </c>
      <c r="I2319" s="10">
        <f t="shared" si="479"/>
        <v>514.28571428571433</v>
      </c>
      <c r="J2319" s="16"/>
      <c r="K2319" s="15">
        <v>1</v>
      </c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>
        <v>1236.5999999999999</v>
      </c>
      <c r="F2326" s="15">
        <v>1247.0999999999999</v>
      </c>
      <c r="G2326" s="15">
        <f t="shared" si="480"/>
        <v>10.5</v>
      </c>
      <c r="H2326" s="16" t="s">
        <v>262</v>
      </c>
      <c r="I2326" s="10">
        <f t="shared" si="479"/>
        <v>514.28571428571433</v>
      </c>
      <c r="J2326" s="16"/>
      <c r="K2326" s="15">
        <v>1</v>
      </c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33" t="str">
        <f>M$1</f>
        <v>BM JANEIRO 2026</v>
      </c>
      <c r="N2330" s="133"/>
      <c r="O2330" s="133"/>
      <c r="P2330" s="19" t="s">
        <v>10</v>
      </c>
      <c r="Q2330" s="134" t="s">
        <v>253</v>
      </c>
      <c r="R2330" s="134"/>
      <c r="S2330" s="134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58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/>
      <c r="F2334" s="15"/>
      <c r="G2334" s="15">
        <f t="shared" si="483"/>
        <v>0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outlineLevel="1">
      <c r="B2335" s="13" t="s">
        <v>172</v>
      </c>
      <c r="C2335" s="7" t="str">
        <f t="shared" si="484"/>
        <v>ROLO COMPACTADOR HAMM HD90 CHASSIS A05138</v>
      </c>
      <c r="D2335" s="8">
        <f t="shared" si="482"/>
        <v>46057</v>
      </c>
      <c r="E2335" s="15">
        <v>1277.2</v>
      </c>
      <c r="F2335" s="15">
        <v>1280.5</v>
      </c>
      <c r="G2335" s="15">
        <f t="shared" si="483"/>
        <v>3.2999999999999545</v>
      </c>
      <c r="H2335" s="7" t="s">
        <v>262</v>
      </c>
      <c r="I2335" s="10">
        <f t="shared" si="486"/>
        <v>514.28571428571433</v>
      </c>
      <c r="J2335" s="7" t="s">
        <v>16</v>
      </c>
      <c r="K2335" s="118">
        <v>1</v>
      </c>
      <c r="L2335" s="118">
        <v>80</v>
      </c>
      <c r="M2335" s="8">
        <v>46057</v>
      </c>
      <c r="N2335" s="118"/>
      <c r="O2335" s="118"/>
      <c r="P2335" s="118"/>
      <c r="Q2335" s="118"/>
      <c r="R2335" s="118"/>
      <c r="S2335" s="10">
        <f t="shared" si="485"/>
        <v>514.28571428571433</v>
      </c>
    </row>
    <row r="2336" spans="2:19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/>
      <c r="F2336" s="15"/>
      <c r="G2336" s="15">
        <f t="shared" si="483"/>
        <v>0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 t="shared" si="483"/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si="483"/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3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3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>
        <v>1280.5</v>
      </c>
      <c r="F2341" s="15">
        <v>1286.4000000000001</v>
      </c>
      <c r="G2341" s="15">
        <f t="shared" si="483"/>
        <v>5.9000000000000909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>
        <v>1286.4000000000001</v>
      </c>
      <c r="F2342" s="15">
        <v>1287.5</v>
      </c>
      <c r="G2342" s="15">
        <f t="shared" si="483"/>
        <v>1.0999999999999091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>
        <v>1287.5</v>
      </c>
      <c r="F2343" s="15">
        <v>1290.5999999999999</v>
      </c>
      <c r="G2343" s="15">
        <f t="shared" si="483"/>
        <v>3.0999999999999091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>
        <v>1290.5999999999999</v>
      </c>
      <c r="F2344" s="15">
        <v>1293.7</v>
      </c>
      <c r="G2344" s="15">
        <f t="shared" si="483"/>
        <v>3.1000000000001364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7">O2343</f>
        <v>0</v>
      </c>
      <c r="P2344" s="9"/>
      <c r="Q2344" s="9"/>
      <c r="R2344" s="9"/>
      <c r="S2344" s="10">
        <f t="shared" si="485"/>
        <v>514.28571428571433</v>
      </c>
    </row>
    <row r="2345" spans="2:19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3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7"/>
        <v>0</v>
      </c>
      <c r="P2345" s="9"/>
      <c r="Q2345" s="9"/>
      <c r="R2345" s="9"/>
      <c r="S2345" s="10">
        <f t="shared" si="485"/>
        <v>514.28571428571433</v>
      </c>
    </row>
    <row r="2346" spans="2:19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3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7"/>
        <v>0</v>
      </c>
      <c r="P2346" s="9"/>
      <c r="Q2346" s="9"/>
      <c r="R2346" s="9"/>
      <c r="S2346" s="10">
        <f t="shared" si="485"/>
        <v>514.28571428571433</v>
      </c>
    </row>
    <row r="2347" spans="2:19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>
        <v>1293.7</v>
      </c>
      <c r="F2347" s="15">
        <v>1295</v>
      </c>
      <c r="G2347" s="15">
        <f t="shared" si="483"/>
        <v>1.2999999999999545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7"/>
        <v>0</v>
      </c>
      <c r="P2347" s="9"/>
      <c r="Q2347" s="9"/>
      <c r="R2347" s="9"/>
      <c r="S2347" s="10">
        <f t="shared" si="485"/>
        <v>514.28571428571433</v>
      </c>
    </row>
    <row r="2348" spans="2:19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>
        <v>1295</v>
      </c>
      <c r="F2348" s="15">
        <v>1299.7</v>
      </c>
      <c r="G2348" s="15">
        <f t="shared" si="483"/>
        <v>4.7000000000000455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7"/>
        <v>0</v>
      </c>
      <c r="P2348" s="9"/>
      <c r="Q2348" s="9"/>
      <c r="R2348" s="9"/>
      <c r="S2348" s="10">
        <f t="shared" si="485"/>
        <v>514.28571428571433</v>
      </c>
    </row>
    <row r="2349" spans="2:19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>
        <v>1300</v>
      </c>
      <c r="F2349" s="15">
        <v>1301.7</v>
      </c>
      <c r="G2349" s="15">
        <f t="shared" si="483"/>
        <v>1.7000000000000455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7"/>
        <v>0</v>
      </c>
      <c r="P2349" s="9"/>
      <c r="Q2349" s="9"/>
      <c r="R2349" s="9"/>
      <c r="S2349" s="10">
        <f t="shared" si="485"/>
        <v>514.28571428571433</v>
      </c>
    </row>
    <row r="2350" spans="2:19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>
        <v>1301.7</v>
      </c>
      <c r="F2350" s="15">
        <v>1307.7</v>
      </c>
      <c r="G2350" s="15">
        <f t="shared" si="483"/>
        <v>6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7"/>
        <v>0</v>
      </c>
      <c r="P2350" s="9"/>
      <c r="Q2350" s="9"/>
      <c r="R2350" s="9"/>
      <c r="S2350" s="10">
        <f t="shared" si="485"/>
        <v>514.28571428571433</v>
      </c>
    </row>
    <row r="2351" spans="2:19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>
        <v>1307.7</v>
      </c>
      <c r="F2351" s="15">
        <v>1311.2</v>
      </c>
      <c r="G2351" s="15">
        <f t="shared" si="483"/>
        <v>3.5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7"/>
        <v>0</v>
      </c>
      <c r="P2351" s="9"/>
      <c r="Q2351" s="9"/>
      <c r="R2351" s="9"/>
      <c r="S2351" s="10">
        <f t="shared" si="485"/>
        <v>514.28571428571433</v>
      </c>
    </row>
    <row r="2352" spans="2:19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3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7"/>
        <v>0</v>
      </c>
      <c r="P2352" s="9"/>
      <c r="Q2352" s="9"/>
      <c r="R2352" s="9"/>
      <c r="S2352" s="10">
        <f t="shared" si="485"/>
        <v>514.28571428571433</v>
      </c>
    </row>
    <row r="2353" spans="2:19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3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7"/>
        <v>0</v>
      </c>
      <c r="P2353" s="9"/>
      <c r="Q2353" s="9"/>
      <c r="R2353" s="9"/>
      <c r="S2353" s="10">
        <f t="shared" si="485"/>
        <v>514.28571428571433</v>
      </c>
    </row>
    <row r="2354" spans="2:19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3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7"/>
        <v>0</v>
      </c>
      <c r="P2354" s="9"/>
      <c r="Q2354" s="9"/>
      <c r="R2354" s="9"/>
      <c r="S2354" s="10">
        <f t="shared" si="485"/>
        <v>514.28571428571433</v>
      </c>
    </row>
    <row r="2355" spans="2:19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3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7"/>
        <v>0</v>
      </c>
      <c r="P2355" s="9"/>
      <c r="Q2355" s="9"/>
      <c r="R2355" s="9"/>
      <c r="S2355" s="10">
        <f t="shared" si="485"/>
        <v>514.28571428571433</v>
      </c>
    </row>
    <row r="2356" spans="2:19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>
        <v>1311.2</v>
      </c>
      <c r="F2356" s="15">
        <v>1312.5</v>
      </c>
      <c r="G2356" s="15">
        <f t="shared" si="483"/>
        <v>1.2999999999999545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7"/>
        <v>0</v>
      </c>
      <c r="P2356" s="9"/>
      <c r="Q2356" s="9"/>
      <c r="R2356" s="9"/>
      <c r="S2356" s="10">
        <f t="shared" si="485"/>
        <v>514.28571428571433</v>
      </c>
    </row>
    <row r="2357" spans="2:19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>
        <v>1312.5</v>
      </c>
      <c r="F2357" s="15">
        <v>1316.7</v>
      </c>
      <c r="G2357" s="15">
        <f t="shared" si="483"/>
        <v>4.2000000000000455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7"/>
        <v>0</v>
      </c>
      <c r="P2357" s="9"/>
      <c r="Q2357" s="9"/>
      <c r="R2357" s="9"/>
      <c r="S2357" s="10">
        <f t="shared" si="485"/>
        <v>514.28571428571433</v>
      </c>
    </row>
    <row r="2358" spans="2:19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3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7"/>
        <v>0</v>
      </c>
      <c r="P2358" s="9"/>
      <c r="Q2358" s="9"/>
      <c r="R2358" s="9"/>
      <c r="S2358" s="10">
        <f t="shared" si="485"/>
        <v>514.28571428571433</v>
      </c>
    </row>
    <row r="2359" spans="2:19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ref="G2332:G2359" si="488">F2359-E2359</f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7"/>
        <v>0</v>
      </c>
      <c r="P2359" s="9"/>
      <c r="Q2359" s="9"/>
      <c r="R2359" s="9"/>
      <c r="S2359" s="10">
        <f t="shared" si="485"/>
        <v>514.28571428571433</v>
      </c>
    </row>
    <row r="2360" spans="2:19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33" t="str">
        <f>M$1</f>
        <v>BM JANEIRO 2026</v>
      </c>
      <c r="N2361" s="133"/>
      <c r="O2361" s="133"/>
      <c r="P2361" s="19" t="s">
        <v>10</v>
      </c>
      <c r="Q2361" s="134" t="s">
        <v>194</v>
      </c>
      <c r="R2361" s="134"/>
      <c r="S2361" s="134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>
        <v>52672</v>
      </c>
      <c r="F2388" s="15">
        <v>52685</v>
      </c>
      <c r="G2388" s="15">
        <f t="shared" si="494"/>
        <v>13</v>
      </c>
      <c r="H2388" s="16" t="s">
        <v>233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>
        <v>52685</v>
      </c>
      <c r="F2389" s="15">
        <v>52703</v>
      </c>
      <c r="G2389" s="15">
        <f t="shared" si="494"/>
        <v>18</v>
      </c>
      <c r="H2389" s="16" t="s">
        <v>233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233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33" t="str">
        <f>M$1</f>
        <v>BM JANEIRO 2026</v>
      </c>
      <c r="N2392" s="133"/>
      <c r="O2392" s="133"/>
      <c r="P2392" s="19" t="s">
        <v>10</v>
      </c>
      <c r="Q2392" s="134" t="s">
        <v>255</v>
      </c>
      <c r="R2392" s="134"/>
      <c r="S2392" s="134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6</v>
      </c>
      <c r="I2394" s="10">
        <f>P2394</f>
        <v>714.28571428571433</v>
      </c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/>
      <c r="R2394" s="72"/>
      <c r="S2394" s="10">
        <f>SUM(R2394+Q2394+I2394)</f>
        <v>714.28571428571433</v>
      </c>
    </row>
    <row r="2395" spans="2:19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6</v>
      </c>
      <c r="I2395" s="10">
        <f>I2394</f>
        <v>714.28571428571433</v>
      </c>
      <c r="J2395" s="16" t="s">
        <v>201</v>
      </c>
      <c r="K2395" s="15"/>
      <c r="L2395" s="15"/>
      <c r="M2395" s="17"/>
      <c r="N2395" s="9"/>
      <c r="O2395" s="9"/>
      <c r="P2395" s="9"/>
      <c r="Q2395" s="9"/>
      <c r="R2395" s="72"/>
      <c r="S2395" s="10">
        <f t="shared" ref="S2395:S2421" si="499">SUM(R2395+Q2395+I2395)</f>
        <v>714.28571428571433</v>
      </c>
    </row>
    <row r="2396" spans="2:19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6</v>
      </c>
      <c r="I2396" s="10">
        <f t="shared" ref="I2396:I2421" si="500">I2395</f>
        <v>714.28571428571433</v>
      </c>
      <c r="J2396" s="16" t="s">
        <v>201</v>
      </c>
      <c r="K2396" s="15"/>
      <c r="L2396" s="15"/>
      <c r="M2396" s="17"/>
      <c r="N2396" s="9"/>
      <c r="O2396" s="9"/>
      <c r="P2396" s="9"/>
      <c r="Q2396" s="9"/>
      <c r="R2396" s="72"/>
      <c r="S2396" s="10">
        <f t="shared" si="499"/>
        <v>714.28571428571433</v>
      </c>
    </row>
    <row r="2397" spans="2:19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6</v>
      </c>
      <c r="I2397" s="10">
        <f t="shared" si="500"/>
        <v>714.28571428571433</v>
      </c>
      <c r="J2397" s="16" t="s">
        <v>201</v>
      </c>
      <c r="K2397" s="15"/>
      <c r="L2397" s="15"/>
      <c r="M2397" s="17"/>
      <c r="N2397" s="9"/>
      <c r="O2397" s="9"/>
      <c r="P2397" s="9"/>
      <c r="Q2397" s="9"/>
      <c r="R2397" s="72"/>
      <c r="S2397" s="10">
        <f t="shared" si="499"/>
        <v>714.28571428571433</v>
      </c>
    </row>
    <row r="2398" spans="2:19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6</v>
      </c>
      <c r="I2398" s="10">
        <f t="shared" si="500"/>
        <v>714.28571428571433</v>
      </c>
      <c r="J2398" s="16" t="s">
        <v>201</v>
      </c>
      <c r="K2398" s="15"/>
      <c r="L2398" s="15"/>
      <c r="M2398" s="17"/>
      <c r="N2398" s="9"/>
      <c r="O2398" s="9"/>
      <c r="P2398" s="9"/>
      <c r="Q2398" s="9"/>
      <c r="R2398" s="72"/>
      <c r="S2398" s="10">
        <f t="shared" si="499"/>
        <v>714.28571428571433</v>
      </c>
    </row>
    <row r="2399" spans="2:19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6</v>
      </c>
      <c r="I2399" s="10">
        <f t="shared" si="500"/>
        <v>714.28571428571433</v>
      </c>
      <c r="J2399" s="16" t="s">
        <v>201</v>
      </c>
      <c r="K2399" s="15"/>
      <c r="L2399" s="15"/>
      <c r="M2399" s="17"/>
      <c r="N2399" s="9"/>
      <c r="O2399" s="9"/>
      <c r="P2399" s="9"/>
      <c r="Q2399" s="9"/>
      <c r="R2399" s="72"/>
      <c r="S2399" s="10">
        <f t="shared" si="499"/>
        <v>714.28571428571433</v>
      </c>
    </row>
    <row r="2400" spans="2:19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/>
      <c r="F2400" s="15"/>
      <c r="G2400" s="15">
        <f>F2400-E2400</f>
        <v>0</v>
      </c>
      <c r="H2400" s="16" t="s">
        <v>6</v>
      </c>
      <c r="I2400" s="10">
        <f t="shared" si="500"/>
        <v>714.28571428571433</v>
      </c>
      <c r="J2400" s="16" t="s">
        <v>201</v>
      </c>
      <c r="K2400" s="15"/>
      <c r="L2400" s="15"/>
      <c r="M2400" s="17"/>
      <c r="N2400" s="9"/>
      <c r="O2400" s="9"/>
      <c r="P2400" s="9"/>
      <c r="Q2400" s="9"/>
      <c r="R2400" s="72"/>
      <c r="S2400" s="10">
        <f t="shared" si="499"/>
        <v>714.28571428571433</v>
      </c>
    </row>
    <row r="2401" spans="2:19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6</v>
      </c>
      <c r="I2401" s="10">
        <f t="shared" si="500"/>
        <v>714.28571428571433</v>
      </c>
      <c r="J2401" s="16" t="s">
        <v>201</v>
      </c>
      <c r="K2401" s="15"/>
      <c r="L2401" s="15"/>
      <c r="M2401" s="17"/>
      <c r="N2401" s="9"/>
      <c r="O2401" s="18"/>
      <c r="P2401" s="9"/>
      <c r="Q2401" s="9"/>
      <c r="R2401" s="72"/>
      <c r="S2401" s="10">
        <f t="shared" si="499"/>
        <v>714.28571428571433</v>
      </c>
    </row>
    <row r="2402" spans="2:19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6</v>
      </c>
      <c r="I2402" s="10">
        <f t="shared" si="500"/>
        <v>714.28571428571433</v>
      </c>
      <c r="J2402" s="16" t="s">
        <v>201</v>
      </c>
      <c r="K2402" s="15"/>
      <c r="L2402" s="15"/>
      <c r="M2402" s="17"/>
      <c r="N2402" s="9"/>
      <c r="O2402" s="18"/>
      <c r="P2402" s="9"/>
      <c r="Q2402" s="9"/>
      <c r="R2402" s="72"/>
      <c r="S2402" s="10">
        <f t="shared" si="499"/>
        <v>714.28571428571433</v>
      </c>
    </row>
    <row r="2403" spans="2:19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6</v>
      </c>
      <c r="I2403" s="10">
        <f t="shared" si="500"/>
        <v>714.28571428571433</v>
      </c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/>
      <c r="R2403" s="72"/>
      <c r="S2403" s="10">
        <f t="shared" si="499"/>
        <v>714.28571428571433</v>
      </c>
    </row>
    <row r="2404" spans="2:19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6</v>
      </c>
      <c r="I2404" s="10">
        <f t="shared" si="500"/>
        <v>714.28571428571433</v>
      </c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/>
      <c r="R2404" s="72"/>
      <c r="S2404" s="10">
        <f t="shared" si="499"/>
        <v>714.28571428571433</v>
      </c>
    </row>
    <row r="2405" spans="2:19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6</v>
      </c>
      <c r="I2405" s="10">
        <f t="shared" si="500"/>
        <v>714.28571428571433</v>
      </c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/>
      <c r="R2405" s="72"/>
      <c r="S2405" s="10">
        <f t="shared" si="499"/>
        <v>714.28571428571433</v>
      </c>
    </row>
    <row r="2406" spans="2:19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6</v>
      </c>
      <c r="I2406" s="10">
        <f t="shared" si="500"/>
        <v>714.28571428571433</v>
      </c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/>
      <c r="R2406" s="72"/>
      <c r="S2406" s="10">
        <f t="shared" si="499"/>
        <v>714.28571428571433</v>
      </c>
    </row>
    <row r="2407" spans="2:19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6</v>
      </c>
      <c r="I2407" s="10">
        <f t="shared" si="500"/>
        <v>714.28571428571433</v>
      </c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/>
      <c r="R2407" s="72"/>
      <c r="S2407" s="10">
        <f t="shared" si="499"/>
        <v>714.28571428571433</v>
      </c>
    </row>
    <row r="2408" spans="2:19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6</v>
      </c>
      <c r="I2408" s="10">
        <f t="shared" si="500"/>
        <v>714.28571428571433</v>
      </c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/>
      <c r="R2408" s="72"/>
      <c r="S2408" s="10">
        <f t="shared" si="499"/>
        <v>714.28571428571433</v>
      </c>
    </row>
    <row r="2409" spans="2:19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6</v>
      </c>
      <c r="I2409" s="10">
        <f t="shared" si="500"/>
        <v>714.28571428571433</v>
      </c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/>
      <c r="R2409" s="72"/>
      <c r="S2409" s="10">
        <f t="shared" si="499"/>
        <v>714.28571428571433</v>
      </c>
    </row>
    <row r="2410" spans="2:19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6</v>
      </c>
      <c r="I2410" s="10">
        <f t="shared" si="500"/>
        <v>714.28571428571433</v>
      </c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/>
      <c r="R2410" s="72"/>
      <c r="S2410" s="10">
        <f t="shared" si="499"/>
        <v>714.28571428571433</v>
      </c>
    </row>
    <row r="2411" spans="2:19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6</v>
      </c>
      <c r="I2411" s="10">
        <f t="shared" si="500"/>
        <v>714.28571428571433</v>
      </c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/>
      <c r="R2411" s="72"/>
      <c r="S2411" s="10">
        <f t="shared" si="499"/>
        <v>714.28571428571433</v>
      </c>
    </row>
    <row r="2412" spans="2:19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6</v>
      </c>
      <c r="I2412" s="10">
        <f t="shared" si="500"/>
        <v>714.28571428571433</v>
      </c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/>
      <c r="R2412" s="72"/>
      <c r="S2412" s="10">
        <f t="shared" si="499"/>
        <v>714.28571428571433</v>
      </c>
    </row>
    <row r="2413" spans="2:19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6</v>
      </c>
      <c r="I2413" s="10">
        <f t="shared" si="500"/>
        <v>714.28571428571433</v>
      </c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/>
      <c r="R2413" s="72"/>
      <c r="S2413" s="10">
        <f t="shared" si="499"/>
        <v>714.28571428571433</v>
      </c>
    </row>
    <row r="2414" spans="2:19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6</v>
      </c>
      <c r="I2414" s="10">
        <f t="shared" si="500"/>
        <v>714.28571428571433</v>
      </c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/>
      <c r="R2414" s="72"/>
      <c r="S2414" s="10">
        <f t="shared" si="499"/>
        <v>714.28571428571433</v>
      </c>
    </row>
    <row r="2415" spans="2:19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6</v>
      </c>
      <c r="I2415" s="10">
        <f t="shared" si="500"/>
        <v>714.28571428571433</v>
      </c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/>
      <c r="R2415" s="72"/>
      <c r="S2415" s="10">
        <f t="shared" si="499"/>
        <v>714.28571428571433</v>
      </c>
    </row>
    <row r="2416" spans="2:19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6</v>
      </c>
      <c r="I2416" s="10">
        <f t="shared" si="500"/>
        <v>714.28571428571433</v>
      </c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/>
      <c r="R2416" s="72"/>
      <c r="S2416" s="10">
        <f t="shared" si="499"/>
        <v>714.28571428571433</v>
      </c>
    </row>
    <row r="2417" spans="2:19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6</v>
      </c>
      <c r="I2417" s="10">
        <f t="shared" si="500"/>
        <v>714.28571428571433</v>
      </c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/>
      <c r="R2417" s="72"/>
      <c r="S2417" s="10">
        <f t="shared" si="499"/>
        <v>714.28571428571433</v>
      </c>
    </row>
    <row r="2418" spans="2:19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6</v>
      </c>
      <c r="I2418" s="10">
        <f t="shared" si="500"/>
        <v>714.28571428571433</v>
      </c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/>
      <c r="R2418" s="72"/>
      <c r="S2418" s="10">
        <f t="shared" si="499"/>
        <v>714.28571428571433</v>
      </c>
    </row>
    <row r="2419" spans="2:19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6</v>
      </c>
      <c r="I2419" s="10">
        <f t="shared" si="500"/>
        <v>714.28571428571433</v>
      </c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/>
      <c r="R2419" s="72"/>
      <c r="S2419" s="10">
        <f t="shared" si="499"/>
        <v>714.28571428571433</v>
      </c>
    </row>
    <row r="2420" spans="2:19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6</v>
      </c>
      <c r="I2420" s="10">
        <f t="shared" si="500"/>
        <v>714.28571428571433</v>
      </c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/>
      <c r="R2420" s="72"/>
      <c r="S2420" s="10">
        <f t="shared" si="499"/>
        <v>714.28571428571433</v>
      </c>
    </row>
    <row r="2421" spans="2:19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6</v>
      </c>
      <c r="I2421" s="10">
        <f t="shared" si="500"/>
        <v>714.28571428571433</v>
      </c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/>
      <c r="R2421" s="72"/>
      <c r="S2421" s="10">
        <f t="shared" si="499"/>
        <v>714.28571428571433</v>
      </c>
    </row>
    <row r="2422" spans="2:19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33" t="str">
        <f>M$1</f>
        <v>BM JANEIRO 2026</v>
      </c>
      <c r="N2423" s="133"/>
      <c r="O2423" s="133"/>
      <c r="P2423" s="19" t="s">
        <v>10</v>
      </c>
      <c r="Q2423" s="134"/>
      <c r="R2423" s="134"/>
      <c r="S2423" s="134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33" t="str">
        <f>M$1</f>
        <v>BM JANEIRO 2026</v>
      </c>
      <c r="N2454" s="133"/>
      <c r="O2454" s="133"/>
      <c r="P2454" s="19" t="s">
        <v>10</v>
      </c>
      <c r="Q2454" s="134"/>
      <c r="R2454" s="134"/>
      <c r="S2454" s="134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33" t="str">
        <f>M$1</f>
        <v>BM JANEIRO 2026</v>
      </c>
      <c r="N2485" s="133"/>
      <c r="O2485" s="133"/>
      <c r="P2485" s="19" t="s">
        <v>10</v>
      </c>
      <c r="Q2485" s="134"/>
      <c r="R2485" s="134"/>
      <c r="S2485" s="134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33" t="str">
        <f>M$1</f>
        <v>BM JANEIRO 2026</v>
      </c>
      <c r="N2516" s="133"/>
      <c r="O2516" s="133"/>
      <c r="P2516" s="19" t="s">
        <v>10</v>
      </c>
      <c r="Q2516" s="134"/>
      <c r="R2516" s="134"/>
      <c r="S2516" s="134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33" t="str">
        <f>M$1</f>
        <v>BM JANEIRO 2026</v>
      </c>
      <c r="N2547" s="133"/>
      <c r="O2547" s="133"/>
      <c r="P2547" s="19" t="s">
        <v>10</v>
      </c>
      <c r="Q2547" s="134"/>
      <c r="R2547" s="134"/>
      <c r="S2547" s="134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33" t="str">
        <f>M$1</f>
        <v>BM JANEIRO 2026</v>
      </c>
      <c r="N2578" s="133"/>
      <c r="O2578" s="133"/>
      <c r="P2578" s="19" t="s">
        <v>10</v>
      </c>
      <c r="Q2578" s="134"/>
      <c r="R2578" s="134"/>
      <c r="S2578" s="134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33" t="str">
        <f>M$1</f>
        <v>BM JANEIRO 2026</v>
      </c>
      <c r="N2609" s="133"/>
      <c r="O2609" s="133"/>
      <c r="P2609" s="19" t="s">
        <v>10</v>
      </c>
      <c r="Q2609" s="134"/>
      <c r="R2609" s="134"/>
      <c r="S2609" s="134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33" t="str">
        <f>M$1</f>
        <v>BM JANEIRO 2026</v>
      </c>
      <c r="N2640" s="133"/>
      <c r="O2640" s="133"/>
      <c r="P2640" s="19" t="s">
        <v>10</v>
      </c>
      <c r="Q2640" s="134"/>
      <c r="R2640" s="134"/>
      <c r="S2640" s="134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</sheetData>
  <mergeCells count="174"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H22" sqref="H22:I22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130" t="s">
        <v>14</v>
      </c>
      <c r="I22" s="130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H22" sqref="H22:I22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7" t="s">
        <v>367</v>
      </c>
      <c r="G14" s="34">
        <v>1</v>
      </c>
      <c r="H14" s="35">
        <v>13.99</v>
      </c>
      <c r="I14" s="35">
        <f t="shared" si="0"/>
        <v>13.99</v>
      </c>
    </row>
    <row r="15" spans="1:9">
      <c r="E15" s="90"/>
      <c r="F15" s="7" t="s">
        <v>358</v>
      </c>
      <c r="G15" s="34">
        <v>1</v>
      </c>
      <c r="H15" s="35">
        <v>5</v>
      </c>
      <c r="I15" s="35">
        <f t="shared" si="0"/>
        <v>5</v>
      </c>
    </row>
    <row r="16" spans="1:9">
      <c r="E16" s="90"/>
      <c r="F16" s="7" t="s">
        <v>368</v>
      </c>
      <c r="G16" s="34">
        <v>2</v>
      </c>
      <c r="H16" s="35">
        <v>1</v>
      </c>
      <c r="I16" s="35">
        <f t="shared" si="0"/>
        <v>2</v>
      </c>
    </row>
    <row r="17" spans="5:9">
      <c r="E17" s="90"/>
      <c r="F17" s="7" t="s">
        <v>369</v>
      </c>
      <c r="G17" s="34">
        <v>5</v>
      </c>
      <c r="H17" s="35">
        <v>0.37</v>
      </c>
      <c r="I17" s="35">
        <f t="shared" si="0"/>
        <v>1.85</v>
      </c>
    </row>
    <row r="18" spans="5:9">
      <c r="E18" s="90"/>
      <c r="F18" s="7" t="s">
        <v>322</v>
      </c>
      <c r="G18" s="34">
        <v>10</v>
      </c>
      <c r="H18" s="35">
        <v>0.25</v>
      </c>
      <c r="I18" s="35">
        <f t="shared" si="0"/>
        <v>2.5</v>
      </c>
    </row>
    <row r="19" spans="5:9">
      <c r="E19" s="90"/>
      <c r="F19" s="7" t="s">
        <v>370</v>
      </c>
      <c r="G19" s="34">
        <v>5</v>
      </c>
      <c r="H19" s="35">
        <v>0.68</v>
      </c>
      <c r="I19" s="35">
        <f t="shared" si="0"/>
        <v>3.4000000000000004</v>
      </c>
    </row>
    <row r="20" spans="5:9">
      <c r="E20" s="90"/>
      <c r="F20" s="7" t="s">
        <v>310</v>
      </c>
      <c r="G20" s="34">
        <v>2</v>
      </c>
      <c r="H20" s="35">
        <v>5.69</v>
      </c>
      <c r="I20" s="35">
        <f t="shared" si="0"/>
        <v>11.38</v>
      </c>
    </row>
    <row r="21" spans="5:9">
      <c r="E21" s="90"/>
      <c r="F21" s="7" t="s">
        <v>371</v>
      </c>
      <c r="G21" s="34">
        <v>2</v>
      </c>
      <c r="H21" s="35">
        <v>7.99</v>
      </c>
      <c r="I21" s="35">
        <f t="shared" si="0"/>
        <v>15.98</v>
      </c>
    </row>
    <row r="22" spans="5:9">
      <c r="E22" s="90"/>
      <c r="F22" s="40"/>
      <c r="G22" s="37"/>
      <c r="H22" s="130" t="s">
        <v>14</v>
      </c>
      <c r="I22" s="130">
        <f>SUM(I9:I21)</f>
        <v>357.95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F11" sqref="F11:G12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7" t="s">
        <v>359</v>
      </c>
      <c r="G11" s="34">
        <v>2</v>
      </c>
      <c r="H11" s="35">
        <v>8.99</v>
      </c>
      <c r="I11" s="35">
        <f>SUM(G11*H11)</f>
        <v>17.98</v>
      </c>
    </row>
    <row r="12" spans="1:9">
      <c r="E12" s="97"/>
      <c r="F12" s="7" t="s">
        <v>312</v>
      </c>
      <c r="G12" s="34">
        <v>2</v>
      </c>
      <c r="H12" s="35">
        <v>14.19</v>
      </c>
      <c r="I12" s="35">
        <f t="shared" ref="I12:I23" si="0">SUM(G12*H12)</f>
        <v>28.38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30" t="s">
        <v>14</v>
      </c>
      <c r="I24" s="130">
        <f>SUM(I11:I23)</f>
        <v>46.36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30" t="s">
        <v>14</v>
      </c>
      <c r="I22" s="13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30" t="s">
        <v>14</v>
      </c>
      <c r="I19" s="13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t="s">
        <v>372</v>
      </c>
      <c r="G9" s="34">
        <v>8</v>
      </c>
      <c r="H9" s="35">
        <v>32.630000000000003</v>
      </c>
      <c r="I9" s="35">
        <f>SUM(G9*H9)</f>
        <v>261.04000000000002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30" t="s">
        <v>14</v>
      </c>
      <c r="I19" s="130">
        <f>SUM(I9:I18)</f>
        <v>261.04000000000002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I21"/>
  <sheetViews>
    <sheetView showGridLines="0" view="pageBreakPreview" topLeftCell="A6" zoomScale="85" zoomScaleNormal="55" zoomScaleSheetLayoutView="85" workbookViewId="0">
      <selection activeCell="A21" sqref="A21:XFD21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0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9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9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9">
      <c r="F19" s="7" t="s">
        <v>361</v>
      </c>
      <c r="G19" s="7">
        <v>5</v>
      </c>
      <c r="H19" s="132">
        <v>0.25</v>
      </c>
      <c r="I19" s="35">
        <f t="shared" si="0"/>
        <v>1.25</v>
      </c>
    </row>
    <row r="20" spans="6:9">
      <c r="F20" s="7" t="s">
        <v>362</v>
      </c>
      <c r="G20" s="7">
        <v>3</v>
      </c>
      <c r="H20" s="132">
        <v>2.89</v>
      </c>
      <c r="I20" s="35">
        <f t="shared" si="0"/>
        <v>8.67</v>
      </c>
    </row>
    <row r="21" spans="6:9">
      <c r="F21" s="36"/>
      <c r="G21" s="37"/>
      <c r="H21" s="130" t="s">
        <v>14</v>
      </c>
      <c r="I21" s="130">
        <f>SUM(I9:I20)</f>
        <v>2840.6400000000003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352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353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354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130" t="s">
        <v>14</v>
      </c>
      <c r="I21" s="130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27"/>
  <sheetViews>
    <sheetView showGridLines="0" view="pageBreakPreview" topLeftCell="A4" zoomScale="85" zoomScaleNormal="55" zoomScaleSheetLayoutView="85" workbookViewId="0">
      <selection activeCell="H27" sqref="H27:I27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26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7" t="s">
        <v>355</v>
      </c>
      <c r="G15" s="34">
        <v>1</v>
      </c>
      <c r="H15" s="35">
        <v>380</v>
      </c>
      <c r="I15" s="35">
        <f t="shared" si="0"/>
        <v>380</v>
      </c>
    </row>
    <row r="16" spans="1:9">
      <c r="F16" s="7" t="s">
        <v>356</v>
      </c>
      <c r="G16" s="34">
        <v>1</v>
      </c>
      <c r="H16" s="35">
        <v>10.199999999999999</v>
      </c>
      <c r="I16" s="35">
        <f t="shared" si="0"/>
        <v>10.199999999999999</v>
      </c>
    </row>
    <row r="17" spans="6:11">
      <c r="F17" s="7" t="s">
        <v>356</v>
      </c>
      <c r="G17" s="34">
        <v>1</v>
      </c>
      <c r="H17" s="35">
        <v>10.199999999999999</v>
      </c>
      <c r="I17" s="35">
        <f t="shared" si="0"/>
        <v>10.199999999999999</v>
      </c>
      <c r="K17" s="2"/>
    </row>
    <row r="18" spans="6:11">
      <c r="F18" s="7" t="s">
        <v>352</v>
      </c>
      <c r="G18" s="34">
        <v>1</v>
      </c>
      <c r="H18" s="35">
        <v>9.1999999999999993</v>
      </c>
      <c r="I18" s="35">
        <f t="shared" si="0"/>
        <v>9.1999999999999993</v>
      </c>
    </row>
    <row r="19" spans="6:11">
      <c r="F19" s="7" t="s">
        <v>353</v>
      </c>
      <c r="G19" s="34">
        <v>1</v>
      </c>
      <c r="H19" s="35">
        <v>12.98</v>
      </c>
      <c r="I19" s="35">
        <f t="shared" si="0"/>
        <v>12.98</v>
      </c>
    </row>
    <row r="20" spans="6:11">
      <c r="F20" s="7" t="s">
        <v>311</v>
      </c>
      <c r="G20" s="34">
        <v>2</v>
      </c>
      <c r="H20" s="35">
        <v>15.02</v>
      </c>
      <c r="I20" s="35">
        <f t="shared" si="0"/>
        <v>30.04</v>
      </c>
    </row>
    <row r="21" spans="6:11">
      <c r="F21" s="7" t="s">
        <v>357</v>
      </c>
      <c r="G21" s="34">
        <v>1</v>
      </c>
      <c r="H21" s="35">
        <v>45</v>
      </c>
      <c r="I21" s="35">
        <f t="shared" si="0"/>
        <v>45</v>
      </c>
    </row>
    <row r="22" spans="6:11">
      <c r="F22" s="7" t="s">
        <v>321</v>
      </c>
      <c r="G22" s="34">
        <v>2</v>
      </c>
      <c r="H22" s="35">
        <v>0.15</v>
      </c>
      <c r="I22" s="35">
        <f t="shared" si="0"/>
        <v>0.3</v>
      </c>
    </row>
    <row r="23" spans="6:11">
      <c r="F23" s="7" t="s">
        <v>322</v>
      </c>
      <c r="G23" s="34">
        <v>2</v>
      </c>
      <c r="H23" s="35">
        <v>0.25</v>
      </c>
      <c r="I23" s="35">
        <f t="shared" si="0"/>
        <v>0.5</v>
      </c>
    </row>
    <row r="24" spans="6:11">
      <c r="F24" s="7" t="s">
        <v>358</v>
      </c>
      <c r="G24" s="34">
        <v>1</v>
      </c>
      <c r="H24" s="35">
        <v>5</v>
      </c>
      <c r="I24" s="35">
        <f t="shared" si="0"/>
        <v>5</v>
      </c>
    </row>
    <row r="25" spans="6:11">
      <c r="F25" s="7" t="s">
        <v>359</v>
      </c>
      <c r="G25" s="34">
        <v>1</v>
      </c>
      <c r="H25" s="35">
        <v>8.99</v>
      </c>
      <c r="I25" s="35">
        <f t="shared" si="0"/>
        <v>8.99</v>
      </c>
    </row>
    <row r="26" spans="6:11">
      <c r="F26" s="7" t="s">
        <v>360</v>
      </c>
      <c r="G26" s="34">
        <v>40</v>
      </c>
      <c r="H26" s="35">
        <v>0.22</v>
      </c>
      <c r="I26" s="35">
        <f t="shared" si="0"/>
        <v>8.8000000000000007</v>
      </c>
    </row>
    <row r="27" spans="6:11">
      <c r="F27" s="36"/>
      <c r="G27" s="37"/>
      <c r="H27" s="130" t="s">
        <v>14</v>
      </c>
      <c r="I27" s="130">
        <f>SUM(I9:I26)</f>
        <v>869.21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319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363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364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352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353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352</v>
      </c>
      <c r="G16" s="34">
        <v>1</v>
      </c>
      <c r="H16" s="35">
        <v>9.1999999999999993</v>
      </c>
      <c r="I16" s="35">
        <f t="shared" si="0"/>
        <v>9.1999999999999993</v>
      </c>
    </row>
    <row r="17" spans="6:9">
      <c r="F17" s="7" t="s">
        <v>353</v>
      </c>
      <c r="G17" s="34">
        <v>2</v>
      </c>
      <c r="H17" s="35">
        <v>12.98</v>
      </c>
      <c r="I17" s="35">
        <f t="shared" si="0"/>
        <v>25.96</v>
      </c>
    </row>
    <row r="18" spans="6:9">
      <c r="F18" s="7" t="s">
        <v>365</v>
      </c>
      <c r="G18" s="34">
        <v>2</v>
      </c>
      <c r="H18" s="35">
        <v>5</v>
      </c>
      <c r="I18" s="35">
        <f t="shared" si="0"/>
        <v>10</v>
      </c>
    </row>
    <row r="19" spans="6:9">
      <c r="F19" s="7" t="s">
        <v>326</v>
      </c>
      <c r="G19" s="34">
        <v>1</v>
      </c>
      <c r="H19" s="35">
        <v>17.27</v>
      </c>
      <c r="I19" s="35">
        <f t="shared" si="0"/>
        <v>17.27</v>
      </c>
    </row>
    <row r="20" spans="6:9">
      <c r="F20" s="7" t="s">
        <v>366</v>
      </c>
      <c r="G20" s="34">
        <v>20</v>
      </c>
      <c r="H20" s="35">
        <v>33.1</v>
      </c>
      <c r="I20" s="35">
        <f t="shared" si="0"/>
        <v>662</v>
      </c>
    </row>
    <row r="21" spans="6:9">
      <c r="F21" s="36"/>
      <c r="G21" s="37"/>
      <c r="H21" s="130" t="s">
        <v>14</v>
      </c>
      <c r="I21" s="130">
        <f>SUM(I10:I20)</f>
        <v>5391.9699999999993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31" t="s">
        <v>14</v>
      </c>
      <c r="I21" s="131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128" t="s">
        <v>14</v>
      </c>
      <c r="I25" s="12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1" t="s">
        <v>268</v>
      </c>
      <c r="B1" s="151"/>
    </row>
    <row r="2" spans="1:2" ht="31.9" customHeight="1">
      <c r="A2" s="151"/>
      <c r="B2" s="151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2026-03-06T18:14:02Z</dcterms:modified>
  <cp:category/>
  <cp:contentStatus/>
</cp:coreProperties>
</file>