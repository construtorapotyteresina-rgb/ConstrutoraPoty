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40209804-5C46-4EBB-8971-3FF226C081E2}" xr6:coauthVersionLast="47" xr6:coauthVersionMax="47" xr10:uidLastSave="{00000000-0000-0000-0000-000000000000}"/>
  <bookViews>
    <workbookView xWindow="13550" yWindow="-110" windowWidth="19420" windowHeight="1042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60" r:id="rId63"/>
    <pivotCache cacheId="61" r:id="rId64"/>
    <pivotCache cacheId="62" r:id="rId65"/>
    <pivotCache cacheId="63" r:id="rId66"/>
    <pivotCache cacheId="64" r:id="rId67"/>
    <pivotCache cacheId="65" r:id="rId68"/>
    <pivotCache cacheId="66" r:id="rId69"/>
    <pivotCache cacheId="67" r:id="rId70"/>
    <pivotCache cacheId="68" r:id="rId71"/>
    <pivotCache cacheId="69" r:id="rId72"/>
    <pivotCache cacheId="70" r:id="rId73"/>
    <pivotCache cacheId="71" r:id="rId74"/>
    <pivotCache cacheId="72" r:id="rId75"/>
    <pivotCache cacheId="73" r:id="rId76"/>
    <pivotCache cacheId="74" r:id="rId77"/>
    <pivotCache cacheId="75" r:id="rId78"/>
    <pivotCache cacheId="76" r:id="rId79"/>
    <pivotCache cacheId="77" r:id="rId80"/>
    <pivotCache cacheId="78" r:id="rId81"/>
    <pivotCache cacheId="79" r:id="rId82"/>
    <pivotCache cacheId="80" r:id="rId83"/>
    <pivotCache cacheId="81" r:id="rId84"/>
    <pivotCache cacheId="82" r:id="rId85"/>
    <pivotCache cacheId="83" r:id="rId86"/>
    <pivotCache cacheId="84" r:id="rId87"/>
    <pivotCache cacheId="85" r:id="rId88"/>
    <pivotCache cacheId="86" r:id="rId89"/>
    <pivotCache cacheId="87" r:id="rId90"/>
    <pivotCache cacheId="88" r:id="rId91"/>
    <pivotCache cacheId="89" r:id="rId92"/>
    <pivotCache cacheId="90" r:id="rId93"/>
    <pivotCache cacheId="91" r:id="rId94"/>
    <pivotCache cacheId="92" r:id="rId95"/>
    <pivotCache cacheId="93" r:id="rId96"/>
    <pivotCache cacheId="94" r:id="rId97"/>
    <pivotCache cacheId="95" r:id="rId98"/>
    <pivotCache cacheId="96" r:id="rId99"/>
    <pivotCache cacheId="97" r:id="rId100"/>
    <pivotCache cacheId="98" r:id="rId101"/>
    <pivotCache cacheId="99" r:id="rId102"/>
    <pivotCache cacheId="100" r:id="rId103"/>
    <pivotCache cacheId="101" r:id="rId104"/>
    <pivotCache cacheId="102" r:id="rId105"/>
    <pivotCache cacheId="103" r:id="rId106"/>
    <pivotCache cacheId="104" r:id="rId107"/>
    <pivotCache cacheId="105" r:id="rId108"/>
    <pivotCache cacheId="106" r:id="rId109"/>
    <pivotCache cacheId="107" r:id="rId110"/>
    <pivotCache cacheId="108" r:id="rId111"/>
    <pivotCache cacheId="109" r:id="rId112"/>
    <pivotCache cacheId="110" r:id="rId113"/>
    <pivotCache cacheId="111" r:id="rId114"/>
    <pivotCache cacheId="112" r:id="rId115"/>
    <pivotCache cacheId="113" r:id="rId116"/>
    <pivotCache cacheId="114" r:id="rId117"/>
    <pivotCache cacheId="115" r:id="rId118"/>
    <pivotCache cacheId="116" r:id="rId119"/>
    <pivotCache cacheId="117" r:id="rId120"/>
    <pivotCache cacheId="118" r:id="rId121"/>
    <pivotCache cacheId="11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24" l="1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35" i="62"/>
  <c r="G2334" i="62"/>
  <c r="G2333" i="62"/>
  <c r="G2332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51" i="62"/>
  <c r="G2352" i="62"/>
  <c r="G2353" i="62"/>
  <c r="G2354" i="62"/>
  <c r="G2355" i="62"/>
  <c r="G2356" i="62"/>
  <c r="G2357" i="62"/>
  <c r="G2358" i="62"/>
  <c r="G2359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G2340" i="62"/>
  <c r="C2340" i="62"/>
  <c r="G2339" i="62"/>
  <c r="C2339" i="62"/>
  <c r="G2338" i="62"/>
  <c r="C2338" i="62"/>
  <c r="G2337" i="62"/>
  <c r="C2337" i="62"/>
  <c r="G2336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<sst xmlns="http://schemas.openxmlformats.org/spreadsheetml/2006/main" count="9674" uniqueCount="373">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</sst>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7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49" fontId="0" fillId="0" borderId="1" xfId="0" applyNumberFormat="1" applyFill="1" applyBorder="1"/>
    <xf numFmtId="0" fontId="0" fillId="0" borderId="1" xfId="0" applyFill="1" applyBorder="1"/>
    <xf numFmtId="14" fontId="0" fillId="0" borderId="1" xfId="0" applyNumberFormat="1" applyFill="1" applyBorder="1"/>
    <xf numFmtId="43" fontId="0" fillId="0" borderId="1" xfId="0" applyNumberFormat="1" applyFill="1" applyBorder="1"/>
    <xf numFmtId="0" fontId="0" fillId="0" borderId="0" xfId="0" applyFill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0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0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9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abSelected="1" topLeftCell="A2331" zoomScale="70" zoomScaleNormal="70" workbookViewId="0">
      <selection activeCell="G2347" sqref="G234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5" t="s">
        <v>8</v>
      </c>
      <c r="C1" s="136"/>
      <c r="D1" s="136"/>
      <c r="E1" s="136"/>
      <c r="F1" s="136"/>
      <c r="G1" s="136"/>
      <c r="H1" s="136"/>
      <c r="I1" s="136"/>
      <c r="J1" s="136"/>
      <c r="K1" s="136"/>
      <c r="L1" s="137"/>
      <c r="M1" s="135" t="s">
        <v>261</v>
      </c>
      <c r="N1" s="136"/>
      <c r="O1" s="136"/>
      <c r="P1" s="136"/>
      <c r="Q1" s="136"/>
      <c r="R1" s="136"/>
      <c r="S1" s="137"/>
    </row>
    <row r="2" spans="2:19" ht="14.45" customHeight="1"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40"/>
      <c r="M2" s="138"/>
      <c r="N2" s="139"/>
      <c r="O2" s="139"/>
      <c r="P2" s="139"/>
      <c r="Q2" s="139"/>
      <c r="R2" s="139"/>
      <c r="S2" s="140"/>
    </row>
    <row r="3" spans="2:19" ht="14.45" customHeight="1">
      <c r="B3" s="141"/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141"/>
      <c r="N3" s="142"/>
      <c r="O3" s="142"/>
      <c r="P3" s="142"/>
      <c r="Q3" s="142"/>
      <c r="R3" s="142"/>
      <c r="S3" s="143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3" t="str">
        <f>M$1</f>
        <v>BM JANEIRO 2026</v>
      </c>
      <c r="N5" s="133"/>
      <c r="O5" s="133"/>
      <c r="P5" s="19" t="s">
        <v>10</v>
      </c>
      <c r="Q5" s="134"/>
      <c r="R5" s="134"/>
      <c r="S5" s="134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3" t="str">
        <f>M$1</f>
        <v>BM JANEIRO 2026</v>
      </c>
      <c r="N36" s="133"/>
      <c r="O36" s="133"/>
      <c r="P36" s="19" t="s">
        <v>10</v>
      </c>
      <c r="Q36" s="134"/>
      <c r="R36" s="134"/>
      <c r="S36" s="134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3" t="str">
        <f>M$1</f>
        <v>BM JANEIRO 2026</v>
      </c>
      <c r="N67" s="133"/>
      <c r="O67" s="133"/>
      <c r="P67" s="19" t="s">
        <v>10</v>
      </c>
      <c r="Q67" s="134"/>
      <c r="R67" s="134"/>
      <c r="S67" s="134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3" t="str">
        <f>M$1</f>
        <v>BM JANEIRO 2026</v>
      </c>
      <c r="N98" s="133"/>
      <c r="O98" s="133"/>
      <c r="P98" s="19" t="s">
        <v>10</v>
      </c>
      <c r="Q98" s="134"/>
      <c r="R98" s="134"/>
      <c r="S98" s="134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3" t="str">
        <f>M$1</f>
        <v>BM JANEIRO 2026</v>
      </c>
      <c r="N129" s="133"/>
      <c r="O129" s="133"/>
      <c r="P129" s="19" t="s">
        <v>10</v>
      </c>
      <c r="Q129" s="134"/>
      <c r="R129" s="134"/>
      <c r="S129" s="134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3" t="str">
        <f>M$1</f>
        <v>BM JANEIRO 2026</v>
      </c>
      <c r="N160" s="133"/>
      <c r="O160" s="133"/>
      <c r="P160" s="19" t="s">
        <v>10</v>
      </c>
      <c r="Q160" s="134"/>
      <c r="R160" s="134"/>
      <c r="S160" s="134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3" t="str">
        <f>M$1</f>
        <v>BM JANEIRO 2026</v>
      </c>
      <c r="N191" s="133"/>
      <c r="O191" s="133"/>
      <c r="P191" s="19" t="s">
        <v>10</v>
      </c>
      <c r="Q191" s="134"/>
      <c r="R191" s="134"/>
      <c r="S191" s="134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3" t="str">
        <f>M$1</f>
        <v>BM JANEIRO 2026</v>
      </c>
      <c r="N222" s="133"/>
      <c r="O222" s="133"/>
      <c r="P222" s="19" t="s">
        <v>10</v>
      </c>
      <c r="Q222" s="134"/>
      <c r="R222" s="134"/>
      <c r="S222" s="134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3" t="str">
        <f>M$1</f>
        <v>BM JANEIRO 2026</v>
      </c>
      <c r="N253" s="133"/>
      <c r="O253" s="133"/>
      <c r="P253" s="19" t="s">
        <v>10</v>
      </c>
      <c r="Q253" s="134"/>
      <c r="R253" s="134"/>
      <c r="S253" s="134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3" t="str">
        <f>M$1</f>
        <v>BM JANEIRO 2026</v>
      </c>
      <c r="N284" s="133"/>
      <c r="O284" s="133"/>
      <c r="P284" s="19" t="s">
        <v>10</v>
      </c>
      <c r="Q284" s="134"/>
      <c r="R284" s="134"/>
      <c r="S284" s="134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3" t="str">
        <f>M$1</f>
        <v>BM JANEIRO 2026</v>
      </c>
      <c r="N315" s="133"/>
      <c r="O315" s="133"/>
      <c r="P315" s="19" t="s">
        <v>10</v>
      </c>
      <c r="Q315" s="134"/>
      <c r="R315" s="134"/>
      <c r="S315" s="134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3" t="str">
        <f>M$1</f>
        <v>BM JANEIRO 2026</v>
      </c>
      <c r="N346" s="133"/>
      <c r="O346" s="133"/>
      <c r="P346" s="19" t="s">
        <v>10</v>
      </c>
      <c r="Q346" s="134" t="s">
        <v>259</v>
      </c>
      <c r="R346" s="134"/>
      <c r="S346" s="134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3" t="str">
        <f>M$1</f>
        <v>BM JANEIRO 2026</v>
      </c>
      <c r="N377" s="133"/>
      <c r="O377" s="133"/>
      <c r="P377" s="19" t="s">
        <v>10</v>
      </c>
      <c r="Q377" s="134"/>
      <c r="R377" s="134"/>
      <c r="S377" s="134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3" t="str">
        <f>M$1</f>
        <v>BM JANEIRO 2026</v>
      </c>
      <c r="N408" s="133"/>
      <c r="O408" s="133"/>
      <c r="P408" s="19" t="s">
        <v>10</v>
      </c>
      <c r="Q408" s="134"/>
      <c r="R408" s="134"/>
      <c r="S408" s="134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3" t="str">
        <f>M$1</f>
        <v>BM JANEIRO 2026</v>
      </c>
      <c r="N439" s="133"/>
      <c r="O439" s="133"/>
      <c r="P439" s="19" t="s">
        <v>10</v>
      </c>
      <c r="Q439" s="134"/>
      <c r="R439" s="134"/>
      <c r="S439" s="134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3" t="str">
        <f>M$1</f>
        <v>BM JANEIRO 2026</v>
      </c>
      <c r="N470" s="133"/>
      <c r="O470" s="133"/>
      <c r="P470" s="19" t="s">
        <v>10</v>
      </c>
      <c r="Q470" s="134"/>
      <c r="R470" s="134"/>
      <c r="S470" s="134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3" t="str">
        <f>M$1</f>
        <v>BM JANEIRO 2026</v>
      </c>
      <c r="N501" s="133"/>
      <c r="O501" s="133"/>
      <c r="P501" s="19" t="s">
        <v>10</v>
      </c>
      <c r="Q501" s="134"/>
      <c r="R501" s="134"/>
      <c r="S501" s="134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3" t="str">
        <f>M$1</f>
        <v>BM JANEIRO 2026</v>
      </c>
      <c r="N532" s="133"/>
      <c r="O532" s="133"/>
      <c r="P532" s="19" t="s">
        <v>10</v>
      </c>
      <c r="Q532" s="134"/>
      <c r="R532" s="134"/>
      <c r="S532" s="134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3" t="str">
        <f>M$1</f>
        <v>BM JANEIRO 2026</v>
      </c>
      <c r="N563" s="133"/>
      <c r="O563" s="133"/>
      <c r="P563" s="19" t="s">
        <v>10</v>
      </c>
      <c r="Q563" s="134"/>
      <c r="R563" s="134"/>
      <c r="S563" s="134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3" t="str">
        <f>M$1</f>
        <v>BM JANEIRO 2026</v>
      </c>
      <c r="N594" s="133"/>
      <c r="O594" s="133"/>
      <c r="P594" s="19" t="s">
        <v>10</v>
      </c>
      <c r="Q594" s="134"/>
      <c r="R594" s="134"/>
      <c r="S594" s="134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3" t="str">
        <f>M$1</f>
        <v>BM JANEIRO 2026</v>
      </c>
      <c r="N625" s="133"/>
      <c r="O625" s="133"/>
      <c r="P625" s="19" t="s">
        <v>10</v>
      </c>
      <c r="Q625" s="134" t="s">
        <v>267</v>
      </c>
      <c r="R625" s="134"/>
      <c r="S625" s="134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3" t="str">
        <f>M$1</f>
        <v>BM JANEIRO 2026</v>
      </c>
      <c r="N656" s="133"/>
      <c r="O656" s="133"/>
      <c r="P656" s="19" t="s">
        <v>10</v>
      </c>
      <c r="Q656" s="134" t="s">
        <v>198</v>
      </c>
      <c r="R656" s="134"/>
      <c r="S656" s="134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3" t="str">
        <f>M$1</f>
        <v>BM JANEIRO 2026</v>
      </c>
      <c r="N687" s="133"/>
      <c r="O687" s="133"/>
      <c r="P687" s="19" t="s">
        <v>10</v>
      </c>
      <c r="Q687" s="134" t="s">
        <v>207</v>
      </c>
      <c r="R687" s="134"/>
      <c r="S687" s="134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3" t="str">
        <f>M$1</f>
        <v>BM JANEIRO 2026</v>
      </c>
      <c r="N718" s="133"/>
      <c r="O718" s="133"/>
      <c r="P718" s="19" t="s">
        <v>10</v>
      </c>
      <c r="Q718" s="134" t="s">
        <v>208</v>
      </c>
      <c r="R718" s="134"/>
      <c r="S718" s="134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3" t="str">
        <f>M$1</f>
        <v>BM JANEIRO 2026</v>
      </c>
      <c r="N749" s="133"/>
      <c r="O749" s="133"/>
      <c r="P749" s="19" t="s">
        <v>10</v>
      </c>
      <c r="Q749" s="134"/>
      <c r="R749" s="134"/>
      <c r="S749" s="134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33" t="str">
        <f>M$1</f>
        <v>BM JANEIRO 2026</v>
      </c>
      <c r="N780" s="133"/>
      <c r="O780" s="133"/>
      <c r="P780" s="19" t="s">
        <v>10</v>
      </c>
      <c r="Q780" s="134"/>
      <c r="R780" s="134"/>
      <c r="S780" s="134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3" t="str">
        <f>M$1</f>
        <v>BM JANEIRO 2026</v>
      </c>
      <c r="N811" s="133"/>
      <c r="O811" s="133"/>
      <c r="P811" s="19" t="s">
        <v>10</v>
      </c>
      <c r="Q811" s="134"/>
      <c r="R811" s="134"/>
      <c r="S811" s="134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3" t="str">
        <f>M$1</f>
        <v>BM JANEIRO 2026</v>
      </c>
      <c r="N842" s="133"/>
      <c r="O842" s="133"/>
      <c r="P842" s="19" t="s">
        <v>10</v>
      </c>
      <c r="Q842" s="134"/>
      <c r="R842" s="134"/>
      <c r="S842" s="134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3" t="str">
        <f>M$1</f>
        <v>BM JANEIRO 2026</v>
      </c>
      <c r="N873" s="133"/>
      <c r="O873" s="133"/>
      <c r="P873" s="19" t="s">
        <v>10</v>
      </c>
      <c r="Q873" s="134"/>
      <c r="R873" s="134"/>
      <c r="S873" s="134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3" t="str">
        <f>M$1</f>
        <v>BM JANEIRO 2026</v>
      </c>
      <c r="N904" s="133"/>
      <c r="O904" s="133"/>
      <c r="P904" s="19" t="s">
        <v>10</v>
      </c>
      <c r="Q904" s="134"/>
      <c r="R904" s="134"/>
      <c r="S904" s="134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3" t="str">
        <f>M$1</f>
        <v>BM JANEIRO 2026</v>
      </c>
      <c r="N935" s="133"/>
      <c r="O935" s="133"/>
      <c r="P935" s="19" t="s">
        <v>10</v>
      </c>
      <c r="Q935" s="134"/>
      <c r="R935" s="134"/>
      <c r="S935" s="134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3" t="str">
        <f>M$1</f>
        <v>BM JANEIRO 2026</v>
      </c>
      <c r="N966" s="133"/>
      <c r="O966" s="133"/>
      <c r="P966" s="19" t="s">
        <v>10</v>
      </c>
      <c r="Q966" s="134" t="s">
        <v>275</v>
      </c>
      <c r="R966" s="134"/>
      <c r="S966" s="134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3" t="str">
        <f>M$1</f>
        <v>BM JANEIRO 2026</v>
      </c>
      <c r="N997" s="133"/>
      <c r="O997" s="133"/>
      <c r="P997" s="19" t="s">
        <v>10</v>
      </c>
      <c r="Q997" s="134"/>
      <c r="R997" s="134"/>
      <c r="S997" s="134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3" t="str">
        <f>M$1</f>
        <v>BM JANEIRO 2026</v>
      </c>
      <c r="N1028" s="133"/>
      <c r="O1028" s="133"/>
      <c r="P1028" s="19" t="s">
        <v>10</v>
      </c>
      <c r="Q1028" s="134" t="s">
        <v>188</v>
      </c>
      <c r="R1028" s="134"/>
      <c r="S1028" s="134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3" t="str">
        <f>M$1</f>
        <v>BM JANEIRO 2026</v>
      </c>
      <c r="N1059" s="133"/>
      <c r="O1059" s="133"/>
      <c r="P1059" s="19" t="s">
        <v>10</v>
      </c>
      <c r="Q1059" s="134" t="s">
        <v>209</v>
      </c>
      <c r="R1059" s="134"/>
      <c r="S1059" s="134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3" t="str">
        <f>M$1</f>
        <v>BM JANEIRO 2026</v>
      </c>
      <c r="N1090" s="133"/>
      <c r="O1090" s="133"/>
      <c r="P1090" s="19" t="s">
        <v>10</v>
      </c>
      <c r="Q1090" s="134" t="s">
        <v>199</v>
      </c>
      <c r="R1090" s="134"/>
      <c r="S1090" s="134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3" t="str">
        <f>M$1</f>
        <v>BM JANEIRO 2026</v>
      </c>
      <c r="N1121" s="133"/>
      <c r="O1121" s="133"/>
      <c r="P1121" s="19" t="s">
        <v>228</v>
      </c>
      <c r="Q1121" s="134" t="s">
        <v>229</v>
      </c>
      <c r="R1121" s="134"/>
      <c r="S1121" s="134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3" t="str">
        <f>M$1</f>
        <v>BM JANEIRO 2026</v>
      </c>
      <c r="N1152" s="133"/>
      <c r="O1152" s="133"/>
      <c r="P1152" s="19" t="s">
        <v>10</v>
      </c>
      <c r="Q1152" s="134" t="s">
        <v>210</v>
      </c>
      <c r="R1152" s="134"/>
      <c r="S1152" s="134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3" t="str">
        <f>M$1</f>
        <v>BM JANEIRO 2026</v>
      </c>
      <c r="N1183" s="133"/>
      <c r="O1183" s="133"/>
      <c r="P1183" s="19" t="s">
        <v>10</v>
      </c>
      <c r="Q1183" s="134"/>
      <c r="R1183" s="134"/>
      <c r="S1183" s="134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3" t="str">
        <f>M$1</f>
        <v>BM JANEIRO 2026</v>
      </c>
      <c r="N1214" s="133"/>
      <c r="O1214" s="133"/>
      <c r="P1214" s="19" t="s">
        <v>10</v>
      </c>
      <c r="Q1214" s="134" t="s">
        <v>211</v>
      </c>
      <c r="R1214" s="134"/>
      <c r="S1214" s="134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3" t="str">
        <f>M$1</f>
        <v>BM JANEIRO 2026</v>
      </c>
      <c r="N1245" s="133"/>
      <c r="O1245" s="133"/>
      <c r="P1245" s="19" t="s">
        <v>10</v>
      </c>
      <c r="Q1245" s="134" t="s">
        <v>258</v>
      </c>
      <c r="R1245" s="134"/>
      <c r="S1245" s="134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3" t="str">
        <f>M$1</f>
        <v>BM JANEIRO 2026</v>
      </c>
      <c r="N1276" s="133"/>
      <c r="O1276" s="133"/>
      <c r="P1276" s="19" t="s">
        <v>10</v>
      </c>
      <c r="Q1276" s="134"/>
      <c r="R1276" s="134"/>
      <c r="S1276" s="134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3" t="str">
        <f>M$1</f>
        <v>BM JANEIRO 2026</v>
      </c>
      <c r="N1307" s="133"/>
      <c r="O1307" s="133"/>
      <c r="P1307" s="19" t="s">
        <v>10</v>
      </c>
      <c r="Q1307" s="134" t="s">
        <v>189</v>
      </c>
      <c r="R1307" s="134"/>
      <c r="S1307" s="134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3" t="str">
        <f>M$1</f>
        <v>BM JANEIRO 2026</v>
      </c>
      <c r="N1338" s="133"/>
      <c r="O1338" s="133"/>
      <c r="P1338" s="19" t="s">
        <v>10</v>
      </c>
      <c r="Q1338" s="134"/>
      <c r="R1338" s="134"/>
      <c r="S1338" s="134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3" t="str">
        <f>M$1</f>
        <v>BM JANEIRO 2026</v>
      </c>
      <c r="N1369" s="133"/>
      <c r="O1369" s="133"/>
      <c r="P1369" s="19" t="s">
        <v>10</v>
      </c>
      <c r="Q1369" s="134"/>
      <c r="R1369" s="134"/>
      <c r="S1369" s="134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3" t="str">
        <f>M$1</f>
        <v>BM JANEIRO 2026</v>
      </c>
      <c r="N1400" s="133"/>
      <c r="O1400" s="133"/>
      <c r="P1400" s="19" t="s">
        <v>10</v>
      </c>
      <c r="Q1400" s="134" t="s">
        <v>264</v>
      </c>
      <c r="R1400" s="134"/>
      <c r="S1400" s="134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3" t="str">
        <f>M$1</f>
        <v>BM JANEIRO 2026</v>
      </c>
      <c r="N1431" s="133"/>
      <c r="O1431" s="133"/>
      <c r="P1431" s="19" t="s">
        <v>10</v>
      </c>
      <c r="Q1431" s="134" t="s">
        <v>243</v>
      </c>
      <c r="R1431" s="134"/>
      <c r="S1431" s="134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3" t="str">
        <f>M$1</f>
        <v>BM JANEIRO 2026</v>
      </c>
      <c r="N1462" s="133"/>
      <c r="O1462" s="133"/>
      <c r="P1462" s="19" t="s">
        <v>10</v>
      </c>
      <c r="Q1462" s="134" t="s">
        <v>239</v>
      </c>
      <c r="R1462" s="134"/>
      <c r="S1462" s="134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3" t="str">
        <f>M$1</f>
        <v>BM JANEIRO 2026</v>
      </c>
      <c r="N1493" s="133"/>
      <c r="O1493" s="133"/>
      <c r="P1493" s="19" t="s">
        <v>10</v>
      </c>
      <c r="Q1493" s="134" t="s">
        <v>212</v>
      </c>
      <c r="R1493" s="134"/>
      <c r="S1493" s="134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5" customFormat="1" outlineLevel="1">
      <c r="B1506" s="115" t="s">
        <v>116</v>
      </c>
      <c r="C1506" s="123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3" t="s">
        <v>251</v>
      </c>
      <c r="I1506" s="117">
        <f t="shared" si="302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3" t="str">
        <f>M$1</f>
        <v>BM JANEIRO 2026</v>
      </c>
      <c r="N1524" s="133"/>
      <c r="O1524" s="133"/>
      <c r="P1524" s="19" t="s">
        <v>10</v>
      </c>
      <c r="Q1524" s="134"/>
      <c r="R1524" s="134"/>
      <c r="S1524" s="134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3" t="str">
        <f>M$1</f>
        <v>BM JANEIRO 2026</v>
      </c>
      <c r="N1555" s="133"/>
      <c r="O1555" s="133"/>
      <c r="P1555" s="19" t="s">
        <v>10</v>
      </c>
      <c r="Q1555" s="134" t="s">
        <v>193</v>
      </c>
      <c r="R1555" s="134"/>
      <c r="S1555" s="134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3" t="str">
        <f>M$1</f>
        <v>BM JANEIRO 2026</v>
      </c>
      <c r="N1586" s="133"/>
      <c r="O1586" s="133"/>
      <c r="P1586" s="19" t="s">
        <v>10</v>
      </c>
      <c r="Q1586" s="134"/>
      <c r="R1586" s="134"/>
      <c r="S1586" s="134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3" t="str">
        <f>M$1</f>
        <v>BM JANEIRO 2026</v>
      </c>
      <c r="N1617" s="133"/>
      <c r="O1617" s="133"/>
      <c r="P1617" s="19" t="s">
        <v>10</v>
      </c>
      <c r="Q1617" s="134" t="s">
        <v>256</v>
      </c>
      <c r="R1617" s="134"/>
      <c r="S1617" s="134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3" t="str">
        <f>M$1</f>
        <v>BM JANEIRO 2026</v>
      </c>
      <c r="N1648" s="133"/>
      <c r="O1648" s="133"/>
      <c r="P1648" s="19" t="s">
        <v>10</v>
      </c>
      <c r="Q1648" s="134" t="s">
        <v>247</v>
      </c>
      <c r="R1648" s="134"/>
      <c r="S1648" s="134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3" t="str">
        <f>M$1</f>
        <v>BM JANEIRO 2026</v>
      </c>
      <c r="N1679" s="133"/>
      <c r="O1679" s="133"/>
      <c r="P1679" s="19" t="s">
        <v>10</v>
      </c>
      <c r="Q1679" s="134" t="s">
        <v>195</v>
      </c>
      <c r="R1679" s="134"/>
      <c r="S1679" s="134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3" t="str">
        <f>M$1</f>
        <v>BM JANEIRO 2026</v>
      </c>
      <c r="N1710" s="133"/>
      <c r="O1710" s="133"/>
      <c r="P1710" s="19" t="s">
        <v>10</v>
      </c>
      <c r="Q1710" s="134" t="s">
        <v>241</v>
      </c>
      <c r="R1710" s="134"/>
      <c r="S1710" s="134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3" t="str">
        <f>M$1</f>
        <v>BM JANEIRO 2026</v>
      </c>
      <c r="N1741" s="133"/>
      <c r="O1741" s="133"/>
      <c r="P1741" s="19" t="s">
        <v>10</v>
      </c>
      <c r="Q1741" s="134" t="s">
        <v>237</v>
      </c>
      <c r="R1741" s="134"/>
      <c r="S1741" s="134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3" t="str">
        <f>M$1</f>
        <v>BM JANEIRO 2026</v>
      </c>
      <c r="N1772" s="133"/>
      <c r="O1772" s="133"/>
      <c r="P1772" s="19" t="s">
        <v>10</v>
      </c>
      <c r="Q1772" s="134" t="s">
        <v>213</v>
      </c>
      <c r="R1772" s="134"/>
      <c r="S1772" s="134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3" t="str">
        <f>M$1</f>
        <v>BM JANEIRO 2026</v>
      </c>
      <c r="N1803" s="133"/>
      <c r="O1803" s="133"/>
      <c r="P1803" s="19" t="s">
        <v>10</v>
      </c>
      <c r="Q1803" s="134" t="s">
        <v>214</v>
      </c>
      <c r="R1803" s="134"/>
      <c r="S1803" s="134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3" t="str">
        <f>M$1</f>
        <v>BM JANEIRO 2026</v>
      </c>
      <c r="N1834" s="133"/>
      <c r="O1834" s="133"/>
      <c r="P1834" s="19" t="s">
        <v>10</v>
      </c>
      <c r="Q1834" s="134" t="s">
        <v>260</v>
      </c>
      <c r="R1834" s="134"/>
      <c r="S1834" s="134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3" t="str">
        <f>M$1</f>
        <v>BM JANEIRO 2026</v>
      </c>
      <c r="N1865" s="133"/>
      <c r="O1865" s="133"/>
      <c r="P1865" s="19" t="s">
        <v>10</v>
      </c>
      <c r="Q1865" s="134" t="s">
        <v>236</v>
      </c>
      <c r="R1865" s="134"/>
      <c r="S1865" s="134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3" t="str">
        <f>M$1</f>
        <v>BM JANEIRO 2026</v>
      </c>
      <c r="N1896" s="133"/>
      <c r="O1896" s="133"/>
      <c r="P1896" s="19" t="s">
        <v>10</v>
      </c>
      <c r="Q1896" s="134" t="s">
        <v>242</v>
      </c>
      <c r="R1896" s="134"/>
      <c r="S1896" s="134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3" t="str">
        <f>M$1</f>
        <v>BM JANEIRO 2026</v>
      </c>
      <c r="N1927" s="133"/>
      <c r="O1927" s="133"/>
      <c r="P1927" s="19" t="s">
        <v>10</v>
      </c>
      <c r="Q1927" s="134" t="s">
        <v>266</v>
      </c>
      <c r="R1927" s="134"/>
      <c r="S1927" s="134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3" t="str">
        <f>M$1</f>
        <v>BM JANEIRO 2026</v>
      </c>
      <c r="N1958" s="133"/>
      <c r="O1958" s="133"/>
      <c r="P1958" s="19" t="s">
        <v>10</v>
      </c>
      <c r="Q1958" s="134" t="s">
        <v>250</v>
      </c>
      <c r="R1958" s="134"/>
      <c r="S1958" s="134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3" t="str">
        <f>M$1</f>
        <v>BM JANEIRO 2026</v>
      </c>
      <c r="N1989" s="133"/>
      <c r="O1989" s="133"/>
      <c r="P1989" s="19" t="s">
        <v>10</v>
      </c>
      <c r="Q1989" s="134" t="s">
        <v>240</v>
      </c>
      <c r="R1989" s="134"/>
      <c r="S1989" s="134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3" t="str">
        <f>M$1</f>
        <v>BM JANEIRO 2026</v>
      </c>
      <c r="N2020" s="133"/>
      <c r="O2020" s="133"/>
      <c r="P2020" s="19" t="s">
        <v>10</v>
      </c>
      <c r="Q2020" s="134" t="s">
        <v>257</v>
      </c>
      <c r="R2020" s="134"/>
      <c r="S2020" s="134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/>
      <c r="F2027" s="21"/>
      <c r="G2027" s="15">
        <f t="shared" si="418"/>
        <v>0</v>
      </c>
      <c r="H2027" s="16" t="s">
        <v>278</v>
      </c>
      <c r="I2027" s="10">
        <f t="shared" si="417"/>
        <v>714.28571428571433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/>
      <c r="F2028" s="21"/>
      <c r="G2028" s="15">
        <f t="shared" si="418"/>
        <v>0</v>
      </c>
      <c r="H2028" s="16" t="s">
        <v>278</v>
      </c>
      <c r="I2028" s="10">
        <f t="shared" si="417"/>
        <v>714.28571428571433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/>
      <c r="F2030" s="21"/>
      <c r="G2030" s="15">
        <f t="shared" si="418"/>
        <v>0</v>
      </c>
      <c r="H2030" s="16" t="s">
        <v>278</v>
      </c>
      <c r="I2030" s="10">
        <f t="shared" si="417"/>
        <v>714.28571428571433</v>
      </c>
      <c r="J2030" s="16" t="s">
        <v>16</v>
      </c>
      <c r="K2030" s="15"/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/>
      <c r="F2031" s="21"/>
      <c r="G2031" s="15">
        <f t="shared" si="418"/>
        <v>0</v>
      </c>
      <c r="H2031" s="16" t="s">
        <v>278</v>
      </c>
      <c r="I2031" s="10">
        <f t="shared" si="417"/>
        <v>714.28571428571433</v>
      </c>
      <c r="J2031" s="16" t="s">
        <v>16</v>
      </c>
      <c r="K2031" s="15"/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/>
      <c r="F2032" s="21"/>
      <c r="G2032" s="15">
        <f t="shared" si="418"/>
        <v>0</v>
      </c>
      <c r="H2032" s="16" t="s">
        <v>278</v>
      </c>
      <c r="I2032" s="10">
        <f t="shared" si="417"/>
        <v>714.28571428571433</v>
      </c>
      <c r="J2032" s="16" t="s">
        <v>16</v>
      </c>
      <c r="K2032" s="15"/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/>
      <c r="F2033" s="21"/>
      <c r="G2033" s="15">
        <f t="shared" si="418"/>
        <v>0</v>
      </c>
      <c r="H2033" s="16" t="s">
        <v>278</v>
      </c>
      <c r="I2033" s="10">
        <f t="shared" si="417"/>
        <v>714.28571428571433</v>
      </c>
      <c r="J2033" s="16" t="s">
        <v>16</v>
      </c>
      <c r="K2033" s="15"/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 t="s">
        <v>16</v>
      </c>
      <c r="K2034" s="15"/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/>
      <c r="F2035" s="21"/>
      <c r="G2035" s="15">
        <f t="shared" si="418"/>
        <v>0</v>
      </c>
      <c r="H2035" s="16" t="s">
        <v>278</v>
      </c>
      <c r="I2035" s="10">
        <f t="shared" si="417"/>
        <v>714.28571428571433</v>
      </c>
      <c r="J2035" s="16" t="s">
        <v>16</v>
      </c>
      <c r="K2035" s="15"/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/>
      <c r="F2037" s="21"/>
      <c r="G2037" s="15">
        <f t="shared" si="418"/>
        <v>0</v>
      </c>
      <c r="H2037" s="16" t="s">
        <v>278</v>
      </c>
      <c r="I2037" s="10">
        <f t="shared" si="417"/>
        <v>714.28571428571433</v>
      </c>
      <c r="J2037" s="16" t="s">
        <v>16</v>
      </c>
      <c r="K2037" s="15"/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/>
      <c r="F2038" s="21"/>
      <c r="G2038" s="15">
        <f t="shared" si="418"/>
        <v>0</v>
      </c>
      <c r="H2038" s="16" t="s">
        <v>278</v>
      </c>
      <c r="I2038" s="10">
        <f t="shared" si="417"/>
        <v>714.28571428571433</v>
      </c>
      <c r="J2038" s="16" t="s">
        <v>16</v>
      </c>
      <c r="K2038" s="15"/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/>
      <c r="F2039" s="21"/>
      <c r="G2039" s="15">
        <f t="shared" si="418"/>
        <v>0</v>
      </c>
      <c r="H2039" s="16" t="s">
        <v>278</v>
      </c>
      <c r="I2039" s="10">
        <f t="shared" si="417"/>
        <v>714.28571428571433</v>
      </c>
      <c r="J2039" s="16" t="s">
        <v>16</v>
      </c>
      <c r="K2039" s="15"/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/>
      <c r="F2040" s="21"/>
      <c r="G2040" s="15">
        <f t="shared" si="418"/>
        <v>0</v>
      </c>
      <c r="H2040" s="16" t="s">
        <v>278</v>
      </c>
      <c r="I2040" s="10">
        <f t="shared" si="417"/>
        <v>714.28571428571433</v>
      </c>
      <c r="J2040" s="16" t="s">
        <v>16</v>
      </c>
      <c r="K2040" s="15"/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/>
      <c r="F2041" s="21"/>
      <c r="G2041" s="15">
        <f t="shared" si="418"/>
        <v>0</v>
      </c>
      <c r="H2041" s="16" t="s">
        <v>278</v>
      </c>
      <c r="I2041" s="10">
        <f t="shared" si="417"/>
        <v>714.28571428571433</v>
      </c>
      <c r="J2041" s="16" t="s">
        <v>16</v>
      </c>
      <c r="K2041" s="15"/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73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73"/>
      <c r="F2044" s="15"/>
      <c r="G2044" s="15">
        <f t="shared" si="418"/>
        <v>0</v>
      </c>
      <c r="H2044" s="16" t="s">
        <v>278</v>
      </c>
      <c r="I2044" s="10">
        <f t="shared" si="417"/>
        <v>714.28571428571433</v>
      </c>
      <c r="J2044" s="16" t="s">
        <v>16</v>
      </c>
      <c r="K2044" s="15"/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73"/>
      <c r="F2045" s="15"/>
      <c r="G2045" s="15">
        <f t="shared" si="418"/>
        <v>0</v>
      </c>
      <c r="H2045" s="16" t="s">
        <v>278</v>
      </c>
      <c r="I2045" s="10">
        <f t="shared" si="417"/>
        <v>714.28571428571433</v>
      </c>
      <c r="J2045" s="16" t="s">
        <v>16</v>
      </c>
      <c r="K2045" s="15"/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73"/>
      <c r="F2046" s="15"/>
      <c r="G2046" s="15">
        <f t="shared" si="418"/>
        <v>0</v>
      </c>
      <c r="H2046" s="16" t="s">
        <v>278</v>
      </c>
      <c r="I2046" s="10">
        <f t="shared" si="417"/>
        <v>714.28571428571433</v>
      </c>
      <c r="J2046" s="16" t="s">
        <v>16</v>
      </c>
      <c r="K2046" s="15"/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73"/>
      <c r="F2047" s="15"/>
      <c r="G2047" s="15">
        <f t="shared" si="418"/>
        <v>0</v>
      </c>
      <c r="H2047" s="16" t="s">
        <v>278</v>
      </c>
      <c r="I2047" s="10">
        <f t="shared" si="417"/>
        <v>714.28571428571433</v>
      </c>
      <c r="J2047" s="16" t="s">
        <v>16</v>
      </c>
      <c r="K2047" s="15"/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73">
        <v>170515</v>
      </c>
      <c r="F2048" s="15">
        <v>170655</v>
      </c>
      <c r="G2048" s="15">
        <f t="shared" si="418"/>
        <v>140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73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/>
      <c r="K2049" s="15">
        <v>1</v>
      </c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3" t="str">
        <f>M$1</f>
        <v>BM JANEIRO 2026</v>
      </c>
      <c r="N2051" s="133"/>
      <c r="O2051" s="133"/>
      <c r="P2051" s="19" t="s">
        <v>10</v>
      </c>
      <c r="Q2051" s="134" t="s">
        <v>197</v>
      </c>
      <c r="R2051" s="134"/>
      <c r="S2051" s="134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3" t="str">
        <f>M$1</f>
        <v>BM JANEIRO 2026</v>
      </c>
      <c r="N2082" s="133"/>
      <c r="O2082" s="133"/>
      <c r="P2082" s="19" t="s">
        <v>10</v>
      </c>
      <c r="Q2082" s="134" t="s">
        <v>190</v>
      </c>
      <c r="R2082" s="134"/>
      <c r="S2082" s="134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3" t="str">
        <f>M$1</f>
        <v>BM JANEIRO 2026</v>
      </c>
      <c r="N2113" s="133"/>
      <c r="O2113" s="133"/>
      <c r="P2113" s="19" t="s">
        <v>10</v>
      </c>
      <c r="Q2113" s="134" t="s">
        <v>191</v>
      </c>
      <c r="R2113" s="134"/>
      <c r="S2113" s="134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3" t="str">
        <f>M$1</f>
        <v>BM JANEIRO 2026</v>
      </c>
      <c r="N2144" s="133"/>
      <c r="O2144" s="133"/>
      <c r="P2144" s="19" t="s">
        <v>10</v>
      </c>
      <c r="Q2144" s="134" t="s">
        <v>252</v>
      </c>
      <c r="R2144" s="134"/>
      <c r="S2144" s="134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3" t="str">
        <f>M$1</f>
        <v>BM JANEIRO 2026</v>
      </c>
      <c r="N2175" s="133"/>
      <c r="O2175" s="133"/>
      <c r="P2175" s="19" t="s">
        <v>10</v>
      </c>
      <c r="Q2175" s="134" t="s">
        <v>196</v>
      </c>
      <c r="R2175" s="134"/>
      <c r="S2175" s="134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3" t="str">
        <f>M$1</f>
        <v>BM JANEIRO 2026</v>
      </c>
      <c r="N2206" s="133"/>
      <c r="O2206" s="133"/>
      <c r="P2206" s="19" t="s">
        <v>10</v>
      </c>
      <c r="Q2206" s="144" t="s">
        <v>263</v>
      </c>
      <c r="R2206" s="144"/>
      <c r="S2206" s="144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3" t="str">
        <f>M$1</f>
        <v>BM JANEIRO 2026</v>
      </c>
      <c r="N2237" s="133"/>
      <c r="O2237" s="133"/>
      <c r="P2237" s="19" t="s">
        <v>10</v>
      </c>
      <c r="Q2237" s="134" t="s">
        <v>192</v>
      </c>
      <c r="R2237" s="134"/>
      <c r="S2237" s="134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3" t="str">
        <f>M$1</f>
        <v>BM JANEIRO 2026</v>
      </c>
      <c r="N2268" s="133"/>
      <c r="O2268" s="133"/>
      <c r="P2268" s="19" t="s">
        <v>10</v>
      </c>
      <c r="Q2268" s="134" t="s">
        <v>193</v>
      </c>
      <c r="R2268" s="134"/>
      <c r="S2268" s="134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3" t="str">
        <f>M$1</f>
        <v>BM JANEIRO 2026</v>
      </c>
      <c r="N2299" s="133"/>
      <c r="O2299" s="133"/>
      <c r="P2299" s="19" t="s">
        <v>10</v>
      </c>
      <c r="Q2299" s="134" t="s">
        <v>265</v>
      </c>
      <c r="R2299" s="134"/>
      <c r="S2299" s="134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/>
      <c r="F2311" s="15"/>
      <c r="G2311" s="15">
        <f t="shared" si="480"/>
        <v>0</v>
      </c>
      <c r="H2311" s="16" t="s">
        <v>262</v>
      </c>
      <c r="I2311" s="10">
        <f t="shared" si="479"/>
        <v>514.28571428571433</v>
      </c>
      <c r="J2311" s="16" t="s">
        <v>16</v>
      </c>
      <c r="K2311" s="15"/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/>
      <c r="F2316" s="15"/>
      <c r="G2316" s="15">
        <f t="shared" si="480"/>
        <v>0</v>
      </c>
      <c r="H2316" s="16" t="s">
        <v>262</v>
      </c>
      <c r="I2316" s="10">
        <f t="shared" si="479"/>
        <v>514.28571428571433</v>
      </c>
      <c r="J2316" s="16" t="s">
        <v>16</v>
      </c>
      <c r="K2316" s="15"/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/>
      <c r="F2317" s="15"/>
      <c r="G2317" s="15">
        <f t="shared" si="480"/>
        <v>0</v>
      </c>
      <c r="H2317" s="16" t="s">
        <v>262</v>
      </c>
      <c r="I2317" s="10">
        <f t="shared" si="479"/>
        <v>514.28571428571433</v>
      </c>
      <c r="J2317" s="16" t="s">
        <v>16</v>
      </c>
      <c r="K2317" s="15"/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/>
      <c r="F2318" s="15"/>
      <c r="G2318" s="15">
        <f t="shared" si="480"/>
        <v>0</v>
      </c>
      <c r="H2318" s="16" t="s">
        <v>262</v>
      </c>
      <c r="I2318" s="10">
        <f t="shared" si="479"/>
        <v>514.28571428571433</v>
      </c>
      <c r="J2318" s="16" t="s">
        <v>16</v>
      </c>
      <c r="K2318" s="15"/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/>
      <c r="F2319" s="15"/>
      <c r="G2319" s="15">
        <f t="shared" si="480"/>
        <v>0</v>
      </c>
      <c r="H2319" s="16" t="s">
        <v>262</v>
      </c>
      <c r="I2319" s="10">
        <f t="shared" si="479"/>
        <v>514.28571428571433</v>
      </c>
      <c r="J2319" s="16" t="s">
        <v>16</v>
      </c>
      <c r="K2319" s="15"/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/>
      <c r="F2326" s="15"/>
      <c r="G2326" s="15">
        <f t="shared" si="480"/>
        <v>0</v>
      </c>
      <c r="H2326" s="16" t="s">
        <v>262</v>
      </c>
      <c r="I2326" s="10">
        <f t="shared" si="479"/>
        <v>514.28571428571433</v>
      </c>
      <c r="J2326" s="16" t="s">
        <v>16</v>
      </c>
      <c r="K2326" s="15"/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3" t="str">
        <f>M$1</f>
        <v>BM JANEIRO 2026</v>
      </c>
      <c r="N2330" s="133"/>
      <c r="O2330" s="133"/>
      <c r="P2330" s="19" t="s">
        <v>10</v>
      </c>
      <c r="Q2330" s="134" t="s">
        <v>253</v>
      </c>
      <c r="R2330" s="134"/>
      <c r="S2330" s="134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35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>
        <v>1277.2</v>
      </c>
      <c r="F2334" s="15">
        <v>1280.5</v>
      </c>
      <c r="G2334" s="15">
        <f t="shared" si="483"/>
        <v>3.2999999999999545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s="156" customFormat="1" outlineLevel="1">
      <c r="B2335" s="152" t="s">
        <v>172</v>
      </c>
      <c r="C2335" s="153" t="str">
        <f t="shared" si="484"/>
        <v>ROLO COMPACTADOR HAMM HD90 CHASSIS A05138</v>
      </c>
      <c r="D2335" s="154">
        <f t="shared" si="482"/>
        <v>46057</v>
      </c>
      <c r="E2335" s="118"/>
      <c r="F2335" s="118"/>
      <c r="G2335" s="118">
        <f t="shared" si="483"/>
        <v>0</v>
      </c>
      <c r="H2335" s="153" t="s">
        <v>262</v>
      </c>
      <c r="I2335" s="155">
        <f t="shared" si="486"/>
        <v>514.28571428571433</v>
      </c>
      <c r="J2335" s="153" t="s">
        <v>16</v>
      </c>
      <c r="K2335" s="118">
        <v>1</v>
      </c>
      <c r="L2335" s="118">
        <v>80</v>
      </c>
      <c r="M2335" s="154">
        <v>46057</v>
      </c>
      <c r="N2335" s="118"/>
      <c r="O2335" s="118"/>
      <c r="P2335" s="118"/>
      <c r="Q2335" s="118"/>
      <c r="R2335" s="118"/>
      <c r="S2335" s="155">
        <f t="shared" si="485"/>
        <v>514.28571428571433</v>
      </c>
    </row>
    <row r="2336" spans="2:19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>
        <v>1280.5</v>
      </c>
      <c r="F2336" s="15"/>
      <c r="G2336" s="15">
        <f>F2336-E2336</f>
        <v>-1280.5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>F2337-E2337</f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ref="G2338:G2359" si="487">F2338-E2338</f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7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7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/>
      <c r="F2341" s="15"/>
      <c r="G2341" s="15">
        <f t="shared" si="487"/>
        <v>0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/>
      <c r="F2342" s="15"/>
      <c r="G2342" s="15">
        <f t="shared" si="487"/>
        <v>0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/>
      <c r="F2343" s="15"/>
      <c r="G2343" s="15">
        <f t="shared" si="487"/>
        <v>0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/>
      <c r="F2344" s="15"/>
      <c r="G2344" s="15">
        <f t="shared" si="487"/>
        <v>0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8">O2343</f>
        <v>0</v>
      </c>
      <c r="P2344" s="9"/>
      <c r="Q2344" s="9"/>
      <c r="R2344" s="9"/>
      <c r="S2344" s="10">
        <f t="shared" si="485"/>
        <v>514.28571428571433</v>
      </c>
    </row>
    <row r="2345" spans="2:19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7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8"/>
        <v>0</v>
      </c>
      <c r="P2345" s="9"/>
      <c r="Q2345" s="9"/>
      <c r="R2345" s="9"/>
      <c r="S2345" s="10">
        <f t="shared" si="485"/>
        <v>514.28571428571433</v>
      </c>
    </row>
    <row r="2346" spans="2:19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7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8"/>
        <v>0</v>
      </c>
      <c r="P2346" s="9"/>
      <c r="Q2346" s="9"/>
      <c r="R2346" s="9"/>
      <c r="S2346" s="10">
        <f t="shared" si="485"/>
        <v>514.28571428571433</v>
      </c>
    </row>
    <row r="2347" spans="2:19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/>
      <c r="F2347" s="15"/>
      <c r="G2347" s="15">
        <f t="shared" si="487"/>
        <v>0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8"/>
        <v>0</v>
      </c>
      <c r="P2347" s="9"/>
      <c r="Q2347" s="9"/>
      <c r="R2347" s="9"/>
      <c r="S2347" s="10">
        <f t="shared" si="485"/>
        <v>514.28571428571433</v>
      </c>
    </row>
    <row r="2348" spans="2:19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/>
      <c r="F2348" s="15"/>
      <c r="G2348" s="15">
        <f t="shared" si="487"/>
        <v>0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8"/>
        <v>0</v>
      </c>
      <c r="P2348" s="9"/>
      <c r="Q2348" s="9"/>
      <c r="R2348" s="9"/>
      <c r="S2348" s="10">
        <f t="shared" si="485"/>
        <v>514.28571428571433</v>
      </c>
    </row>
    <row r="2349" spans="2:19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/>
      <c r="F2349" s="15"/>
      <c r="G2349" s="15">
        <f t="shared" si="487"/>
        <v>0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8"/>
        <v>0</v>
      </c>
      <c r="P2349" s="9"/>
      <c r="Q2349" s="9"/>
      <c r="R2349" s="9"/>
      <c r="S2349" s="10">
        <f t="shared" si="485"/>
        <v>514.28571428571433</v>
      </c>
    </row>
    <row r="2350" spans="2:19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/>
      <c r="F2350" s="15"/>
      <c r="G2350" s="15">
        <f t="shared" si="487"/>
        <v>0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8"/>
        <v>0</v>
      </c>
      <c r="P2350" s="9"/>
      <c r="Q2350" s="9"/>
      <c r="R2350" s="9"/>
      <c r="S2350" s="10">
        <f t="shared" si="485"/>
        <v>514.28571428571433</v>
      </c>
    </row>
    <row r="2351" spans="2:19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/>
      <c r="F2351" s="15"/>
      <c r="G2351" s="15">
        <f t="shared" si="487"/>
        <v>0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8"/>
        <v>0</v>
      </c>
      <c r="P2351" s="9"/>
      <c r="Q2351" s="9"/>
      <c r="R2351" s="9"/>
      <c r="S2351" s="10">
        <f t="shared" si="485"/>
        <v>514.28571428571433</v>
      </c>
    </row>
    <row r="2352" spans="2:19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7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8"/>
        <v>0</v>
      </c>
      <c r="P2352" s="9"/>
      <c r="Q2352" s="9"/>
      <c r="R2352" s="9"/>
      <c r="S2352" s="10">
        <f t="shared" si="485"/>
        <v>514.28571428571433</v>
      </c>
    </row>
    <row r="2353" spans="2:19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7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8"/>
        <v>0</v>
      </c>
      <c r="P2353" s="9"/>
      <c r="Q2353" s="9"/>
      <c r="R2353" s="9"/>
      <c r="S2353" s="10">
        <f t="shared" si="485"/>
        <v>514.28571428571433</v>
      </c>
    </row>
    <row r="2354" spans="2:19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7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8"/>
        <v>0</v>
      </c>
      <c r="P2354" s="9"/>
      <c r="Q2354" s="9"/>
      <c r="R2354" s="9"/>
      <c r="S2354" s="10">
        <f t="shared" si="485"/>
        <v>514.28571428571433</v>
      </c>
    </row>
    <row r="2355" spans="2:19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7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8"/>
        <v>0</v>
      </c>
      <c r="P2355" s="9"/>
      <c r="Q2355" s="9"/>
      <c r="R2355" s="9"/>
      <c r="S2355" s="10">
        <f t="shared" si="485"/>
        <v>514.28571428571433</v>
      </c>
    </row>
    <row r="2356" spans="2:19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/>
      <c r="F2356" s="15"/>
      <c r="G2356" s="15">
        <f t="shared" si="487"/>
        <v>0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8"/>
        <v>0</v>
      </c>
      <c r="P2356" s="9"/>
      <c r="Q2356" s="9"/>
      <c r="R2356" s="9"/>
      <c r="S2356" s="10">
        <f t="shared" si="485"/>
        <v>514.28571428571433</v>
      </c>
    </row>
    <row r="2357" spans="2:19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/>
      <c r="F2357" s="15"/>
      <c r="G2357" s="15">
        <f t="shared" si="487"/>
        <v>0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8"/>
        <v>0</v>
      </c>
      <c r="P2357" s="9"/>
      <c r="Q2357" s="9"/>
      <c r="R2357" s="9"/>
      <c r="S2357" s="10">
        <f t="shared" si="485"/>
        <v>514.28571428571433</v>
      </c>
    </row>
    <row r="2358" spans="2:19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7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8"/>
        <v>0</v>
      </c>
      <c r="P2358" s="9"/>
      <c r="Q2358" s="9"/>
      <c r="R2358" s="9"/>
      <c r="S2358" s="10">
        <f t="shared" si="485"/>
        <v>514.28571428571433</v>
      </c>
    </row>
    <row r="2359" spans="2:19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si="487"/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8"/>
        <v>0</v>
      </c>
      <c r="P2359" s="9"/>
      <c r="Q2359" s="9"/>
      <c r="R2359" s="9"/>
      <c r="S2359" s="10">
        <f t="shared" si="485"/>
        <v>514.28571428571433</v>
      </c>
    </row>
    <row r="2360" spans="2:19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3" t="str">
        <f>M$1</f>
        <v>BM JANEIRO 2026</v>
      </c>
      <c r="N2361" s="133"/>
      <c r="O2361" s="133"/>
      <c r="P2361" s="19" t="s">
        <v>10</v>
      </c>
      <c r="Q2361" s="134" t="s">
        <v>194</v>
      </c>
      <c r="R2361" s="134"/>
      <c r="S2361" s="134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>
        <v>52672</v>
      </c>
      <c r="F2388" s="15">
        <v>52685</v>
      </c>
      <c r="G2388" s="15">
        <f t="shared" si="494"/>
        <v>13</v>
      </c>
      <c r="H2388" s="16" t="s">
        <v>233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>
        <v>52685</v>
      </c>
      <c r="F2389" s="15">
        <v>52703</v>
      </c>
      <c r="G2389" s="15">
        <f t="shared" si="494"/>
        <v>18</v>
      </c>
      <c r="H2389" s="16" t="s">
        <v>233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233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3" t="str">
        <f>M$1</f>
        <v>BM JANEIRO 2026</v>
      </c>
      <c r="N2392" s="133"/>
      <c r="O2392" s="133"/>
      <c r="P2392" s="19" t="s">
        <v>10</v>
      </c>
      <c r="Q2392" s="134" t="s">
        <v>255</v>
      </c>
      <c r="R2392" s="134"/>
      <c r="S2392" s="134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3" t="str">
        <f>M$1</f>
        <v>BM JANEIRO 2026</v>
      </c>
      <c r="N2423" s="133"/>
      <c r="O2423" s="133"/>
      <c r="P2423" s="19" t="s">
        <v>10</v>
      </c>
      <c r="Q2423" s="134"/>
      <c r="R2423" s="134"/>
      <c r="S2423" s="134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3" t="str">
        <f>M$1</f>
        <v>BM JANEIRO 2026</v>
      </c>
      <c r="N2454" s="133"/>
      <c r="O2454" s="133"/>
      <c r="P2454" s="19" t="s">
        <v>10</v>
      </c>
      <c r="Q2454" s="134"/>
      <c r="R2454" s="134"/>
      <c r="S2454" s="134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3" t="str">
        <f>M$1</f>
        <v>BM JANEIRO 2026</v>
      </c>
      <c r="N2485" s="133"/>
      <c r="O2485" s="133"/>
      <c r="P2485" s="19" t="s">
        <v>10</v>
      </c>
      <c r="Q2485" s="134"/>
      <c r="R2485" s="134"/>
      <c r="S2485" s="134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3" t="str">
        <f>M$1</f>
        <v>BM JANEIRO 2026</v>
      </c>
      <c r="N2516" s="133"/>
      <c r="O2516" s="133"/>
      <c r="P2516" s="19" t="s">
        <v>10</v>
      </c>
      <c r="Q2516" s="134"/>
      <c r="R2516" s="134"/>
      <c r="S2516" s="134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3" t="str">
        <f>M$1</f>
        <v>BM JANEIRO 2026</v>
      </c>
      <c r="N2547" s="133"/>
      <c r="O2547" s="133"/>
      <c r="P2547" s="19" t="s">
        <v>10</v>
      </c>
      <c r="Q2547" s="134"/>
      <c r="R2547" s="134"/>
      <c r="S2547" s="134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3" t="str">
        <f>M$1</f>
        <v>BM JANEIRO 2026</v>
      </c>
      <c r="N2578" s="133"/>
      <c r="O2578" s="133"/>
      <c r="P2578" s="19" t="s">
        <v>10</v>
      </c>
      <c r="Q2578" s="134"/>
      <c r="R2578" s="134"/>
      <c r="S2578" s="134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3" t="str">
        <f>M$1</f>
        <v>BM JANEIRO 2026</v>
      </c>
      <c r="N2609" s="133"/>
      <c r="O2609" s="133"/>
      <c r="P2609" s="19" t="s">
        <v>10</v>
      </c>
      <c r="Q2609" s="134"/>
      <c r="R2609" s="134"/>
      <c r="S2609" s="134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3" t="str">
        <f>M$1</f>
        <v>BM JANEIRO 2026</v>
      </c>
      <c r="N2640" s="133"/>
      <c r="O2640" s="133"/>
      <c r="P2640" s="19" t="s">
        <v>10</v>
      </c>
      <c r="Q2640" s="134"/>
      <c r="R2640" s="134"/>
      <c r="S2640" s="134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H22" sqref="H22:I22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130" t="s">
        <v>14</v>
      </c>
      <c r="I22" s="130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H22" sqref="H22:I22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30" t="s">
        <v>14</v>
      </c>
      <c r="I22" s="130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F11" sqref="F11:G12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30" t="s">
        <v>14</v>
      </c>
      <c r="I24" s="130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30" t="s">
        <v>14</v>
      </c>
      <c r="I22" s="13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30" t="s">
        <v>14</v>
      </c>
      <c r="I19" s="13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30" t="s">
        <v>14</v>
      </c>
      <c r="I19" s="130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32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32">
        <v>2.89</v>
      </c>
      <c r="I20" s="35">
        <f t="shared" si="0"/>
        <v>8.67</v>
      </c>
    </row>
    <row r="21" spans="6:9">
      <c r="F21" s="36"/>
      <c r="G21" s="37"/>
      <c r="H21" s="130" t="s">
        <v>14</v>
      </c>
      <c r="I21" s="130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30" t="s">
        <v>14</v>
      </c>
      <c r="I21" s="130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30" t="s">
        <v>14</v>
      </c>
      <c r="I27" s="130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30" t="s">
        <v>14</v>
      </c>
      <c r="I21" s="130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1" t="s">
        <v>14</v>
      </c>
      <c r="I21" s="131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8" t="s">
        <v>14</v>
      </c>
      <c r="I25" s="12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1" t="s">
        <v>268</v>
      </c>
      <c r="B1" s="151"/>
    </row>
    <row r="2" spans="1:2" ht="31.9" customHeight="1">
      <c r="A2" s="151"/>
      <c r="B2" s="15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2026-03-05T18:25:06Z</dcterms:modified>
  <cp:category/>
  <cp:contentStatus/>
</cp:coreProperties>
</file>