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87DBD7C5-CC13-44CE-859D-2B97F71B674F}" xr6:coauthVersionLast="47" xr6:coauthVersionMax="47" xr10:uidLastSave="{00000000-0000-0000-0000-000000000000}"/>
  <bookViews>
    <workbookView xWindow="-120" yWindow="-120" windowWidth="20730" windowHeight="11160" tabRatio="833" firstSheet="1" activeTab="2" xr2:uid="{CE15E78E-CC53-471C-935E-B218B6B31BED}"/>
  </bookViews>
  <sheets>
    <sheet name="Planilha2" sheetId="105" state="hidden" r:id="rId1"/>
    <sheet name="BANCO DADOS" sheetId="62" r:id="rId2"/>
    <sheet name="BM 02.010" sheetId="106" r:id="rId3"/>
    <sheet name="BM 06.021" sheetId="89" r:id="rId4"/>
    <sheet name="BM 06.059" sheetId="103" r:id="rId5"/>
  </sheets>
  <definedNames>
    <definedName name="_xlnm.Print_Area" localSheetId="1">'BANCO DADOS'!$A$1:$T$123</definedName>
    <definedName name="_xlnm.Print_Area" localSheetId="2">'BM 02.010'!$A$1:$H$70</definedName>
    <definedName name="_xlnm.Print_Area" localSheetId="3">'BM 06.021'!$A$1:$J$39</definedName>
    <definedName name="_xlnm.Print_Area" localSheetId="4">'BM 06.059'!$A$1:$H$74</definedName>
  </definedNames>
  <calcPr calcId="191028" iterate="1"/>
  <pivotCaches>
    <pivotCache cacheId="157" r:id="rId6"/>
    <pivotCache cacheId="173" r:id="rId7"/>
    <pivotCache cacheId="19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62" l="1"/>
  <c r="T10" i="62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8" i="62"/>
  <c r="Q13" i="62"/>
  <c r="Q14" i="62"/>
  <c r="Q15" i="62"/>
  <c r="Q16" i="62"/>
  <c r="Q17" i="62"/>
  <c r="Q18" i="62"/>
  <c r="Q19" i="62"/>
  <c r="Q20" i="62"/>
  <c r="Q21" i="62"/>
  <c r="Q22" i="62"/>
  <c r="Q23" i="62"/>
  <c r="Q24" i="62"/>
  <c r="Q25" i="62"/>
  <c r="Q26" i="62"/>
  <c r="Q27" i="62"/>
  <c r="Q28" i="62"/>
  <c r="Q29" i="62"/>
  <c r="Q30" i="62"/>
  <c r="Q31" i="62"/>
  <c r="Q32" i="62"/>
  <c r="Q33" i="62"/>
  <c r="Q34" i="62"/>
  <c r="Q35" i="62"/>
  <c r="Q36" i="62"/>
  <c r="Q37" i="62"/>
  <c r="Q38" i="62"/>
  <c r="Q39" i="62"/>
  <c r="Q40" i="62"/>
  <c r="Q9" i="62"/>
  <c r="Q10" i="62"/>
  <c r="Q11" i="62"/>
  <c r="Q12" i="62"/>
  <c r="Q8" i="62"/>
  <c r="J9" i="62"/>
  <c r="J10" i="62"/>
  <c r="J11" i="62"/>
  <c r="J12" i="62"/>
  <c r="J13" i="62"/>
  <c r="J14" i="62"/>
  <c r="J15" i="62"/>
  <c r="J16" i="62"/>
  <c r="J17" i="62"/>
  <c r="J18" i="62"/>
  <c r="J19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J35" i="62"/>
  <c r="J36" i="62"/>
  <c r="J37" i="62"/>
  <c r="J38" i="62"/>
  <c r="J39" i="62"/>
  <c r="J40" i="62"/>
  <c r="J8" i="62"/>
  <c r="E26" i="62" l="1"/>
  <c r="E59" i="62"/>
  <c r="G59" i="62" s="1"/>
  <c r="J59" i="62" s="1"/>
  <c r="Q59" i="62" s="1"/>
  <c r="E60" i="62"/>
  <c r="E61" i="62"/>
  <c r="E58" i="62"/>
  <c r="G58" i="62" s="1"/>
  <c r="J58" i="62" s="1"/>
  <c r="Q58" i="62" s="1"/>
  <c r="G61" i="62"/>
  <c r="J61" i="62" s="1"/>
  <c r="Q61" i="62" s="1"/>
  <c r="G60" i="62"/>
  <c r="J60" i="62" s="1"/>
  <c r="Q60" i="62" s="1"/>
  <c r="G57" i="62"/>
  <c r="J57" i="62" s="1"/>
  <c r="Q57" i="62" s="1"/>
  <c r="C39" i="62"/>
  <c r="E39" i="62"/>
  <c r="G39" i="62" s="1"/>
  <c r="P39" i="62"/>
  <c r="C40" i="62"/>
  <c r="E40" i="62"/>
  <c r="G40" i="62"/>
  <c r="P40" i="62"/>
  <c r="E10" i="62"/>
  <c r="G10" i="62" s="1"/>
  <c r="E11" i="62"/>
  <c r="G11" i="62" s="1"/>
  <c r="E12" i="62"/>
  <c r="E13" i="62"/>
  <c r="G13" i="62" s="1"/>
  <c r="E14" i="62"/>
  <c r="G14" i="62" s="1"/>
  <c r="E15" i="62"/>
  <c r="G15" i="62" s="1"/>
  <c r="E16" i="62"/>
  <c r="G16" i="62" s="1"/>
  <c r="E17" i="62"/>
  <c r="G17" i="62" s="1"/>
  <c r="E18" i="62"/>
  <c r="G18" i="62" s="1"/>
  <c r="E19" i="62"/>
  <c r="G19" i="62" s="1"/>
  <c r="E20" i="62"/>
  <c r="G20" i="62" s="1"/>
  <c r="E21" i="62"/>
  <c r="G21" i="62" s="1"/>
  <c r="E22" i="62"/>
  <c r="G22" i="62" s="1"/>
  <c r="E23" i="62"/>
  <c r="G23" i="62" s="1"/>
  <c r="E24" i="62"/>
  <c r="G24" i="62" s="1"/>
  <c r="E25" i="62"/>
  <c r="G25" i="62" s="1"/>
  <c r="G26" i="62"/>
  <c r="E27" i="62"/>
  <c r="G27" i="62" s="1"/>
  <c r="E28" i="62"/>
  <c r="G28" i="62" s="1"/>
  <c r="E29" i="62"/>
  <c r="G29" i="62" s="1"/>
  <c r="E30" i="62"/>
  <c r="G30" i="62" s="1"/>
  <c r="E31" i="62"/>
  <c r="G31" i="62" s="1"/>
  <c r="E32" i="62"/>
  <c r="G32" i="62" s="1"/>
  <c r="E33" i="62"/>
  <c r="G33" i="62" s="1"/>
  <c r="E34" i="62"/>
  <c r="G34" i="62" s="1"/>
  <c r="E35" i="62"/>
  <c r="G35" i="62" s="1"/>
  <c r="E36" i="62"/>
  <c r="G36" i="62" s="1"/>
  <c r="E37" i="62"/>
  <c r="G37" i="62" s="1"/>
  <c r="E38" i="62"/>
  <c r="G38" i="62" s="1"/>
  <c r="E9" i="62"/>
  <c r="G9" i="62" s="1"/>
  <c r="G12" i="62"/>
  <c r="G8" i="62"/>
  <c r="E103" i="62" l="1"/>
  <c r="G103" i="62" s="1"/>
  <c r="J103" i="62" s="1"/>
  <c r="Q103" i="62" s="1"/>
  <c r="T103" i="62" s="1"/>
  <c r="E111" i="62"/>
  <c r="G111" i="62" s="1"/>
  <c r="J111" i="62" s="1"/>
  <c r="Q111" i="62" s="1"/>
  <c r="T111" i="62" s="1"/>
  <c r="E112" i="62"/>
  <c r="G112" i="62" s="1"/>
  <c r="J112" i="62" s="1"/>
  <c r="Q112" i="62" s="1"/>
  <c r="T112" i="62" s="1"/>
  <c r="E113" i="62"/>
  <c r="G113" i="62" s="1"/>
  <c r="J113" i="62" s="1"/>
  <c r="Q113" i="62" s="1"/>
  <c r="T113" i="62" s="1"/>
  <c r="E114" i="62"/>
  <c r="G114" i="62" s="1"/>
  <c r="J114" i="62" s="1"/>
  <c r="Q114" i="62" s="1"/>
  <c r="T114" i="62" s="1"/>
  <c r="E115" i="62"/>
  <c r="G115" i="62" s="1"/>
  <c r="J115" i="62" s="1"/>
  <c r="Q115" i="62" s="1"/>
  <c r="T115" i="62" s="1"/>
  <c r="E116" i="62"/>
  <c r="G116" i="62" s="1"/>
  <c r="J116" i="62" s="1"/>
  <c r="Q116" i="62" s="1"/>
  <c r="T116" i="62" s="1"/>
  <c r="E117" i="62"/>
  <c r="G117" i="62" s="1"/>
  <c r="J117" i="62" s="1"/>
  <c r="Q117" i="62" s="1"/>
  <c r="T117" i="62" s="1"/>
  <c r="E118" i="62"/>
  <c r="G118" i="62" s="1"/>
  <c r="J118" i="62" s="1"/>
  <c r="Q118" i="62" s="1"/>
  <c r="T118" i="62" s="1"/>
  <c r="E119" i="62"/>
  <c r="G119" i="62" s="1"/>
  <c r="J119" i="62" s="1"/>
  <c r="Q119" i="62" s="1"/>
  <c r="T119" i="62" s="1"/>
  <c r="E120" i="62"/>
  <c r="G120" i="62" s="1"/>
  <c r="J120" i="62" s="1"/>
  <c r="Q120" i="62" s="1"/>
  <c r="T120" i="62" s="1"/>
  <c r="E121" i="62"/>
  <c r="G121" i="62" s="1"/>
  <c r="J121" i="62" s="1"/>
  <c r="Q121" i="62" s="1"/>
  <c r="T121" i="62" s="1"/>
  <c r="E122" i="62"/>
  <c r="G122" i="62" s="1"/>
  <c r="J122" i="62" s="1"/>
  <c r="Q122" i="62" s="1"/>
  <c r="T122" i="62" s="1"/>
  <c r="E82" i="62"/>
  <c r="G82" i="62" s="1"/>
  <c r="J82" i="62" s="1"/>
  <c r="Q82" i="62" s="1"/>
  <c r="T82" i="62" s="1"/>
  <c r="E83" i="62"/>
  <c r="G83" i="62" s="1"/>
  <c r="J83" i="62" s="1"/>
  <c r="Q83" i="62" s="1"/>
  <c r="T83" i="62" s="1"/>
  <c r="E84" i="62"/>
  <c r="G84" i="62" s="1"/>
  <c r="J84" i="62" s="1"/>
  <c r="Q84" i="62" s="1"/>
  <c r="T84" i="62" s="1"/>
  <c r="E85" i="62"/>
  <c r="G85" i="62" s="1"/>
  <c r="J85" i="62" s="1"/>
  <c r="Q85" i="62" s="1"/>
  <c r="T85" i="62" s="1"/>
  <c r="E86" i="62"/>
  <c r="G86" i="62" s="1"/>
  <c r="J86" i="62" s="1"/>
  <c r="Q86" i="62" s="1"/>
  <c r="T86" i="62" s="1"/>
  <c r="E87" i="62"/>
  <c r="G87" i="62" s="1"/>
  <c r="J87" i="62" s="1"/>
  <c r="Q87" i="62" s="1"/>
  <c r="T87" i="62" s="1"/>
  <c r="E88" i="62"/>
  <c r="E89" i="62"/>
  <c r="G89" i="62" s="1"/>
  <c r="J89" i="62" s="1"/>
  <c r="Q89" i="62" s="1"/>
  <c r="T89" i="62" s="1"/>
  <c r="E90" i="62"/>
  <c r="G90" i="62" s="1"/>
  <c r="J90" i="62" s="1"/>
  <c r="Q90" i="62" s="1"/>
  <c r="T90" i="62" s="1"/>
  <c r="E91" i="62"/>
  <c r="G91" i="62" s="1"/>
  <c r="J91" i="62" s="1"/>
  <c r="Q91" i="62" s="1"/>
  <c r="T91" i="62" s="1"/>
  <c r="E92" i="62"/>
  <c r="G92" i="62" s="1"/>
  <c r="J92" i="62" s="1"/>
  <c r="Q92" i="62" s="1"/>
  <c r="T92" i="62" s="1"/>
  <c r="E93" i="62"/>
  <c r="G93" i="62" s="1"/>
  <c r="J93" i="62" s="1"/>
  <c r="Q93" i="62" s="1"/>
  <c r="T93" i="62" s="1"/>
  <c r="E94" i="62"/>
  <c r="G94" i="62" s="1"/>
  <c r="J94" i="62" s="1"/>
  <c r="Q94" i="62" s="1"/>
  <c r="T94" i="62" s="1"/>
  <c r="E95" i="62"/>
  <c r="G95" i="62" s="1"/>
  <c r="J95" i="62" s="1"/>
  <c r="Q95" i="62" s="1"/>
  <c r="T95" i="62" s="1"/>
  <c r="E96" i="62"/>
  <c r="G96" i="62" s="1"/>
  <c r="J96" i="62" s="1"/>
  <c r="Q96" i="62" s="1"/>
  <c r="T96" i="62" s="1"/>
  <c r="E97" i="62"/>
  <c r="G97" i="62" s="1"/>
  <c r="J97" i="62" s="1"/>
  <c r="Q97" i="62" s="1"/>
  <c r="T97" i="62" s="1"/>
  <c r="E98" i="62"/>
  <c r="G98" i="62" s="1"/>
  <c r="J98" i="62" s="1"/>
  <c r="Q98" i="62" s="1"/>
  <c r="T98" i="62" s="1"/>
  <c r="E99" i="62"/>
  <c r="G99" i="62" s="1"/>
  <c r="J99" i="62" s="1"/>
  <c r="Q99" i="62" s="1"/>
  <c r="T99" i="62" s="1"/>
  <c r="E100" i="62"/>
  <c r="G100" i="62" s="1"/>
  <c r="J100" i="62" s="1"/>
  <c r="Q100" i="62" s="1"/>
  <c r="T100" i="62" s="1"/>
  <c r="E101" i="62"/>
  <c r="G101" i="62" s="1"/>
  <c r="J101" i="62" s="1"/>
  <c r="Q101" i="62" s="1"/>
  <c r="T101" i="62" s="1"/>
  <c r="E102" i="62"/>
  <c r="G102" i="62" s="1"/>
  <c r="J102" i="62" s="1"/>
  <c r="Q102" i="62" s="1"/>
  <c r="T102" i="62" s="1"/>
  <c r="E104" i="62"/>
  <c r="G104" i="62" s="1"/>
  <c r="J104" i="62" s="1"/>
  <c r="Q104" i="62" s="1"/>
  <c r="T104" i="62" s="1"/>
  <c r="E105" i="62"/>
  <c r="G105" i="62" s="1"/>
  <c r="J105" i="62" s="1"/>
  <c r="Q105" i="62" s="1"/>
  <c r="T105" i="62" s="1"/>
  <c r="E106" i="62"/>
  <c r="G106" i="62" s="1"/>
  <c r="J106" i="62" s="1"/>
  <c r="Q106" i="62" s="1"/>
  <c r="T106" i="62" s="1"/>
  <c r="E107" i="62"/>
  <c r="G107" i="62" s="1"/>
  <c r="J107" i="62" s="1"/>
  <c r="Q107" i="62" s="1"/>
  <c r="T107" i="62" s="1"/>
  <c r="E108" i="62"/>
  <c r="G108" i="62" s="1"/>
  <c r="J108" i="62" s="1"/>
  <c r="Q108" i="62" s="1"/>
  <c r="T108" i="62" s="1"/>
  <c r="E109" i="62"/>
  <c r="G109" i="62" s="1"/>
  <c r="J109" i="62" s="1"/>
  <c r="Q109" i="62" s="1"/>
  <c r="T109" i="62" s="1"/>
  <c r="E110" i="62"/>
  <c r="G110" i="62" s="1"/>
  <c r="J110" i="62" s="1"/>
  <c r="Q110" i="62" s="1"/>
  <c r="T110" i="62" s="1"/>
  <c r="E81" i="62"/>
  <c r="G81" i="62" s="1"/>
  <c r="J81" i="62" s="1"/>
  <c r="Q81" i="62" s="1"/>
  <c r="T81" i="62" s="1"/>
  <c r="G88" i="62"/>
  <c r="J88" i="62" s="1"/>
  <c r="Q88" i="62" s="1"/>
  <c r="T88" i="62" s="1"/>
  <c r="G80" i="62"/>
  <c r="J80" i="62" s="1"/>
  <c r="Q80" i="62" s="1"/>
  <c r="T80" i="62" s="1"/>
  <c r="N75" i="62"/>
  <c r="N74" i="62"/>
  <c r="N73" i="62"/>
  <c r="N72" i="62"/>
  <c r="N71" i="62"/>
  <c r="N69" i="62"/>
  <c r="N68" i="62"/>
  <c r="N67" i="62"/>
  <c r="N66" i="62"/>
  <c r="N65" i="62"/>
  <c r="N64" i="62"/>
  <c r="N63" i="62"/>
  <c r="N62" i="62"/>
  <c r="N61" i="62"/>
  <c r="T60" i="62"/>
  <c r="N60" i="62"/>
  <c r="T59" i="62"/>
  <c r="P59" i="62"/>
  <c r="P60" i="62" s="1"/>
  <c r="P61" i="62" s="1"/>
  <c r="P62" i="62" s="1"/>
  <c r="P63" i="62" s="1"/>
  <c r="P64" i="62" s="1"/>
  <c r="P65" i="62" s="1"/>
  <c r="P66" i="62" s="1"/>
  <c r="P67" i="62" s="1"/>
  <c r="P68" i="62" s="1"/>
  <c r="P69" i="62" s="1"/>
  <c r="P70" i="62" s="1"/>
  <c r="P71" i="62" s="1"/>
  <c r="P75" i="62" s="1"/>
  <c r="N59" i="62"/>
  <c r="T58" i="62"/>
  <c r="N58" i="62"/>
  <c r="T57" i="62"/>
  <c r="T56" i="62"/>
  <c r="N56" i="62"/>
  <c r="T55" i="62"/>
  <c r="N55" i="62"/>
  <c r="T54" i="62"/>
  <c r="N54" i="62"/>
  <c r="T53" i="62"/>
  <c r="N53" i="62"/>
  <c r="T52" i="62"/>
  <c r="N52" i="62"/>
  <c r="T51" i="62"/>
  <c r="N51" i="62"/>
  <c r="T50" i="62"/>
  <c r="N50" i="62"/>
  <c r="T49" i="62"/>
  <c r="N49" i="62"/>
  <c r="T48" i="62"/>
  <c r="N48" i="62"/>
  <c r="T47" i="62"/>
  <c r="N47" i="62"/>
  <c r="T46" i="62"/>
  <c r="N46" i="62"/>
  <c r="T45" i="62"/>
  <c r="N45" i="62"/>
  <c r="N43" i="62"/>
  <c r="N78" i="62"/>
  <c r="T61" i="62" l="1"/>
  <c r="T62" i="62"/>
  <c r="T63" i="62"/>
  <c r="T64" i="62" l="1"/>
  <c r="T65" i="62" l="1"/>
  <c r="T66" i="62" l="1"/>
  <c r="T67" i="62" l="1"/>
  <c r="T68" i="62" l="1"/>
  <c r="T69" i="62" l="1"/>
  <c r="T70" i="62" l="1"/>
  <c r="T71" i="62" l="1"/>
  <c r="T72" i="62" l="1"/>
  <c r="T73" i="62" l="1"/>
  <c r="T75" i="62" l="1"/>
  <c r="T74" i="62"/>
  <c r="C35" i="62" l="1"/>
  <c r="C36" i="62"/>
  <c r="C37" i="62"/>
  <c r="C38" i="62" l="1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C13" i="62"/>
  <c r="C12" i="62"/>
  <c r="P17" i="62"/>
  <c r="P18" i="62" s="1"/>
  <c r="P19" i="62" s="1"/>
  <c r="P20" i="62" s="1"/>
  <c r="P21" i="62" s="1"/>
  <c r="P22" i="62" s="1"/>
  <c r="P23" i="62" s="1"/>
  <c r="P24" i="62" s="1"/>
  <c r="P25" i="62" s="1"/>
  <c r="P26" i="62" s="1"/>
  <c r="P27" i="62" s="1"/>
  <c r="P28" i="62" s="1"/>
  <c r="P29" i="62" s="1"/>
  <c r="P30" i="62" s="1"/>
  <c r="P31" i="62" s="1"/>
  <c r="P32" i="62" s="1"/>
  <c r="P33" i="62" s="1"/>
  <c r="P34" i="62" s="1"/>
  <c r="P38" i="62" s="1"/>
  <c r="C11" i="62"/>
  <c r="C10" i="62"/>
  <c r="C9" i="62"/>
  <c r="C8" i="62"/>
  <c r="N6" i="62"/>
  <c r="N57" i="62" l="1"/>
  <c r="N70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tc={FA0F76B8-DCD4-4E73-AEEF-2BB4172092C5}</author>
  </authors>
  <commentList>
    <comment ref="B43" authorId="0" shapeId="0" xr:uid="{FA0F76B8-DCD4-4E73-AEEF-2BB417209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<sst xmlns="http://schemas.openxmlformats.org/spreadsheetml/2006/main" count="530" uniqueCount="154">
  <si>
    <t>ATIVO FIXO</t>
  </si>
  <si>
    <t>DESCRIÇÃO DO EQUIPAMENTO</t>
  </si>
  <si>
    <t>ALUGUEL MÊS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</si>
  <si>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</si>
  <si>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</si>
  <si>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</si>
  <si>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</si>
  <si>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</si>
  <si>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</si>
  <si>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</si>
  <si>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</si>
  <si>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</si>
  <si>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</si>
  <si>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</si>
  <si>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</si>
  <si>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</si>
  <si>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</si>
  <si>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</si>
  <si>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</si>
  <si>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</si>
  <si>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</si>
  <si>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</si>
  <si>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VL. TOTAL BM</t>
  </si>
  <si>
    <t>Total Geral</t>
  </si>
  <si>
    <t>CADOZ</t>
  </si>
  <si>
    <t>ALUGUEL</t>
  </si>
  <si>
    <t>BM MARÇO 2026</t>
  </si>
  <si>
    <t>COMPETÊNCIA: MARÇO/2026</t>
  </si>
  <si>
    <t>02.010</t>
  </si>
  <si>
    <t>PLATAFORMA IVECO POTY PIN 0D51</t>
  </si>
  <si>
    <t>06.059</t>
  </si>
  <si>
    <t>CAVALO METEOR 6X4 VERMELHO ANO 2023 PL QWB7A30</t>
  </si>
  <si>
    <t>06.021</t>
  </si>
  <si>
    <t>CAVALO WV METEOR 29530 CHASSIS RR201566 - O.S TERRA PL SNR1G98</t>
  </si>
  <si>
    <t>PLANILHA DE BOLETIM DE MEDIÇÃO DAS PRANCHAS</t>
  </si>
  <si>
    <t>DESTINO</t>
  </si>
  <si>
    <t>USINA CENTRAL</t>
  </si>
  <si>
    <t>TERESINA</t>
  </si>
  <si>
    <t>JOSE DE FREITAS</t>
  </si>
  <si>
    <t xml:space="preserve"> AGUA BRANCA</t>
  </si>
  <si>
    <t>CONCEIÇÃO DO CANINDE</t>
  </si>
  <si>
    <t xml:space="preserve"> S. FRANCISCO DE ASSIS</t>
  </si>
  <si>
    <t xml:space="preserve"> S. JOAO</t>
  </si>
  <si>
    <t>SIMPLICIO MENDES</t>
  </si>
  <si>
    <t xml:space="preserve"> S. PEDRO DO  PIAUI</t>
  </si>
  <si>
    <t xml:space="preserve"> USINA CENTRAL</t>
  </si>
  <si>
    <t>PORTO</t>
  </si>
  <si>
    <t>LAGOA DO S. FRANCISCO</t>
  </si>
  <si>
    <t>BARRAS</t>
  </si>
  <si>
    <t xml:space="preserve"> LAGOA DO S. FRANCISCO</t>
  </si>
  <si>
    <t xml:space="preserve"> PEDRO II</t>
  </si>
  <si>
    <t>PIRIPIRI</t>
  </si>
  <si>
    <t xml:space="preserve"> PIRIPIRI</t>
  </si>
  <si>
    <t>FLORIANO</t>
  </si>
  <si>
    <t>OEIRAS</t>
  </si>
  <si>
    <t xml:space="preserve"> ANTONIO ALMEIDA</t>
  </si>
  <si>
    <t>REGENERAÇÃO</t>
  </si>
  <si>
    <t>AMARANTE</t>
  </si>
  <si>
    <t xml:space="preserve"> FLORIANO</t>
  </si>
  <si>
    <t>NOVA SANTA RITA</t>
  </si>
  <si>
    <t>Rótulos de Linha</t>
  </si>
  <si>
    <t>Soma de KM/HORA INIC</t>
  </si>
  <si>
    <t>Soma de KM/HORA FIM</t>
  </si>
  <si>
    <t>Soma de TOTAL</t>
  </si>
  <si>
    <t>Soma de ALUGUEL</t>
  </si>
  <si>
    <t>Soma de VL TOTAL BM</t>
  </si>
  <si>
    <t>USINA</t>
  </si>
  <si>
    <t>N. S. REMEDIOS</t>
  </si>
  <si>
    <t>JOCA MARQUES</t>
  </si>
  <si>
    <t>JOAQUIM PIRES</t>
  </si>
  <si>
    <t>JARDIM DO MULATO</t>
  </si>
  <si>
    <t>LAGOA DOS COCO</t>
  </si>
  <si>
    <t>S. FRANCISCO DE ASSIS</t>
  </si>
  <si>
    <t>S. MIGUEL DO TAPUIO</t>
  </si>
  <si>
    <t>AGUA BRANCA</t>
  </si>
  <si>
    <t>BREJO DA ONÇA</t>
  </si>
  <si>
    <t>SETA</t>
  </si>
  <si>
    <t>ENGENDRA</t>
  </si>
  <si>
    <t>ESTREITO</t>
  </si>
  <si>
    <t>CIDADES</t>
  </si>
  <si>
    <t>BARRAS \ N. S. REMEDIOS</t>
  </si>
  <si>
    <t>BARRAS \ PORTO</t>
  </si>
  <si>
    <t>N. S. REMEDIOS \ BARRAS</t>
  </si>
  <si>
    <t>BARRAS \ JOCA MARQUES</t>
  </si>
  <si>
    <t>PORTO \ PIRIPIRI</t>
  </si>
  <si>
    <t>PORTO \ USINA</t>
  </si>
  <si>
    <t>PORTO \ PORTO</t>
  </si>
  <si>
    <t>PIRIPIRI \ BARRAS</t>
  </si>
  <si>
    <t>JOCA MARQUES \ USINA</t>
  </si>
  <si>
    <t>USINA \ JOAQUIM PIRES</t>
  </si>
  <si>
    <t>USINA \ PORTO</t>
  </si>
  <si>
    <t>USINA \ SETA</t>
  </si>
  <si>
    <t>JOAQUIM PIRES \ JARDIM DO MULATO</t>
  </si>
  <si>
    <t>JARDIM DO MULATO \ LAGOA DOS COCO</t>
  </si>
  <si>
    <t>LAGOA DOS COCO \ S. FRANCISCO DE ASSIS</t>
  </si>
  <si>
    <t>S. FRANCISCO DE ASSIS \ NOVA SANTA RITA</t>
  </si>
  <si>
    <t>NOVA SANTA RITA \ LAGOA DOS COCO</t>
  </si>
  <si>
    <t>LAGOA DOS COCO \ JARDIM DO MULATO</t>
  </si>
  <si>
    <t>JARDIM DO MULATO \ S. MIGUEL DO TAPUIO</t>
  </si>
  <si>
    <t>S. MIGUEL DO TAPUIO \ AGUA BRANCA</t>
  </si>
  <si>
    <t>S. MIGUEL DO TAPUIO \ USINA</t>
  </si>
  <si>
    <t>S. MIGUEL DO TAPUIO \ PORTO</t>
  </si>
  <si>
    <t>AGUA BRANCA \ REGENERAÇÃO</t>
  </si>
  <si>
    <t>REGENERAÇÃO \ BREJO DA ONÇA</t>
  </si>
  <si>
    <t>BREJO DA ONÇA \ S. MIGUEL DO TAPUIO</t>
  </si>
  <si>
    <t>USINA \ S. MIGUEL DO TAPUIO</t>
  </si>
  <si>
    <t>S. MIGUEL DO TAPUIO \ S. MIGUEL DO TAPUIO</t>
  </si>
  <si>
    <t>SETA \ ENGENDRA</t>
  </si>
  <si>
    <t>ENGENDRA \ USINA</t>
  </si>
  <si>
    <t>PORTO \ ESTREITO</t>
  </si>
  <si>
    <t>USINA \ BARRAS</t>
  </si>
  <si>
    <t>USINA \ PIRIPIRI</t>
  </si>
  <si>
    <t>PIRIPIRI \ CADOZ</t>
  </si>
  <si>
    <t>CADOZ \ PIRIPIRI</t>
  </si>
  <si>
    <t>CADOZ \ USINA</t>
  </si>
  <si>
    <t>USINA CENTRAL \ TERESINA</t>
  </si>
  <si>
    <t>TERESINA \ JOSE DE FREITAS</t>
  </si>
  <si>
    <t>JOSE DE FREITAS \ AGUA BRANCA</t>
  </si>
  <si>
    <t>AGUA BRANCA \ CONCEIÇÃO DO CANINDÉ</t>
  </si>
  <si>
    <t>CONCEIÇÃO DO CANINDE \ S. FRANCISCO DE ASSIS</t>
  </si>
  <si>
    <t>S.FRANCISCO DE ASSIS \ S. JOAO</t>
  </si>
  <si>
    <t>S. JOAO \ SIMPLICIO MENDES</t>
  </si>
  <si>
    <t>SIMPLICIO MENDES \ S. PEDRO DO PIAUI</t>
  </si>
  <si>
    <t>S. PEDRO DO PIAUI \ JARDIM DO MULATO</t>
  </si>
  <si>
    <t>JARDIM DO MULATO \ USINA CENTRAL</t>
  </si>
  <si>
    <t>USINA CENTRAL \ PORTO</t>
  </si>
  <si>
    <t>PORTO \ LAGOA DO S. FRANCISCO</t>
  </si>
  <si>
    <t>LAGOA DO S. FRANCISCO \ PORTO</t>
  </si>
  <si>
    <t>LAGOA DO S. FRANCISCO \ BARRAS</t>
  </si>
  <si>
    <t>BARRAS \ USINA CENTRAL</t>
  </si>
  <si>
    <t>USINA CENTRAL \ LAGOA DO S. FRANCISCO</t>
  </si>
  <si>
    <t>LAGOA S. FRANCISCO \ PEDRO II</t>
  </si>
  <si>
    <t>PEDRO II \ PORTO</t>
  </si>
  <si>
    <t>PIRIPIRI \ USINA CENTRAL</t>
  </si>
  <si>
    <t>USINA CENTRAL \ CADOZ</t>
  </si>
  <si>
    <t>CADOZ \ USINA CENTRAL</t>
  </si>
  <si>
    <t>USIN A CENTRAL \ PIRIPIRI</t>
  </si>
  <si>
    <t>PIRIPIRI \ PIRIPIRI</t>
  </si>
  <si>
    <t>USINA CENTRAL \ OEIRAS</t>
  </si>
  <si>
    <t>OEIRAS \ FLORIANO</t>
  </si>
  <si>
    <t>FLORIANO \ ANTONIO ALMEIDA</t>
  </si>
  <si>
    <t>ANTONIO ALMEIDA \ FLORIANO</t>
  </si>
  <si>
    <t>FLORIANO \ REGENERAÇÃO</t>
  </si>
  <si>
    <t>POVOADO JACARÉ \ AMARANTE</t>
  </si>
  <si>
    <t>AMARANTE \ USINA CENTRAL</t>
  </si>
  <si>
    <t>USINA CENTRAL \ FLORIANO</t>
  </si>
  <si>
    <t>FLORIANO \ CADOZ</t>
  </si>
  <si>
    <t>CADOZ \ FLORIANO</t>
  </si>
  <si>
    <t>FLORIANO \ FLORIANO</t>
  </si>
  <si>
    <t>FLORIANO \ NOVA SANTA RITA</t>
  </si>
  <si>
    <t>NOVA SANTA RITA \ SIMPLICIO MENDES</t>
  </si>
  <si>
    <t>SIMPLICIO MENDES \ USINA CENTRAL</t>
  </si>
  <si>
    <t>(vazio)</t>
  </si>
  <si>
    <t>VIAGENS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</si>
</sst>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67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44" fontId="0" fillId="0" borderId="0" xfId="0" applyNumberFormat="1" applyAlignment="1">
      <alignment horizontal="center" vertical="center"/>
    </xf>
    <xf numFmtId="43" fontId="7" fillId="0" borderId="1" xfId="1" applyFont="1" applyBorder="1"/>
    <xf numFmtId="49" fontId="4" fillId="5" borderId="0" xfId="0" applyNumberFormat="1" applyFont="1" applyFill="1" applyAlignment="1">
      <alignment horizontal="center" vertical="center"/>
    </xf>
    <xf numFmtId="43" fontId="0" fillId="0" borderId="0" xfId="1" applyFont="1" applyBorder="1"/>
    <xf numFmtId="14" fontId="2" fillId="7" borderId="1" xfId="0" applyNumberFormat="1" applyFont="1" applyFill="1" applyBorder="1" applyAlignment="1">
      <alignment horizontal="center" vertical="center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14" fontId="0" fillId="3" borderId="0" xfId="0" applyNumberFormat="1" applyFill="1"/>
    <xf numFmtId="43" fontId="3" fillId="0" borderId="0" xfId="1" applyFont="1" applyFill="1" applyBorder="1"/>
    <xf numFmtId="43" fontId="7" fillId="0" borderId="0" xfId="1" applyFont="1" applyBorder="1"/>
    <xf numFmtId="41" fontId="0" fillId="3" borderId="1" xfId="1" applyNumberFormat="1" applyFont="1" applyFill="1" applyBorder="1"/>
    <xf numFmtId="3" fontId="0" fillId="3" borderId="1" xfId="1" applyNumberFormat="1" applyFont="1" applyFill="1" applyBorder="1"/>
    <xf numFmtId="49" fontId="2" fillId="8" borderId="0" xfId="0" applyNumberFormat="1" applyFont="1" applyFill="1"/>
    <xf numFmtId="0" fontId="2" fillId="8" borderId="0" xfId="0" applyFont="1" applyFill="1"/>
    <xf numFmtId="43" fontId="2" fillId="8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1" fontId="0" fillId="0" borderId="0" xfId="0" applyNumberFormat="1"/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8" fillId="8" borderId="3" xfId="0" applyNumberFormat="1" applyFont="1" applyFill="1" applyBorder="1" applyAlignment="1">
      <alignment horizontal="center" vertical="center"/>
    </xf>
    <xf numFmtId="49" fontId="8" fillId="8" borderId="4" xfId="0" applyNumberFormat="1" applyFont="1" applyFill="1" applyBorder="1" applyAlignment="1">
      <alignment horizontal="center" vertical="center"/>
    </xf>
    <xf numFmtId="49" fontId="8" fillId="8" borderId="5" xfId="0" applyNumberFormat="1" applyFont="1" applyFill="1" applyBorder="1" applyAlignment="1">
      <alignment horizontal="center" vertical="center"/>
    </xf>
    <xf numFmtId="49" fontId="8" fillId="8" borderId="6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 vertical="center"/>
    </xf>
    <xf numFmtId="49" fontId="8" fillId="6" borderId="6" xfId="0" applyNumberFormat="1" applyFont="1" applyFill="1" applyBorder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49" fontId="8" fillId="6" borderId="8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84"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35</xdr:row>
      <xdr:rowOff>190499</xdr:rowOff>
    </xdr:from>
    <xdr:to>
      <xdr:col>7</xdr:col>
      <xdr:colOff>444501</xdr:colOff>
      <xdr:row>66</xdr:row>
      <xdr:rowOff>18188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B38E3A-07BE-7B35-48BD-BF55465D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270749"/>
          <a:ext cx="17907000" cy="5733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8</xdr:col>
      <xdr:colOff>1031875</xdr:colOff>
      <xdr:row>37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74D7E4-5CA2-44D7-B40F-341AE82A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8250"/>
          <a:ext cx="17605375" cy="527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190499</xdr:rowOff>
    </xdr:from>
    <xdr:to>
      <xdr:col>7</xdr:col>
      <xdr:colOff>873125</xdr:colOff>
      <xdr:row>73</xdr:row>
      <xdr:rowOff>164766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85D084-577B-2A86-B1A7-C4665A7E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9374"/>
          <a:ext cx="19208750" cy="58797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30.406515393515" createdVersion="8" refreshedVersion="8" minRefreshableVersion="3" recordCount="31" xr:uid="{51226A40-606E-4387-A219-D1ABDE296526}">
  <cacheSource type="worksheet">
    <worksheetSource ref="B44:T75" sheet="BANCO DADOS"/>
  </cacheSource>
  <cacheFields count="19">
    <cacheField name="ATIVO FIXO" numFmtId="49">
      <sharedItems count="1">
        <s v="06.021"/>
      </sharedItems>
    </cacheField>
    <cacheField name="DESCRIÇÃO DO EQUIPAMENTO" numFmtId="0">
      <sharedItems count="1">
        <s v="CAVALO WV METEOR 29530 CHASSIS RR201566 - O.S TERRA PL SNR1G9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3">
      <sharedItems containsString="0" containsBlank="1" containsNumber="1" containsInteger="1" minValue="147608" maxValue="148398"/>
    </cacheField>
    <cacheField name="KM/HORA FIM" numFmtId="3">
      <sharedItems containsString="0" containsBlank="1" containsNumber="1" containsInteger="1" minValue="147891" maxValue="148744"/>
    </cacheField>
    <cacheField name="TOTAL" numFmtId="41">
      <sharedItems containsString="0" containsBlank="1" containsNumber="1" containsInteger="1" minValue="168" maxValue="346"/>
    </cacheField>
    <cacheField name="CIDADES" numFmtId="0">
      <sharedItems containsBlank="1" count="5">
        <m/>
        <s v="USINA \ PIRIPIRI"/>
        <s v="PIRIPIRI \ CADOZ"/>
        <s v="CADOZ \ PIRIPIRI"/>
        <s v="CADOZ \ USINA"/>
      </sharedItems>
    </cacheField>
    <cacheField name="DESTINO" numFmtId="0">
      <sharedItems containsBlank="1"/>
    </cacheField>
    <cacheField name="VL LOC." numFmtId="43">
      <sharedItems containsString="0" containsBlank="1" containsNumber="1" containsInteger="1" minValue="1680" maxValue="346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String="0" containsBlank="1" containsNumber="1" containsInteger="1" minValue="1680" maxValue="346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3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30.406973379628" createdVersion="8" refreshedVersion="8" minRefreshableVersion="3" recordCount="43" xr:uid="{92FE2CD7-3C03-4535-9911-CD9500E596F6}">
  <cacheSource type="worksheet">
    <worksheetSource ref="B79:T122" sheet="BANCO DADOS"/>
  </cacheSource>
  <cacheFields count="19">
    <cacheField name="ATIVO FIXO" numFmtId="49">
      <sharedItems count="1">
        <s v="06.059"/>
      </sharedItems>
    </cacheField>
    <cacheField name="DESCRIÇÃO DO EQUIPAMENTO" numFmtId="0">
      <sharedItems count="1">
        <s v="CAVALO METEOR 6X4 VERMELHO ANO 2023 PL QWB7A30"/>
      </sharedItems>
    </cacheField>
    <cacheField name="DATA" numFmtId="14">
      <sharedItems containsSemiMixedTypes="0" containsNonDate="0" containsDate="1" containsString="0" minDate="2026-03-02T00:00:00" maxDate="2026-04-01T00:00:00" count="22"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5T00:00:00"/>
        <d v="2026-03-16T00:00:00"/>
        <d v="2026-03-19T00:00:00"/>
        <d v="2026-03-20T00:00:00"/>
        <d v="2026-03-24T00:00:00"/>
        <d v="2026-03-25T00:00:00"/>
        <d v="2026-03-26T00:00:00"/>
        <d v="2026-03-27T00:00:00"/>
        <d v="2026-03-28T00:00:00"/>
        <d v="2026-03-30T00:00:00"/>
        <d v="2026-03-31T00:00:00"/>
      </sharedItems>
    </cacheField>
    <cacheField name="KM/HORA INIC" numFmtId="3">
      <sharedItems containsSemiMixedTypes="0" containsString="0" containsNumber="1" containsInteger="1" minValue="244871" maxValue="252924"/>
    </cacheField>
    <cacheField name="KM/HORA FIM" numFmtId="3">
      <sharedItems containsSemiMixedTypes="0" containsString="0" containsNumber="1" containsInteger="1" minValue="244920" maxValue="253368"/>
    </cacheField>
    <cacheField name="TOTAL" numFmtId="41">
      <sharedItems containsSemiMixedTypes="0" containsString="0" containsNumber="1" containsInteger="1" minValue="-37" maxValue="586"/>
    </cacheField>
    <cacheField name="CIDADES" numFmtId="0">
      <sharedItems count="38">
        <s v="USINA CENTRAL \ TERESINA"/>
        <s v="TERESINA \ JOSE DE FREITAS"/>
        <s v="JOSE DE FREITAS \ AGUA BRANCA"/>
        <s v="AGUA BRANCA \ CONCEIÇÃO DO CANINDÉ"/>
        <s v="CONCEIÇÃO DO CANINDE \ S. FRANCISCO DE ASSIS"/>
        <s v="S.FRANCISCO DE ASSIS \ S. JOAO"/>
        <s v="S. JOAO \ SIMPLICIO MENDES"/>
        <s v="SIMPLICIO MENDES \ S. PEDRO DO PIAUI"/>
        <s v="S. PEDRO DO PIAUI \ JARDIM DO MULATO"/>
        <s v="JARDIM DO MULATO \ USINA CENTRAL"/>
        <s v="USINA CENTRAL \ PORTO"/>
        <s v="PORTO \ LAGOA DO S. FRANCISCO"/>
        <s v="LAGOA DO S. FRANCISCO \ PORTO"/>
        <s v="LAGOA DO S. FRANCISCO \ BARRAS"/>
        <s v="BARRAS \ USINA CENTRAL"/>
        <s v="USINA CENTRAL \ LAGOA DO S. FRANCISCO"/>
        <s v="LAGOA S. FRANCISCO \ PEDRO II"/>
        <s v="PEDRO II \ PORTO"/>
        <s v="PORTO \ PIRIPIRI"/>
        <s v="PIRIPIRI \ USINA CENTRAL"/>
        <s v="USINA CENTRAL \ CADOZ"/>
        <s v="CADOZ \ USINA CENTRAL"/>
        <s v="USIN A CENTRAL \ PIRIPIRI"/>
        <s v="PIRIPIRI \ PIRIPIRI"/>
        <s v="USINA CENTRAL \ OEIRAS"/>
        <s v="OEIRAS \ FLORIANO"/>
        <s v="FLORIANO \ ANTONIO ALMEIDA"/>
        <s v="ANTONIO ALMEIDA \ FLORIANO"/>
        <s v="FLORIANO \ REGENERAÇÃO"/>
        <s v="POVOADO JACARÉ \ AMARANTE"/>
        <s v="AMARANTE \ USINA CENTRAL"/>
        <s v="USINA CENTRAL \ FLORIANO"/>
        <s v="FLORIANO \ CADOZ"/>
        <s v="CADOZ \ FLORIANO"/>
        <s v="FLORIANO \ FLORIANO"/>
        <s v="FLORIANO \ NOVA SANTA RITA"/>
        <s v="NOVA SANTA RITA \ SIMPLICIO MENDES"/>
        <s v="SIMPLICIO MENDES \ USINA CENTRAL"/>
      </sharedItems>
    </cacheField>
    <cacheField name="DESTINO" numFmtId="0">
      <sharedItems/>
    </cacheField>
    <cacheField name="VL LOC." numFmtId="43">
      <sharedItems containsSemiMixedTypes="0" containsString="0" containsNumber="1" containsInteger="1" minValue="-370" maxValue="5860" count="41">
        <n v="490"/>
        <n v="730"/>
        <n v="1580"/>
        <n v="4020"/>
        <n v="500"/>
        <n v="1600"/>
        <n v="810"/>
        <n v="3490"/>
        <n v="350"/>
        <n v="1450"/>
        <n v="2170"/>
        <n v="2550"/>
        <n v="2590"/>
        <n v="2560"/>
        <n v="1880"/>
        <n v="1430"/>
        <n v="3340"/>
        <n v="370"/>
        <n v="2820"/>
        <n v="1920"/>
        <n v="2630"/>
        <n v="4040"/>
        <n v="3410"/>
        <n v="1670"/>
        <n v="100"/>
        <n v="1660"/>
        <n v="3420"/>
        <n v="3090"/>
        <n v="-370"/>
        <n v="2530"/>
        <n v="700"/>
        <n v="1540"/>
        <n v="2370"/>
        <n v="5510"/>
        <n v="5860"/>
        <n v="240"/>
        <n v="270"/>
        <n v="260"/>
        <n v="2930"/>
        <n v="300"/>
        <n v="4440"/>
      </sharedItems>
    </cacheField>
    <cacheField name="DISPONIVEL" numFmtId="0">
      <sharedItems containsNonDate="0" containsString="0" containsBlank="1" count="1">
        <m/>
      </sharedItems>
    </cacheField>
    <cacheField name="DIAS TRABALHADOS" numFmtId="43">
      <sharedItems containsSemiMixedTypes="0" containsString="0" containsNumber="1" containsInteger="1" minValue="1" maxValue="1" count="1">
        <n v="1"/>
      </sharedItems>
    </cacheField>
    <cacheField name="COMB. L LITROS" numFmtId="43">
      <sharedItems containsNonDate="0" containsString="0" containsBlank="1" count="1">
        <m/>
      </sharedItems>
    </cacheField>
    <cacheField name="DATA2" numFmtId="0">
      <sharedItems containsNonDate="0" containsString="0" containsBlank="1" count="1">
        <m/>
      </sharedItems>
    </cacheField>
    <cacheField name="CONS MEDIO" numFmtId="14">
      <sharedItems containsNonDate="0" containsString="0" containsBlank="1" count="1">
        <m/>
      </sharedItems>
    </cacheField>
    <cacheField name="ALUGUEL" numFmtId="43">
      <sharedItems containsNonDate="0" containsString="0" containsBlank="1"/>
    </cacheField>
    <cacheField name="VL DIARIA" numFmtId="43">
      <sharedItems containsSemiMixedTypes="0" containsString="0" containsNumber="1" containsInteger="1" minValue="800" maxValue="5860" count="30">
        <n v="800"/>
        <n v="1580"/>
        <n v="4020"/>
        <n v="1600"/>
        <n v="810"/>
        <n v="3490"/>
        <n v="1450"/>
        <n v="2170"/>
        <n v="2550"/>
        <n v="2590"/>
        <n v="2560"/>
        <n v="1880"/>
        <n v="1430"/>
        <n v="3340"/>
        <n v="2820"/>
        <n v="1920"/>
        <n v="2630"/>
        <n v="4040"/>
        <n v="3410"/>
        <n v="1670"/>
        <n v="1660"/>
        <n v="3420"/>
        <n v="3090"/>
        <n v="2530"/>
        <n v="1540"/>
        <n v="2370"/>
        <n v="5510"/>
        <n v="5860"/>
        <n v="2930"/>
        <n v="4440"/>
      </sharedItems>
    </cacheField>
    <cacheField name="MANUTENÇÃO" numFmtId="43">
      <sharedItems containsNonDate="0" containsString="0" containsBlank="1" count="1">
        <m/>
      </sharedItems>
    </cacheField>
    <cacheField name="HORA EXTRA" numFmtId="43">
      <sharedItems containsNonDate="0" containsString="0" containsBlank="1" count="1">
        <m/>
      </sharedItems>
    </cacheField>
    <cacheField name="VL TOTAL BM" numFmtId="43">
      <sharedItems containsSemiMixedTypes="0" containsString="0" containsNumber="1" containsInteger="1" minValue="800" maxValue="5860"/>
    </cacheField>
  </cacheFields>
  <extLst>
    <ext xmlns:x14="http://schemas.microsoft.com/office/spreadsheetml/2009/9/main" uri="{725AE2AE-9491-48be-B2B4-4EB974FC3084}">
      <x14:pivotCacheDefinition pivotCacheId="6515754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30.416330555556" createdVersion="8" refreshedVersion="8" minRefreshableVersion="3" recordCount="33" xr:uid="{D49CA5CB-CA4B-491C-BF34-2943C984961E}">
  <cacheSource type="worksheet">
    <worksheetSource ref="B7:T40" sheet="BANCO DADOS"/>
  </cacheSource>
  <cacheFields count="19">
    <cacheField name="ATIVO FIXO" numFmtId="49">
      <sharedItems count="1">
        <s v="02.010"/>
      </sharedItems>
    </cacheField>
    <cacheField name="DESCRIÇÃO DO EQUIPAMENTO" numFmtId="0">
      <sharedItems count="1">
        <s v="PLATAFORMA IVECO POTY PIN 0D51"/>
      </sharedItems>
    </cacheField>
    <cacheField name="DATA" numFmtId="14">
      <sharedItems containsSemiMixedTypes="0" containsNonDate="0" containsDate="1" containsString="0" minDate="2026-03-03T00:00:00" maxDate="2026-04-01T00:00:00"/>
    </cacheField>
    <cacheField name="KM/HORA INIC" numFmtId="3">
      <sharedItems containsSemiMixedTypes="0" containsString="0" containsNumber="1" containsInteger="1" minValue="252184" maxValue="257472"/>
    </cacheField>
    <cacheField name="KM/HORA FIM" numFmtId="3">
      <sharedItems containsSemiMixedTypes="0" containsString="0" containsNumber="1" containsInteger="1" minValue="252184" maxValue="257630"/>
    </cacheField>
    <cacheField name="TOTAL" numFmtId="41">
      <sharedItems containsSemiMixedTypes="0" containsString="0" containsNumber="1" containsInteger="1" minValue="-1993" maxValue="2400"/>
    </cacheField>
    <cacheField name="CIDADES" numFmtId="0">
      <sharedItems count="31">
        <s v="USINA \ BARRAS"/>
        <s v="BARRAS \ N. S. REMEDIOS"/>
        <s v="N. S. REMEDIOS \ BARRAS"/>
        <s v="BARRAS \ PORTO"/>
        <s v="PORTO \ PIRIPIRI"/>
        <s v="PIRIPIRI \ BARRAS"/>
        <s v="BARRAS \ JOCA MARQUES"/>
        <s v="JOCA MARQUES \ USINA"/>
        <s v="USINA \ JOAQUIM PIRES"/>
        <s v="JOAQUIM PIRES \ JARDIM DO MULATO"/>
        <s v="JARDIM DO MULATO \ LAGOA DOS COCO"/>
        <s v="LAGOA DOS COCO \ S. FRANCISCO DE ASSIS"/>
        <s v="S. FRANCISCO DE ASSIS \ NOVA SANTA RITA"/>
        <s v="NOVA SANTA RITA \ LAGOA DOS COCO"/>
        <s v="LAGOA DOS COCO \ JARDIM DO MULATO"/>
        <s v="JARDIM DO MULATO \ S. MIGUEL DO TAPUIO"/>
        <s v="S. MIGUEL DO TAPUIO \ AGUA BRANCA"/>
        <s v="AGUA BRANCA \ REGENERAÇÃO"/>
        <s v="REGENERAÇÃO \ BREJO DA ONÇA"/>
        <s v="BREJO DA ONÇA \ S. MIGUEL DO TAPUIO"/>
        <s v="S. MIGUEL DO TAPUIO \ USINA"/>
        <s v="USINA \ S. MIGUEL DO TAPUIO"/>
        <s v="S. MIGUEL DO TAPUIO \ S. MIGUEL DO TAPUIO"/>
        <s v="S. MIGUEL DO TAPUIO \ PORTO"/>
        <s v="PORTO \ USINA"/>
        <s v="USINA \ SETA"/>
        <s v="SETA \ ENGENDRA"/>
        <s v="ENGENDRA \ USINA"/>
        <s v="USINA \ PORTO"/>
        <s v="PORTO \ PORTO"/>
        <s v="PORTO \ ESTREITO"/>
      </sharedItems>
    </cacheField>
    <cacheField name="DESTINO" numFmtId="0">
      <sharedItems/>
    </cacheField>
    <cacheField name="VL LOC." numFmtId="43">
      <sharedItems containsSemiMixedTypes="0" containsString="0" containsNumber="1" containsInteger="1" minValue="-19930" maxValue="2400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SemiMixedTypes="0" containsString="0" containsNumber="1" containsInteger="1" minValue="800" maxValue="24000"/>
    </cacheField>
    <cacheField name="MANUTENÇÃO" numFmtId="0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containsInteger="1" minValue="800" maxValue="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m/>
    <x v="0"/>
    <m/>
    <m/>
    <m/>
    <m/>
    <m/>
    <s v=""/>
    <m/>
    <m/>
    <m/>
    <m/>
    <m/>
    <n v="0"/>
  </r>
  <r>
    <x v="0"/>
    <x v="0"/>
    <d v="2026-03-02T00:00:00"/>
    <m/>
    <m/>
    <m/>
    <x v="0"/>
    <m/>
    <m/>
    <m/>
    <m/>
    <m/>
    <s v=""/>
    <m/>
    <m/>
    <m/>
    <m/>
    <m/>
    <n v="0"/>
  </r>
  <r>
    <x v="0"/>
    <x v="0"/>
    <d v="2026-03-03T00:00:00"/>
    <m/>
    <m/>
    <m/>
    <x v="0"/>
    <m/>
    <m/>
    <m/>
    <m/>
    <m/>
    <s v=""/>
    <m/>
    <m/>
    <m/>
    <m/>
    <m/>
    <n v="0"/>
  </r>
  <r>
    <x v="0"/>
    <x v="0"/>
    <d v="2026-03-04T00:00:00"/>
    <m/>
    <m/>
    <m/>
    <x v="0"/>
    <m/>
    <m/>
    <m/>
    <m/>
    <m/>
    <s v=""/>
    <m/>
    <m/>
    <m/>
    <m/>
    <m/>
    <n v="0"/>
  </r>
  <r>
    <x v="0"/>
    <x v="0"/>
    <d v="2026-03-05T00:00:00"/>
    <m/>
    <m/>
    <m/>
    <x v="0"/>
    <m/>
    <m/>
    <m/>
    <m/>
    <m/>
    <s v=""/>
    <m/>
    <m/>
    <m/>
    <m/>
    <m/>
    <n v="0"/>
  </r>
  <r>
    <x v="0"/>
    <x v="0"/>
    <d v="2026-03-06T00:00:00"/>
    <m/>
    <m/>
    <m/>
    <x v="0"/>
    <m/>
    <m/>
    <m/>
    <m/>
    <m/>
    <s v=""/>
    <m/>
    <m/>
    <m/>
    <m/>
    <m/>
    <n v="0"/>
  </r>
  <r>
    <x v="0"/>
    <x v="0"/>
    <d v="2026-03-07T00:00:00"/>
    <m/>
    <m/>
    <m/>
    <x v="0"/>
    <m/>
    <m/>
    <m/>
    <m/>
    <m/>
    <s v=""/>
    <m/>
    <m/>
    <m/>
    <m/>
    <m/>
    <n v="0"/>
  </r>
  <r>
    <x v="0"/>
    <x v="0"/>
    <d v="2026-03-08T00:00:00"/>
    <m/>
    <m/>
    <m/>
    <x v="0"/>
    <m/>
    <m/>
    <m/>
    <m/>
    <m/>
    <s v=""/>
    <m/>
    <m/>
    <m/>
    <m/>
    <m/>
    <n v="0"/>
  </r>
  <r>
    <x v="0"/>
    <x v="0"/>
    <d v="2026-03-09T00:00:00"/>
    <m/>
    <m/>
    <m/>
    <x v="0"/>
    <m/>
    <m/>
    <m/>
    <m/>
    <m/>
    <s v=""/>
    <m/>
    <m/>
    <m/>
    <m/>
    <m/>
    <n v="0"/>
  </r>
  <r>
    <x v="0"/>
    <x v="0"/>
    <d v="2026-03-10T00:00:00"/>
    <m/>
    <m/>
    <m/>
    <x v="0"/>
    <m/>
    <m/>
    <m/>
    <m/>
    <m/>
    <s v=""/>
    <m/>
    <m/>
    <m/>
    <m/>
    <m/>
    <n v="0"/>
  </r>
  <r>
    <x v="0"/>
    <x v="0"/>
    <d v="2026-03-11T00:00:00"/>
    <m/>
    <m/>
    <m/>
    <x v="0"/>
    <m/>
    <m/>
    <m/>
    <m/>
    <m/>
    <s v=""/>
    <m/>
    <m/>
    <m/>
    <m/>
    <m/>
    <n v="0"/>
  </r>
  <r>
    <x v="0"/>
    <x v="0"/>
    <d v="2026-03-12T00:00:00"/>
    <m/>
    <m/>
    <m/>
    <x v="0"/>
    <m/>
    <m/>
    <m/>
    <m/>
    <m/>
    <s v=""/>
    <m/>
    <m/>
    <m/>
    <m/>
    <m/>
    <n v="0"/>
  </r>
  <r>
    <x v="0"/>
    <x v="0"/>
    <d v="2026-03-13T00:00:00"/>
    <n v="147608"/>
    <n v="147891"/>
    <n v="283"/>
    <x v="1"/>
    <s v="PIRIPIRI"/>
    <n v="2830"/>
    <m/>
    <n v="1"/>
    <m/>
    <s v=""/>
    <m/>
    <m/>
    <n v="2830"/>
    <m/>
    <m/>
    <n v="2830"/>
  </r>
  <r>
    <x v="0"/>
    <x v="0"/>
    <d v="2026-03-14T00:00:00"/>
    <n v="147891"/>
    <n v="148060"/>
    <n v="169"/>
    <x v="2"/>
    <s v="CADOZ"/>
    <n v="1690"/>
    <m/>
    <n v="1"/>
    <m/>
    <s v=""/>
    <m/>
    <m/>
    <n v="1690"/>
    <m/>
    <m/>
    <n v="1690"/>
  </r>
  <r>
    <x v="0"/>
    <x v="0"/>
    <d v="2026-03-15T00:00:00"/>
    <n v="148060"/>
    <n v="148230"/>
    <n v="170"/>
    <x v="3"/>
    <s v="PIRIPIRI"/>
    <n v="1700"/>
    <m/>
    <n v="1"/>
    <m/>
    <s v=""/>
    <m/>
    <n v="0"/>
    <n v="1700"/>
    <m/>
    <m/>
    <n v="1700"/>
  </r>
  <r>
    <x v="0"/>
    <x v="0"/>
    <d v="2026-03-15T00:00:00"/>
    <n v="148230"/>
    <n v="148398"/>
    <n v="168"/>
    <x v="2"/>
    <s v="CADOZ"/>
    <n v="1680"/>
    <m/>
    <n v="1"/>
    <m/>
    <s v=""/>
    <m/>
    <n v="0"/>
    <n v="1680"/>
    <m/>
    <m/>
    <n v="1680"/>
  </r>
  <r>
    <x v="0"/>
    <x v="0"/>
    <d v="2026-03-16T00:00:00"/>
    <n v="148398"/>
    <n v="148744"/>
    <n v="346"/>
    <x v="4"/>
    <s v="USINA"/>
    <n v="3460"/>
    <m/>
    <n v="1"/>
    <m/>
    <s v=""/>
    <m/>
    <n v="0"/>
    <n v="3460"/>
    <m/>
    <m/>
    <n v="3460"/>
  </r>
  <r>
    <x v="0"/>
    <x v="0"/>
    <d v="2026-03-18T00:00:00"/>
    <m/>
    <m/>
    <m/>
    <x v="0"/>
    <m/>
    <m/>
    <m/>
    <m/>
    <m/>
    <s v=""/>
    <m/>
    <n v="0"/>
    <m/>
    <m/>
    <m/>
    <n v="0"/>
  </r>
  <r>
    <x v="0"/>
    <x v="0"/>
    <d v="2026-03-19T00:00:00"/>
    <m/>
    <m/>
    <m/>
    <x v="0"/>
    <m/>
    <m/>
    <m/>
    <m/>
    <m/>
    <s v=""/>
    <m/>
    <n v="0"/>
    <m/>
    <m/>
    <m/>
    <n v="0"/>
  </r>
  <r>
    <x v="0"/>
    <x v="0"/>
    <d v="2026-03-20T00:00:00"/>
    <m/>
    <m/>
    <m/>
    <x v="0"/>
    <m/>
    <m/>
    <m/>
    <m/>
    <m/>
    <s v=""/>
    <m/>
    <n v="0"/>
    <m/>
    <m/>
    <m/>
    <n v="0"/>
  </r>
  <r>
    <x v="0"/>
    <x v="0"/>
    <d v="2026-03-21T00:00:00"/>
    <m/>
    <m/>
    <m/>
    <x v="0"/>
    <m/>
    <m/>
    <m/>
    <m/>
    <m/>
    <s v=""/>
    <m/>
    <n v="0"/>
    <m/>
    <m/>
    <m/>
    <n v="0"/>
  </r>
  <r>
    <x v="0"/>
    <x v="0"/>
    <d v="2026-03-22T00:00:00"/>
    <m/>
    <m/>
    <m/>
    <x v="0"/>
    <m/>
    <m/>
    <m/>
    <m/>
    <m/>
    <s v=""/>
    <m/>
    <n v="0"/>
    <m/>
    <m/>
    <m/>
    <n v="0"/>
  </r>
  <r>
    <x v="0"/>
    <x v="0"/>
    <d v="2026-03-23T00:00:00"/>
    <m/>
    <m/>
    <m/>
    <x v="0"/>
    <m/>
    <m/>
    <m/>
    <m/>
    <m/>
    <s v=""/>
    <m/>
    <n v="0"/>
    <m/>
    <m/>
    <m/>
    <n v="0"/>
  </r>
  <r>
    <x v="0"/>
    <x v="0"/>
    <d v="2026-03-24T00:00:00"/>
    <m/>
    <m/>
    <m/>
    <x v="0"/>
    <m/>
    <m/>
    <m/>
    <m/>
    <m/>
    <s v=""/>
    <m/>
    <n v="0"/>
    <m/>
    <m/>
    <m/>
    <n v="0"/>
  </r>
  <r>
    <x v="0"/>
    <x v="0"/>
    <d v="2026-03-25T00:00:00"/>
    <m/>
    <m/>
    <m/>
    <x v="0"/>
    <m/>
    <m/>
    <m/>
    <m/>
    <m/>
    <s v=""/>
    <m/>
    <n v="0"/>
    <m/>
    <m/>
    <m/>
    <n v="0"/>
  </r>
  <r>
    <x v="0"/>
    <x v="0"/>
    <d v="2026-03-26T00:00:00"/>
    <m/>
    <m/>
    <m/>
    <x v="0"/>
    <m/>
    <m/>
    <m/>
    <m/>
    <m/>
    <s v=""/>
    <m/>
    <n v="0"/>
    <m/>
    <m/>
    <m/>
    <n v="0"/>
  </r>
  <r>
    <x v="0"/>
    <x v="0"/>
    <d v="2026-03-27T00:00:00"/>
    <m/>
    <m/>
    <m/>
    <x v="0"/>
    <m/>
    <m/>
    <m/>
    <m/>
    <m/>
    <s v=""/>
    <m/>
    <n v="0"/>
    <m/>
    <m/>
    <m/>
    <n v="0"/>
  </r>
  <r>
    <x v="0"/>
    <x v="0"/>
    <d v="2026-03-28T00:00:00"/>
    <m/>
    <m/>
    <m/>
    <x v="0"/>
    <m/>
    <m/>
    <m/>
    <m/>
    <m/>
    <s v=""/>
    <m/>
    <m/>
    <m/>
    <m/>
    <m/>
    <n v="0"/>
  </r>
  <r>
    <x v="0"/>
    <x v="0"/>
    <d v="2026-03-29T00:00:00"/>
    <m/>
    <m/>
    <m/>
    <x v="0"/>
    <m/>
    <m/>
    <m/>
    <m/>
    <m/>
    <s v=""/>
    <m/>
    <m/>
    <m/>
    <m/>
    <m/>
    <n v="0"/>
  </r>
  <r>
    <x v="0"/>
    <x v="0"/>
    <d v="2026-03-30T00:00:00"/>
    <m/>
    <m/>
    <m/>
    <x v="0"/>
    <m/>
    <m/>
    <m/>
    <m/>
    <m/>
    <s v=""/>
    <m/>
    <m/>
    <m/>
    <m/>
    <m/>
    <n v="0"/>
  </r>
  <r>
    <x v="0"/>
    <x v="0"/>
    <d v="2026-03-31T00:00:00"/>
    <m/>
    <m/>
    <m/>
    <x v="0"/>
    <m/>
    <m/>
    <m/>
    <m/>
    <m/>
    <s v=""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n v="244871"/>
    <n v="244920"/>
    <n v="49"/>
    <x v="0"/>
    <s v="TERESINA"/>
    <x v="0"/>
    <x v="0"/>
    <x v="0"/>
    <x v="0"/>
    <x v="0"/>
    <x v="0"/>
    <m/>
    <x v="0"/>
    <x v="0"/>
    <x v="0"/>
    <n v="800"/>
  </r>
  <r>
    <x v="0"/>
    <x v="0"/>
    <x v="1"/>
    <n v="244920"/>
    <n v="244993"/>
    <n v="73"/>
    <x v="1"/>
    <s v="JOSE DE FREITAS"/>
    <x v="1"/>
    <x v="0"/>
    <x v="0"/>
    <x v="0"/>
    <x v="0"/>
    <x v="0"/>
    <m/>
    <x v="0"/>
    <x v="0"/>
    <x v="0"/>
    <n v="800"/>
  </r>
  <r>
    <x v="0"/>
    <x v="0"/>
    <x v="1"/>
    <n v="244993"/>
    <n v="245151"/>
    <n v="158"/>
    <x v="2"/>
    <s v=" AGUA BRANCA"/>
    <x v="2"/>
    <x v="0"/>
    <x v="0"/>
    <x v="0"/>
    <x v="0"/>
    <x v="0"/>
    <m/>
    <x v="1"/>
    <x v="0"/>
    <x v="0"/>
    <n v="1580"/>
  </r>
  <r>
    <x v="0"/>
    <x v="0"/>
    <x v="2"/>
    <n v="245151"/>
    <n v="245553"/>
    <n v="402"/>
    <x v="3"/>
    <s v="CONCEIÇÃO DO CANINDE"/>
    <x v="3"/>
    <x v="0"/>
    <x v="0"/>
    <x v="0"/>
    <x v="0"/>
    <x v="0"/>
    <m/>
    <x v="2"/>
    <x v="0"/>
    <x v="0"/>
    <n v="4020"/>
  </r>
  <r>
    <x v="0"/>
    <x v="0"/>
    <x v="2"/>
    <n v="245553"/>
    <n v="245603"/>
    <n v="50"/>
    <x v="4"/>
    <s v=" S. FRANCISCO DE ASSIS"/>
    <x v="4"/>
    <x v="0"/>
    <x v="0"/>
    <x v="0"/>
    <x v="0"/>
    <x v="0"/>
    <m/>
    <x v="0"/>
    <x v="0"/>
    <x v="0"/>
    <n v="800"/>
  </r>
  <r>
    <x v="0"/>
    <x v="0"/>
    <x v="3"/>
    <n v="245603"/>
    <n v="245763"/>
    <n v="160"/>
    <x v="5"/>
    <s v=" S. JOAO"/>
    <x v="5"/>
    <x v="0"/>
    <x v="0"/>
    <x v="0"/>
    <x v="0"/>
    <x v="0"/>
    <m/>
    <x v="3"/>
    <x v="0"/>
    <x v="0"/>
    <n v="1600"/>
  </r>
  <r>
    <x v="0"/>
    <x v="0"/>
    <x v="3"/>
    <n v="245763"/>
    <n v="245844"/>
    <n v="81"/>
    <x v="6"/>
    <s v="SIMPLICIO MENDES"/>
    <x v="6"/>
    <x v="0"/>
    <x v="0"/>
    <x v="0"/>
    <x v="0"/>
    <x v="0"/>
    <m/>
    <x v="4"/>
    <x v="0"/>
    <x v="0"/>
    <n v="810"/>
  </r>
  <r>
    <x v="0"/>
    <x v="0"/>
    <x v="3"/>
    <n v="245844"/>
    <n v="246193"/>
    <n v="349"/>
    <x v="7"/>
    <s v=" S. PEDRO DO  PIAUI"/>
    <x v="7"/>
    <x v="0"/>
    <x v="0"/>
    <x v="0"/>
    <x v="0"/>
    <x v="0"/>
    <m/>
    <x v="5"/>
    <x v="0"/>
    <x v="0"/>
    <n v="3490"/>
  </r>
  <r>
    <x v="0"/>
    <x v="0"/>
    <x v="4"/>
    <n v="246193"/>
    <n v="246228"/>
    <n v="35"/>
    <x v="8"/>
    <s v="JARDIM DO MULATO"/>
    <x v="8"/>
    <x v="0"/>
    <x v="0"/>
    <x v="0"/>
    <x v="0"/>
    <x v="0"/>
    <m/>
    <x v="0"/>
    <x v="0"/>
    <x v="0"/>
    <n v="800"/>
  </r>
  <r>
    <x v="0"/>
    <x v="0"/>
    <x v="5"/>
    <n v="246228"/>
    <n v="246373"/>
    <n v="145"/>
    <x v="9"/>
    <s v=" USINA CENTRAL"/>
    <x v="9"/>
    <x v="0"/>
    <x v="0"/>
    <x v="0"/>
    <x v="0"/>
    <x v="0"/>
    <m/>
    <x v="6"/>
    <x v="0"/>
    <x v="0"/>
    <n v="1450"/>
  </r>
  <r>
    <x v="0"/>
    <x v="0"/>
    <x v="6"/>
    <n v="246373"/>
    <n v="246590"/>
    <n v="217"/>
    <x v="10"/>
    <s v="PORTO"/>
    <x v="10"/>
    <x v="0"/>
    <x v="0"/>
    <x v="0"/>
    <x v="0"/>
    <x v="0"/>
    <m/>
    <x v="7"/>
    <x v="0"/>
    <x v="0"/>
    <n v="2170"/>
  </r>
  <r>
    <x v="0"/>
    <x v="0"/>
    <x v="7"/>
    <n v="246590"/>
    <n v="246845"/>
    <n v="255"/>
    <x v="11"/>
    <s v="LAGOA DO S. FRANCISCO"/>
    <x v="11"/>
    <x v="0"/>
    <x v="0"/>
    <x v="0"/>
    <x v="0"/>
    <x v="0"/>
    <m/>
    <x v="8"/>
    <x v="0"/>
    <x v="0"/>
    <n v="2550"/>
  </r>
  <r>
    <x v="0"/>
    <x v="0"/>
    <x v="8"/>
    <n v="246845"/>
    <n v="247104"/>
    <n v="259"/>
    <x v="12"/>
    <s v="PORTO"/>
    <x v="12"/>
    <x v="0"/>
    <x v="0"/>
    <x v="0"/>
    <x v="0"/>
    <x v="0"/>
    <m/>
    <x v="9"/>
    <x v="0"/>
    <x v="0"/>
    <n v="2590"/>
  </r>
  <r>
    <x v="0"/>
    <x v="0"/>
    <x v="8"/>
    <n v="247104"/>
    <n v="247360"/>
    <n v="256"/>
    <x v="11"/>
    <s v="LAGOA DO S. FRANCISCO"/>
    <x v="13"/>
    <x v="0"/>
    <x v="0"/>
    <x v="0"/>
    <x v="0"/>
    <x v="0"/>
    <m/>
    <x v="10"/>
    <x v="0"/>
    <x v="0"/>
    <n v="2560"/>
  </r>
  <r>
    <x v="0"/>
    <x v="0"/>
    <x v="8"/>
    <n v="247360"/>
    <n v="247548"/>
    <n v="188"/>
    <x v="13"/>
    <s v="BARRAS"/>
    <x v="14"/>
    <x v="0"/>
    <x v="0"/>
    <x v="0"/>
    <x v="0"/>
    <x v="0"/>
    <m/>
    <x v="11"/>
    <x v="0"/>
    <x v="0"/>
    <n v="1880"/>
  </r>
  <r>
    <x v="0"/>
    <x v="0"/>
    <x v="9"/>
    <n v="247548"/>
    <n v="247691"/>
    <n v="143"/>
    <x v="14"/>
    <s v="USINA CENTRAL"/>
    <x v="15"/>
    <x v="0"/>
    <x v="0"/>
    <x v="0"/>
    <x v="0"/>
    <x v="0"/>
    <m/>
    <x v="12"/>
    <x v="0"/>
    <x v="0"/>
    <n v="1430"/>
  </r>
  <r>
    <x v="0"/>
    <x v="0"/>
    <x v="9"/>
    <n v="247691"/>
    <n v="248025"/>
    <n v="334"/>
    <x v="15"/>
    <s v=" LAGOA DO S. FRANCISCO"/>
    <x v="16"/>
    <x v="0"/>
    <x v="0"/>
    <x v="0"/>
    <x v="0"/>
    <x v="0"/>
    <m/>
    <x v="13"/>
    <x v="0"/>
    <x v="0"/>
    <n v="3340"/>
  </r>
  <r>
    <x v="0"/>
    <x v="0"/>
    <x v="10"/>
    <n v="248025"/>
    <n v="248062"/>
    <n v="37"/>
    <x v="16"/>
    <s v=" PEDRO II"/>
    <x v="17"/>
    <x v="0"/>
    <x v="0"/>
    <x v="0"/>
    <x v="0"/>
    <x v="0"/>
    <m/>
    <x v="0"/>
    <x v="0"/>
    <x v="0"/>
    <n v="800"/>
  </r>
  <r>
    <x v="0"/>
    <x v="0"/>
    <x v="10"/>
    <n v="248062"/>
    <n v="248344"/>
    <n v="282"/>
    <x v="17"/>
    <s v="PORTO"/>
    <x v="18"/>
    <x v="0"/>
    <x v="0"/>
    <x v="0"/>
    <x v="0"/>
    <x v="0"/>
    <m/>
    <x v="14"/>
    <x v="0"/>
    <x v="0"/>
    <n v="2820"/>
  </r>
  <r>
    <x v="0"/>
    <x v="0"/>
    <x v="11"/>
    <n v="248344"/>
    <n v="248536"/>
    <n v="192"/>
    <x v="18"/>
    <s v="PIRIPIRI"/>
    <x v="19"/>
    <x v="0"/>
    <x v="0"/>
    <x v="0"/>
    <x v="0"/>
    <x v="0"/>
    <m/>
    <x v="15"/>
    <x v="0"/>
    <x v="0"/>
    <n v="1920"/>
  </r>
  <r>
    <x v="0"/>
    <x v="0"/>
    <x v="12"/>
    <n v="248536"/>
    <n v="248799"/>
    <n v="263"/>
    <x v="19"/>
    <s v="USINA CENTRAL"/>
    <x v="20"/>
    <x v="0"/>
    <x v="0"/>
    <x v="0"/>
    <x v="0"/>
    <x v="0"/>
    <m/>
    <x v="16"/>
    <x v="0"/>
    <x v="0"/>
    <n v="2630"/>
  </r>
  <r>
    <x v="0"/>
    <x v="0"/>
    <x v="13"/>
    <n v="248799"/>
    <n v="249203"/>
    <n v="404"/>
    <x v="20"/>
    <s v="CADOZ"/>
    <x v="21"/>
    <x v="0"/>
    <x v="0"/>
    <x v="0"/>
    <x v="0"/>
    <x v="0"/>
    <m/>
    <x v="17"/>
    <x v="0"/>
    <x v="0"/>
    <n v="4040"/>
  </r>
  <r>
    <x v="0"/>
    <x v="0"/>
    <x v="14"/>
    <n v="249203"/>
    <n v="249544"/>
    <n v="341"/>
    <x v="21"/>
    <s v="USINA CENTRAL"/>
    <x v="22"/>
    <x v="0"/>
    <x v="0"/>
    <x v="0"/>
    <x v="0"/>
    <x v="0"/>
    <m/>
    <x v="18"/>
    <x v="0"/>
    <x v="0"/>
    <n v="3410"/>
  </r>
  <r>
    <x v="0"/>
    <x v="0"/>
    <x v="15"/>
    <n v="249544"/>
    <n v="249711"/>
    <n v="167"/>
    <x v="22"/>
    <s v=" PIRIPIRI"/>
    <x v="23"/>
    <x v="0"/>
    <x v="0"/>
    <x v="0"/>
    <x v="0"/>
    <x v="0"/>
    <m/>
    <x v="19"/>
    <x v="0"/>
    <x v="0"/>
    <n v="1670"/>
  </r>
  <r>
    <x v="0"/>
    <x v="0"/>
    <x v="15"/>
    <n v="249711"/>
    <n v="249721"/>
    <n v="10"/>
    <x v="23"/>
    <s v=" PIRIPIRI"/>
    <x v="24"/>
    <x v="0"/>
    <x v="0"/>
    <x v="0"/>
    <x v="0"/>
    <x v="0"/>
    <m/>
    <x v="0"/>
    <x v="0"/>
    <x v="0"/>
    <n v="800"/>
  </r>
  <r>
    <x v="0"/>
    <x v="0"/>
    <x v="15"/>
    <n v="249721"/>
    <n v="249887"/>
    <n v="166"/>
    <x v="19"/>
    <s v=" USINA CENTRAL"/>
    <x v="25"/>
    <x v="0"/>
    <x v="0"/>
    <x v="0"/>
    <x v="0"/>
    <x v="0"/>
    <m/>
    <x v="20"/>
    <x v="0"/>
    <x v="0"/>
    <n v="1660"/>
  </r>
  <r>
    <x v="0"/>
    <x v="0"/>
    <x v="15"/>
    <n v="249887"/>
    <n v="250229"/>
    <n v="342"/>
    <x v="24"/>
    <s v="OEIRAS"/>
    <x v="26"/>
    <x v="0"/>
    <x v="0"/>
    <x v="0"/>
    <x v="0"/>
    <x v="0"/>
    <m/>
    <x v="21"/>
    <x v="0"/>
    <x v="0"/>
    <n v="3420"/>
  </r>
  <r>
    <x v="0"/>
    <x v="0"/>
    <x v="16"/>
    <n v="250229"/>
    <n v="250538"/>
    <n v="309"/>
    <x v="25"/>
    <s v="FLORIANO"/>
    <x v="27"/>
    <x v="0"/>
    <x v="0"/>
    <x v="0"/>
    <x v="0"/>
    <x v="0"/>
    <m/>
    <x v="22"/>
    <x v="0"/>
    <x v="0"/>
    <n v="3090"/>
  </r>
  <r>
    <x v="0"/>
    <x v="0"/>
    <x v="16"/>
    <n v="250538"/>
    <n v="250501"/>
    <n v="-37"/>
    <x v="26"/>
    <s v=" ANTONIO ALMEIDA"/>
    <x v="28"/>
    <x v="0"/>
    <x v="0"/>
    <x v="0"/>
    <x v="0"/>
    <x v="0"/>
    <m/>
    <x v="0"/>
    <x v="0"/>
    <x v="0"/>
    <n v="800"/>
  </r>
  <r>
    <x v="0"/>
    <x v="0"/>
    <x v="16"/>
    <n v="250501"/>
    <n v="250754"/>
    <n v="253"/>
    <x v="27"/>
    <s v="FLORIANO"/>
    <x v="29"/>
    <x v="0"/>
    <x v="0"/>
    <x v="0"/>
    <x v="0"/>
    <x v="0"/>
    <m/>
    <x v="23"/>
    <x v="0"/>
    <x v="0"/>
    <n v="2530"/>
  </r>
  <r>
    <x v="0"/>
    <x v="0"/>
    <x v="17"/>
    <n v="250754"/>
    <n v="250899"/>
    <n v="145"/>
    <x v="28"/>
    <s v="REGENERAÇÃO"/>
    <x v="9"/>
    <x v="0"/>
    <x v="0"/>
    <x v="0"/>
    <x v="0"/>
    <x v="0"/>
    <m/>
    <x v="6"/>
    <x v="0"/>
    <x v="0"/>
    <n v="1450"/>
  </r>
  <r>
    <x v="0"/>
    <x v="0"/>
    <x v="17"/>
    <n v="250899"/>
    <n v="250969"/>
    <n v="70"/>
    <x v="29"/>
    <s v="AMARANTE"/>
    <x v="30"/>
    <x v="0"/>
    <x v="0"/>
    <x v="0"/>
    <x v="0"/>
    <x v="0"/>
    <m/>
    <x v="0"/>
    <x v="0"/>
    <x v="0"/>
    <n v="800"/>
  </r>
  <r>
    <x v="0"/>
    <x v="0"/>
    <x v="17"/>
    <n v="250969"/>
    <n v="251123"/>
    <n v="154"/>
    <x v="30"/>
    <s v="USINA CENTRAL"/>
    <x v="31"/>
    <x v="0"/>
    <x v="0"/>
    <x v="0"/>
    <x v="0"/>
    <x v="0"/>
    <m/>
    <x v="24"/>
    <x v="0"/>
    <x v="0"/>
    <n v="1540"/>
  </r>
  <r>
    <x v="0"/>
    <x v="0"/>
    <x v="18"/>
    <n v="251123"/>
    <n v="251360"/>
    <n v="237"/>
    <x v="31"/>
    <s v=" FLORIANO"/>
    <x v="32"/>
    <x v="0"/>
    <x v="0"/>
    <x v="0"/>
    <x v="0"/>
    <x v="0"/>
    <m/>
    <x v="25"/>
    <x v="0"/>
    <x v="0"/>
    <n v="2370"/>
  </r>
  <r>
    <x v="0"/>
    <x v="0"/>
    <x v="18"/>
    <n v="251360"/>
    <n v="251911"/>
    <n v="551"/>
    <x v="32"/>
    <s v="CADOZ"/>
    <x v="33"/>
    <x v="0"/>
    <x v="0"/>
    <x v="0"/>
    <x v="0"/>
    <x v="0"/>
    <m/>
    <x v="26"/>
    <x v="0"/>
    <x v="0"/>
    <n v="5510"/>
  </r>
  <r>
    <x v="0"/>
    <x v="0"/>
    <x v="19"/>
    <n v="251911"/>
    <n v="252497"/>
    <n v="586"/>
    <x v="33"/>
    <s v=" FLORIANO"/>
    <x v="34"/>
    <x v="0"/>
    <x v="0"/>
    <x v="0"/>
    <x v="0"/>
    <x v="0"/>
    <m/>
    <x v="27"/>
    <x v="0"/>
    <x v="0"/>
    <n v="5860"/>
  </r>
  <r>
    <x v="0"/>
    <x v="0"/>
    <x v="20"/>
    <n v="252497"/>
    <n v="252521"/>
    <n v="24"/>
    <x v="34"/>
    <s v=" FLORIANO"/>
    <x v="35"/>
    <x v="0"/>
    <x v="0"/>
    <x v="0"/>
    <x v="0"/>
    <x v="0"/>
    <m/>
    <x v="0"/>
    <x v="0"/>
    <x v="0"/>
    <n v="800"/>
  </r>
  <r>
    <x v="0"/>
    <x v="0"/>
    <x v="20"/>
    <n v="252521"/>
    <n v="252548"/>
    <n v="27"/>
    <x v="34"/>
    <s v="FLORIANO"/>
    <x v="36"/>
    <x v="0"/>
    <x v="0"/>
    <x v="0"/>
    <x v="0"/>
    <x v="0"/>
    <m/>
    <x v="0"/>
    <x v="0"/>
    <x v="0"/>
    <n v="800"/>
  </r>
  <r>
    <x v="0"/>
    <x v="0"/>
    <x v="20"/>
    <n v="252548"/>
    <n v="252575"/>
    <n v="27"/>
    <x v="34"/>
    <s v="FLORIANO"/>
    <x v="36"/>
    <x v="0"/>
    <x v="0"/>
    <x v="0"/>
    <x v="0"/>
    <x v="0"/>
    <m/>
    <x v="0"/>
    <x v="0"/>
    <x v="0"/>
    <n v="800"/>
  </r>
  <r>
    <x v="0"/>
    <x v="0"/>
    <x v="20"/>
    <n v="252575"/>
    <n v="252601"/>
    <n v="26"/>
    <x v="34"/>
    <s v="FLORIANO"/>
    <x v="37"/>
    <x v="0"/>
    <x v="0"/>
    <x v="0"/>
    <x v="0"/>
    <x v="0"/>
    <m/>
    <x v="0"/>
    <x v="0"/>
    <x v="0"/>
    <n v="800"/>
  </r>
  <r>
    <x v="0"/>
    <x v="0"/>
    <x v="21"/>
    <n v="252601"/>
    <n v="252894"/>
    <n v="293"/>
    <x v="35"/>
    <s v="NOVA SANTA RITA"/>
    <x v="38"/>
    <x v="0"/>
    <x v="0"/>
    <x v="0"/>
    <x v="0"/>
    <x v="0"/>
    <m/>
    <x v="28"/>
    <x v="0"/>
    <x v="0"/>
    <n v="2930"/>
  </r>
  <r>
    <x v="0"/>
    <x v="0"/>
    <x v="21"/>
    <n v="252894"/>
    <n v="252924"/>
    <n v="30"/>
    <x v="36"/>
    <s v="SIMPLICIO MENDES"/>
    <x v="39"/>
    <x v="0"/>
    <x v="0"/>
    <x v="0"/>
    <x v="0"/>
    <x v="0"/>
    <m/>
    <x v="0"/>
    <x v="0"/>
    <x v="0"/>
    <n v="800"/>
  </r>
  <r>
    <x v="0"/>
    <x v="0"/>
    <x v="21"/>
    <n v="252924"/>
    <n v="253368"/>
    <n v="444"/>
    <x v="37"/>
    <s v="USINA CENTRAL"/>
    <x v="40"/>
    <x v="0"/>
    <x v="0"/>
    <x v="0"/>
    <x v="0"/>
    <x v="0"/>
    <m/>
    <x v="29"/>
    <x v="0"/>
    <x v="0"/>
    <n v="44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d v="2026-03-03T00:00:00"/>
    <n v="252573"/>
    <n v="252754"/>
    <n v="181"/>
    <x v="0"/>
    <s v="BARRAS"/>
    <n v="1810"/>
    <m/>
    <n v="1"/>
    <m/>
    <m/>
    <m/>
    <m/>
    <n v="1810"/>
    <m/>
    <n v="0"/>
    <n v="1810"/>
  </r>
  <r>
    <x v="0"/>
    <x v="0"/>
    <d v="2026-03-03T00:00:00"/>
    <n v="252754"/>
    <n v="252773"/>
    <n v="19"/>
    <x v="1"/>
    <s v="N. S. REMEDIOS"/>
    <n v="190"/>
    <m/>
    <n v="1"/>
    <m/>
    <m/>
    <m/>
    <m/>
    <n v="800"/>
    <m/>
    <n v="0"/>
    <n v="800"/>
  </r>
  <r>
    <x v="0"/>
    <x v="0"/>
    <d v="2026-03-03T00:00:00"/>
    <n v="252773"/>
    <n v="252794"/>
    <n v="21"/>
    <x v="2"/>
    <s v="BARRAS"/>
    <n v="210"/>
    <m/>
    <n v="1"/>
    <m/>
    <m/>
    <m/>
    <m/>
    <n v="800"/>
    <m/>
    <n v="0"/>
    <n v="800"/>
  </r>
  <r>
    <x v="0"/>
    <x v="0"/>
    <d v="2026-03-03T00:00:00"/>
    <n v="252794"/>
    <n v="252808"/>
    <n v="14"/>
    <x v="1"/>
    <s v="N. S. REMEDIOS"/>
    <n v="140"/>
    <m/>
    <n v="1"/>
    <m/>
    <m/>
    <m/>
    <m/>
    <n v="800"/>
    <m/>
    <n v="0"/>
    <n v="800"/>
  </r>
  <r>
    <x v="0"/>
    <x v="0"/>
    <d v="2026-03-04T00:00:00"/>
    <n v="252808"/>
    <n v="252835"/>
    <n v="27"/>
    <x v="2"/>
    <s v="BARRAS"/>
    <n v="270"/>
    <m/>
    <n v="1"/>
    <m/>
    <m/>
    <m/>
    <m/>
    <n v="800"/>
    <m/>
    <n v="0"/>
    <n v="800"/>
  </r>
  <r>
    <x v="0"/>
    <x v="0"/>
    <d v="2026-03-04T00:00:00"/>
    <n v="252835"/>
    <n v="252856"/>
    <n v="21"/>
    <x v="3"/>
    <s v="PORTO"/>
    <n v="210"/>
    <m/>
    <n v="1"/>
    <m/>
    <m/>
    <m/>
    <m/>
    <n v="800"/>
    <m/>
    <n v="0"/>
    <n v="800"/>
  </r>
  <r>
    <x v="0"/>
    <x v="0"/>
    <d v="2026-03-04T00:00:00"/>
    <n v="252856"/>
    <n v="252968"/>
    <n v="112"/>
    <x v="4"/>
    <s v="PIRIPIRI"/>
    <n v="1120"/>
    <m/>
    <n v="1"/>
    <m/>
    <m/>
    <m/>
    <m/>
    <n v="1120"/>
    <m/>
    <n v="0"/>
    <n v="1120"/>
  </r>
  <r>
    <x v="0"/>
    <x v="0"/>
    <d v="2026-03-04T00:00:00"/>
    <n v="252968"/>
    <n v="253039"/>
    <n v="71"/>
    <x v="5"/>
    <s v="BARRAS"/>
    <n v="710"/>
    <m/>
    <n v="1"/>
    <m/>
    <m/>
    <m/>
    <m/>
    <n v="800"/>
    <m/>
    <n v="0"/>
    <n v="800"/>
  </r>
  <r>
    <x v="0"/>
    <x v="0"/>
    <d v="2026-03-05T00:00:00"/>
    <n v="253039"/>
    <n v="253160"/>
    <n v="121"/>
    <x v="6"/>
    <s v="JOCA MARQUES"/>
    <n v="1210"/>
    <m/>
    <n v="1"/>
    <m/>
    <m/>
    <m/>
    <m/>
    <n v="1210"/>
    <m/>
    <n v="0"/>
    <n v="1210"/>
  </r>
  <r>
    <x v="0"/>
    <x v="0"/>
    <d v="2026-03-05T00:00:00"/>
    <n v="253160"/>
    <n v="253420"/>
    <n v="260"/>
    <x v="7"/>
    <s v="USINA"/>
    <n v="2600"/>
    <m/>
    <n v="1"/>
    <m/>
    <m/>
    <m/>
    <n v="0"/>
    <n v="2600"/>
    <m/>
    <n v="0"/>
    <n v="2600"/>
  </r>
  <r>
    <x v="0"/>
    <x v="0"/>
    <d v="2026-03-06T00:00:00"/>
    <n v="253420"/>
    <n v="253767"/>
    <n v="347"/>
    <x v="8"/>
    <s v="JOAQUIM PIRES"/>
    <n v="3470"/>
    <m/>
    <n v="1"/>
    <m/>
    <m/>
    <m/>
    <n v="0"/>
    <n v="3470"/>
    <m/>
    <n v="0"/>
    <n v="3470"/>
  </r>
  <r>
    <x v="0"/>
    <x v="0"/>
    <d v="2026-03-06T00:00:00"/>
    <n v="253767"/>
    <n v="254177"/>
    <n v="410"/>
    <x v="9"/>
    <s v="JARDIM DO MULATO"/>
    <n v="4100"/>
    <m/>
    <n v="1"/>
    <m/>
    <m/>
    <m/>
    <n v="0"/>
    <n v="4100"/>
    <m/>
    <n v="0"/>
    <n v="4100"/>
  </r>
  <r>
    <x v="0"/>
    <x v="0"/>
    <d v="2026-03-06T00:00:00"/>
    <n v="254177"/>
    <n v="252184"/>
    <n v="-1993"/>
    <x v="10"/>
    <s v="LAGOA DOS COCO"/>
    <n v="-19930"/>
    <m/>
    <n v="1"/>
    <m/>
    <m/>
    <m/>
    <n v="0"/>
    <n v="800"/>
    <m/>
    <n v="0"/>
    <n v="800"/>
  </r>
  <r>
    <x v="0"/>
    <x v="0"/>
    <d v="2026-03-09T00:00:00"/>
    <n v="252184"/>
    <n v="254584"/>
    <n v="2400"/>
    <x v="11"/>
    <s v="S. FRANCISCO DE ASSIS"/>
    <n v="24000"/>
    <m/>
    <n v="1"/>
    <m/>
    <m/>
    <m/>
    <n v="0"/>
    <n v="24000"/>
    <m/>
    <n v="0"/>
    <n v="24000"/>
  </r>
  <r>
    <x v="0"/>
    <x v="0"/>
    <d v="2026-03-14T00:00:00"/>
    <n v="254584"/>
    <n v="254673"/>
    <n v="89"/>
    <x v="12"/>
    <s v="NOVA SANTA RITA"/>
    <n v="890"/>
    <m/>
    <n v="1"/>
    <m/>
    <m/>
    <m/>
    <n v="0"/>
    <n v="890"/>
    <m/>
    <n v="0"/>
    <n v="890"/>
  </r>
  <r>
    <x v="0"/>
    <x v="0"/>
    <d v="2026-03-14T00:00:00"/>
    <n v="254673"/>
    <n v="255036"/>
    <n v="363"/>
    <x v="13"/>
    <s v="LAGOA DOS COCO"/>
    <n v="3630"/>
    <m/>
    <n v="1"/>
    <m/>
    <m/>
    <m/>
    <n v="0"/>
    <n v="3630"/>
    <m/>
    <n v="0"/>
    <n v="3630"/>
  </r>
  <r>
    <x v="0"/>
    <x v="0"/>
    <d v="2026-03-17T00:00:00"/>
    <n v="255036"/>
    <n v="255040"/>
    <n v="4"/>
    <x v="14"/>
    <s v="JARDIM DO MULATO"/>
    <n v="40"/>
    <m/>
    <n v="1"/>
    <m/>
    <m/>
    <m/>
    <n v="0"/>
    <n v="800"/>
    <m/>
    <n v="0"/>
    <n v="800"/>
  </r>
  <r>
    <x v="0"/>
    <x v="0"/>
    <d v="2026-03-18T00:00:00"/>
    <n v="255040"/>
    <n v="255311"/>
    <n v="271"/>
    <x v="15"/>
    <s v="S. MIGUEL DO TAPUIO"/>
    <n v="2710"/>
    <m/>
    <n v="1"/>
    <m/>
    <m/>
    <m/>
    <n v="0"/>
    <n v="2710"/>
    <m/>
    <n v="0"/>
    <n v="2710"/>
  </r>
  <r>
    <x v="0"/>
    <x v="0"/>
    <d v="2026-03-19T00:00:00"/>
    <n v="255311"/>
    <n v="255541"/>
    <n v="230"/>
    <x v="16"/>
    <s v="AGUA BRANCA"/>
    <n v="2300"/>
    <m/>
    <n v="1"/>
    <m/>
    <m/>
    <m/>
    <n v="0"/>
    <n v="2300"/>
    <m/>
    <n v="0"/>
    <n v="2300"/>
  </r>
  <r>
    <x v="0"/>
    <x v="0"/>
    <d v="2026-03-20T00:00:00"/>
    <n v="255541"/>
    <n v="255644"/>
    <n v="103"/>
    <x v="17"/>
    <s v="REGENERAÇÃO"/>
    <n v="1030"/>
    <m/>
    <n v="1"/>
    <m/>
    <m/>
    <m/>
    <n v="0"/>
    <n v="1030"/>
    <m/>
    <n v="0"/>
    <n v="1030"/>
  </r>
  <r>
    <x v="0"/>
    <x v="0"/>
    <d v="2026-03-20T00:00:00"/>
    <n v="255644"/>
    <n v="255975"/>
    <n v="331"/>
    <x v="18"/>
    <s v="BREJO DA ONÇA"/>
    <n v="3310"/>
    <m/>
    <n v="1"/>
    <m/>
    <m/>
    <m/>
    <n v="0"/>
    <n v="3310"/>
    <m/>
    <n v="0"/>
    <n v="3310"/>
  </r>
  <r>
    <x v="0"/>
    <x v="0"/>
    <d v="2026-03-21T00:00:00"/>
    <n v="255975"/>
    <n v="256063"/>
    <n v="88"/>
    <x v="19"/>
    <s v="S. MIGUEL DO TAPUIO"/>
    <n v="880"/>
    <m/>
    <n v="1"/>
    <m/>
    <m/>
    <m/>
    <n v="0"/>
    <n v="880"/>
    <m/>
    <n v="0"/>
    <n v="880"/>
  </r>
  <r>
    <x v="0"/>
    <x v="0"/>
    <d v="2026-03-21T00:00:00"/>
    <n v="256063"/>
    <n v="256323"/>
    <n v="260"/>
    <x v="20"/>
    <s v="USINA"/>
    <n v="2600"/>
    <m/>
    <n v="1"/>
    <m/>
    <m/>
    <m/>
    <n v="0"/>
    <n v="2600"/>
    <m/>
    <n v="0"/>
    <n v="2600"/>
  </r>
  <r>
    <x v="0"/>
    <x v="0"/>
    <d v="2026-03-26T00:00:00"/>
    <n v="256323"/>
    <n v="256594"/>
    <n v="271"/>
    <x v="21"/>
    <s v="S. MIGUEL DO TAPUIO"/>
    <n v="2710"/>
    <m/>
    <n v="1"/>
    <m/>
    <m/>
    <m/>
    <n v="0"/>
    <n v="2710"/>
    <m/>
    <n v="0"/>
    <n v="2710"/>
  </r>
  <r>
    <x v="0"/>
    <x v="0"/>
    <d v="2026-03-26T00:00:00"/>
    <n v="256594"/>
    <n v="256636"/>
    <n v="42"/>
    <x v="22"/>
    <s v="S. MIGUEL DO TAPUIO"/>
    <n v="420"/>
    <m/>
    <n v="1"/>
    <m/>
    <m/>
    <m/>
    <n v="0"/>
    <n v="800"/>
    <m/>
    <n v="0"/>
    <n v="800"/>
  </r>
  <r>
    <x v="0"/>
    <x v="0"/>
    <d v="2026-03-28T00:00:00"/>
    <n v="256636"/>
    <n v="256930"/>
    <n v="294"/>
    <x v="23"/>
    <s v="PORTO"/>
    <n v="2940"/>
    <m/>
    <n v="1"/>
    <m/>
    <m/>
    <m/>
    <n v="0"/>
    <n v="2940"/>
    <m/>
    <n v="0"/>
    <n v="2940"/>
  </r>
  <r>
    <x v="0"/>
    <x v="0"/>
    <d v="2026-03-28T00:00:00"/>
    <n v="256930"/>
    <n v="257136"/>
    <n v="206"/>
    <x v="24"/>
    <s v="USINA"/>
    <n v="2060"/>
    <m/>
    <n v="1"/>
    <m/>
    <m/>
    <m/>
    <n v="0"/>
    <n v="2060"/>
    <m/>
    <n v="0"/>
    <n v="2060"/>
  </r>
  <r>
    <x v="0"/>
    <x v="0"/>
    <d v="2026-03-30T00:00:00"/>
    <n v="257136"/>
    <n v="257186"/>
    <n v="50"/>
    <x v="25"/>
    <s v="SETA"/>
    <n v="500"/>
    <m/>
    <n v="1"/>
    <m/>
    <m/>
    <m/>
    <m/>
    <n v="800"/>
    <m/>
    <m/>
    <n v="800"/>
  </r>
  <r>
    <x v="0"/>
    <x v="0"/>
    <d v="2026-03-30T00:00:00"/>
    <n v="257186"/>
    <n v="257216"/>
    <n v="30"/>
    <x v="26"/>
    <s v="ENGENDRA"/>
    <n v="300"/>
    <m/>
    <n v="1"/>
    <m/>
    <m/>
    <m/>
    <m/>
    <n v="800"/>
    <m/>
    <m/>
    <n v="800"/>
  </r>
  <r>
    <x v="0"/>
    <x v="0"/>
    <d v="2026-03-30T00:00:00"/>
    <n v="257216"/>
    <n v="257244"/>
    <n v="28"/>
    <x v="27"/>
    <s v="USINA"/>
    <n v="280"/>
    <m/>
    <n v="1"/>
    <m/>
    <m/>
    <m/>
    <m/>
    <n v="800"/>
    <m/>
    <m/>
    <n v="800"/>
  </r>
  <r>
    <x v="0"/>
    <x v="0"/>
    <d v="2026-03-31T00:00:00"/>
    <n v="257244"/>
    <n v="257464"/>
    <n v="220"/>
    <x v="28"/>
    <s v="PORTO"/>
    <n v="2200"/>
    <m/>
    <n v="1"/>
    <m/>
    <m/>
    <m/>
    <n v="0"/>
    <n v="2200"/>
    <m/>
    <m/>
    <n v="2200"/>
  </r>
  <r>
    <x v="0"/>
    <x v="0"/>
    <d v="2026-03-31T00:00:00"/>
    <n v="257464"/>
    <n v="257472"/>
    <n v="8"/>
    <x v="29"/>
    <s v="PORTO"/>
    <n v="80"/>
    <m/>
    <n v="1"/>
    <m/>
    <m/>
    <m/>
    <n v="0"/>
    <n v="800"/>
    <m/>
    <m/>
    <n v="800"/>
  </r>
  <r>
    <x v="0"/>
    <x v="0"/>
    <d v="2026-03-31T00:00:00"/>
    <n v="257472"/>
    <n v="257630"/>
    <n v="158"/>
    <x v="30"/>
    <s v="ESTREITO"/>
    <n v="1580"/>
    <m/>
    <n v="1"/>
    <m/>
    <m/>
    <m/>
    <n v="0"/>
    <n v="1580"/>
    <m/>
    <m/>
    <n v="15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B806-88E6-4A66-BF0D-F41DD8C9D67F}" name="Tabela dinâmica2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6" firstHeaderRow="0" firstDataRow="1" firstDataCol="1"/>
  <pivotFields count="19">
    <pivotField axis="axisRow" showAll="0">
      <items count="2">
        <item x="0"/>
        <item t="default"/>
      </items>
    </pivotField>
    <pivotField axis="axisRow" showAll="0">
      <items count="2">
        <item sd="0" x="0"/>
        <item t="default"/>
      </items>
    </pivotField>
    <pivotField axis="axisRow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3" showAll="0"/>
    <pivotField dataField="1" numFmtId="3" showAll="0"/>
    <pivotField dataField="1" numFmtId="41" showAll="0"/>
    <pivotField showAll="0"/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11">
    <field x="0"/>
    <field x="1"/>
    <field x="2"/>
    <field x="8"/>
    <field x="9"/>
    <field x="11"/>
    <field x="12"/>
    <field x="13"/>
    <field x="15"/>
    <field x="16"/>
    <field x="17"/>
  </rowFields>
  <rowItems count="3">
    <i>
      <x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KM/HORA INIC" fld="3" baseField="0" baseItem="0" numFmtId="3"/>
    <dataField name="Soma de KM/HORA FIM" fld="4" baseField="0" baseItem="0" numFmtId="3"/>
    <dataField name="Soma de TOTAL" fld="5" baseField="0" baseItem="0" numFmtId="41"/>
    <dataField name="Soma de DIAS TRABALHADOS" fld="10" baseField="0" baseItem="0"/>
    <dataField name="Soma de ALUGUEL" fld="14" baseField="0" baseItem="0"/>
    <dataField name="Soma de VL TOTAL BM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D2E4-886B-4310-BBC1-B83E65E62C91}" name="Tabela dinâmica1" cacheId="1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35" firstHeaderRow="0" firstDataRow="1" firstDataCol="3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2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IAGENS" fld="10" baseField="6" baseItem="0"/>
    <dataField name="DIAS DISPONIVEIS" fld="9" subtotal="count" baseField="0" baseItem="0"/>
    <dataField name="VL. TOTAL BM" fld="18" baseField="6" baseItem="0" numFmtId="44"/>
  </dataFields>
  <formats count="16">
    <format dxfId="16">
      <pivotArea outline="0" fieldPosition="0">
        <references count="1">
          <reference field="4294967294" count="1" selected="0">
            <x v="2"/>
          </reference>
        </references>
      </pivotArea>
    </format>
    <format dxfId="17">
      <pivotArea field="1" type="button" dataOnly="0" labelOnly="1" outline="0" axis="axisRow" fieldPosition="1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field="1" type="button" dataOnly="0" labelOnly="1" outline="0" axis="axisRow" fieldPosition="1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4">
      <pivotArea outline="0" collapsedLevelsAreSubtotals="1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">
      <pivotArea outline="0" collapsedLevelsAreSubtotals="1" fieldPosition="0"/>
    </format>
    <format dxfId="29">
      <pivotArea dataOnly="0" labelOnly="1" outline="0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31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86218-6EED-4A45-A94C-2D70D55613E2}" name="Tabela dinâmica1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9" firstHeaderRow="0" firstDataRow="1" firstDataCol="3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5">
        <item x="3"/>
        <item x="4"/>
        <item x="2"/>
        <item x="1"/>
        <item x="0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IAGENS" fld="10" baseField="6" baseItem="0"/>
    <dataField name="DIAS DISPONIVEIS" fld="9" subtotal="count" baseField="0" baseItem="0"/>
    <dataField name="VL. TOTAL BM" fld="18" baseField="6" baseItem="0" numFmtId="44"/>
  </dataFields>
  <formats count="16">
    <format dxfId="183">
      <pivotArea outline="0" fieldPosition="0">
        <references count="1">
          <reference field="4294967294" count="1" selected="0">
            <x v="2"/>
          </reference>
        </references>
      </pivotArea>
    </format>
    <format dxfId="182">
      <pivotArea field="1" type="button" dataOnly="0" labelOnly="1" outline="0" axis="axisRow" fieldPosition="1"/>
    </format>
    <format dxfId="1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0">
      <pivotArea field="1" type="button" dataOnly="0" labelOnly="1" outline="0" axis="axisRow" fieldPosition="1"/>
    </format>
    <format dxfId="1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75">
      <pivotArea outline="0" collapsedLevelsAreSubtotals="1" fieldPosition="0"/>
    </format>
    <format dxfId="174">
      <pivotArea dataOnly="0" labelOnly="1" outline="0" fieldPosition="0">
        <references count="1">
          <reference field="0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0" count="0"/>
        </references>
      </pivotArea>
    </format>
    <format dxfId="169">
      <pivotArea dataOnly="0" labelOnly="1" grandRow="1" outline="0" fieldPosition="0"/>
    </format>
    <format dxfId="168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49CD0-8246-47A3-92B4-AA77AD6AD5AA}" name="Tabela dinâmica1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42" firstHeaderRow="0" firstDataRow="1" firstDataCol="3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numFmtId="3" outline="0" subtotalTop="0" showAll="0" defaultSubtotal="0"/>
    <pivotField compact="0" numFmtId="3" outline="0" subtotalTop="0" showAll="0" defaultSubtotal="0"/>
    <pivotField compact="0" outline="0" showAll="0" defaultSubtotal="0"/>
    <pivotField axis="axisRow" compact="0" outline="0" subtotalTop="0" showAll="0" defaultSubtotal="0">
      <items count="38">
        <item x="3"/>
        <item x="30"/>
        <item x="27"/>
        <item x="14"/>
        <item x="33"/>
        <item x="21"/>
        <item x="4"/>
        <item x="26"/>
        <item x="32"/>
        <item x="34"/>
        <item x="35"/>
        <item x="28"/>
        <item x="9"/>
        <item x="2"/>
        <item x="13"/>
        <item x="12"/>
        <item x="16"/>
        <item x="36"/>
        <item x="25"/>
        <item x="17"/>
        <item x="23"/>
        <item x="19"/>
        <item x="11"/>
        <item x="18"/>
        <item x="29"/>
        <item x="6"/>
        <item x="8"/>
        <item x="5"/>
        <item x="7"/>
        <item x="37"/>
        <item x="1"/>
        <item x="22"/>
        <item x="20"/>
        <item x="31"/>
        <item x="15"/>
        <item x="24"/>
        <item x="10"/>
        <item x="0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9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IAGENS" fld="10" baseField="0" baseItem="0"/>
    <dataField name="DIAS DISPONIVEIS" fld="9" subtotal="count" baseField="0" baseItem="0"/>
    <dataField name="VL. TOTAL BM" fld="18" baseField="6" baseItem="0" numFmtId="44"/>
  </dataFields>
  <formats count="16">
    <format dxfId="167">
      <pivotArea outline="0" fieldPosition="0">
        <references count="1">
          <reference field="4294967294" count="1" selected="0">
            <x v="2"/>
          </reference>
        </references>
      </pivotArea>
    </format>
    <format dxfId="166">
      <pivotArea field="1" type="button" dataOnly="0" labelOnly="1" outline="0" axis="axisRow" fieldPosition="1"/>
    </format>
    <format dxfId="16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64">
      <pivotArea field="1" type="button" dataOnly="0" labelOnly="1" outline="0" axis="axisRow" fieldPosition="1"/>
    </format>
    <format dxfId="16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1">
      <pivotArea outline="0" fieldPosition="0">
        <references count="1">
          <reference field="4294967294" count="1" selected="0">
            <x v="1"/>
          </reference>
        </references>
      </pivotArea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0" count="0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0" count="0"/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3" dT="2026-03-17T13:54:55.47" personId="{1DF1AD9D-1CD4-467A-B1B3-E9F6E232A706}" id="{FA0F76B8-DCD4-4E73-AEEF-2BB4172092C5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75F-4702-4586-9318-FE6C6E4D06F2}">
  <dimension ref="A3:G6"/>
  <sheetViews>
    <sheetView workbookViewId="0">
      <selection activeCell="A11" sqref="A11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2.28515625" bestFit="1" customWidth="1"/>
    <col min="4" max="4" width="14.7109375" bestFit="1" customWidth="1"/>
    <col min="5" max="5" width="27.140625" bestFit="1" customWidth="1"/>
    <col min="6" max="6" width="17.5703125" bestFit="1" customWidth="1"/>
    <col min="7" max="7" width="20.85546875" bestFit="1" customWidth="1"/>
  </cols>
  <sheetData>
    <row r="3" spans="1:7" x14ac:dyDescent="0.25">
      <c r="A3" s="23" t="s">
        <v>60</v>
      </c>
      <c r="B3" t="s">
        <v>61</v>
      </c>
      <c r="C3" t="s">
        <v>62</v>
      </c>
      <c r="D3" t="s">
        <v>63</v>
      </c>
      <c r="E3" t="s">
        <v>20</v>
      </c>
      <c r="F3" t="s">
        <v>64</v>
      </c>
      <c r="G3" t="s">
        <v>65</v>
      </c>
    </row>
    <row r="4" spans="1:7" x14ac:dyDescent="0.25">
      <c r="A4" s="40" t="s">
        <v>30</v>
      </c>
      <c r="B4" s="42">
        <v>10701306</v>
      </c>
      <c r="C4" s="42">
        <v>10709803</v>
      </c>
      <c r="D4" s="43">
        <v>8497</v>
      </c>
      <c r="E4" s="65">
        <v>43</v>
      </c>
      <c r="F4" s="65"/>
      <c r="G4" s="65">
        <v>91160</v>
      </c>
    </row>
    <row r="5" spans="1:7" x14ac:dyDescent="0.25">
      <c r="A5" s="41" t="s">
        <v>31</v>
      </c>
      <c r="B5" s="42">
        <v>10701306</v>
      </c>
      <c r="C5" s="42">
        <v>10709803</v>
      </c>
      <c r="D5" s="43">
        <v>8497</v>
      </c>
      <c r="E5" s="65">
        <v>43</v>
      </c>
      <c r="F5" s="65"/>
      <c r="G5" s="65">
        <v>91160</v>
      </c>
    </row>
    <row r="6" spans="1:7" x14ac:dyDescent="0.25">
      <c r="A6" s="40" t="s">
        <v>23</v>
      </c>
      <c r="B6" s="42">
        <v>10701306</v>
      </c>
      <c r="C6" s="42">
        <v>10709803</v>
      </c>
      <c r="D6" s="43">
        <v>8497</v>
      </c>
      <c r="E6" s="65">
        <v>43</v>
      </c>
      <c r="F6" s="65"/>
      <c r="G6" s="65">
        <v>91160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theme="5" tint="0.39997558519241921"/>
  </sheetPr>
  <dimension ref="B1:T123"/>
  <sheetViews>
    <sheetView topLeftCell="E90" zoomScale="60" zoomScaleNormal="60" workbookViewId="0">
      <selection activeCell="Q80" sqref="Q80"/>
    </sheetView>
  </sheetViews>
  <sheetFormatPr defaultRowHeight="15" outlineLevelRow="1" x14ac:dyDescent="0.25"/>
  <cols>
    <col min="1" max="1" width="4.42578125" customWidth="1"/>
    <col min="2" max="2" width="11.28515625" style="13" customWidth="1"/>
    <col min="3" max="3" width="74.42578125" customWidth="1"/>
    <col min="4" max="4" width="13.140625" bestFit="1" customWidth="1"/>
    <col min="5" max="5" width="19" style="2" customWidth="1"/>
    <col min="6" max="6" width="21.42578125" style="2" customWidth="1"/>
    <col min="7" max="7" width="17.28515625" style="2" customWidth="1"/>
    <col min="8" max="8" width="49.42578125" customWidth="1"/>
    <col min="9" max="9" width="31.5703125" customWidth="1"/>
    <col min="10" max="10" width="14.42578125" customWidth="1"/>
    <col min="11" max="11" width="18.5703125" bestFit="1" customWidth="1"/>
    <col min="12" max="12" width="22.28515625" style="2" customWidth="1"/>
    <col min="13" max="13" width="22.85546875" style="2" customWidth="1"/>
    <col min="14" max="14" width="17" bestFit="1" customWidth="1"/>
    <col min="15" max="15" width="17.140625" customWidth="1"/>
    <col min="16" max="16" width="14.28515625" style="2" bestFit="1" customWidth="1"/>
    <col min="17" max="17" width="14.7109375" style="2" bestFit="1" customWidth="1"/>
    <col min="18" max="18" width="15.140625" style="2" bestFit="1" customWidth="1"/>
    <col min="19" max="19" width="14.7109375" style="2" customWidth="1"/>
    <col min="20" max="20" width="15.7109375" customWidth="1"/>
  </cols>
  <sheetData>
    <row r="1" spans="2:20" ht="14.45" customHeight="1" x14ac:dyDescent="0.25">
      <c r="B1" s="46" t="s">
        <v>34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55" t="s">
        <v>26</v>
      </c>
      <c r="O1" s="56"/>
      <c r="P1" s="56"/>
      <c r="Q1" s="56"/>
      <c r="R1" s="56"/>
      <c r="S1" s="56"/>
      <c r="T1" s="56"/>
    </row>
    <row r="2" spans="2:20" ht="14.45" customHeight="1" x14ac:dyDescent="0.25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  <c r="N2" s="57"/>
      <c r="O2" s="58"/>
      <c r="P2" s="58"/>
      <c r="Q2" s="58"/>
      <c r="R2" s="58"/>
      <c r="S2" s="58"/>
      <c r="T2" s="58"/>
    </row>
    <row r="3" spans="2:20" ht="14.45" customHeight="1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  <c r="N3" s="59"/>
      <c r="O3" s="60"/>
      <c r="P3" s="60"/>
      <c r="Q3" s="60"/>
      <c r="R3" s="60"/>
      <c r="S3" s="60"/>
      <c r="T3" s="60"/>
    </row>
    <row r="4" spans="2:20" ht="32.25" x14ac:dyDescent="0.25">
      <c r="B4" s="61" t="s">
        <v>27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26"/>
      <c r="O4" s="26"/>
      <c r="P4" s="26"/>
      <c r="Q4" s="26"/>
      <c r="R4" s="26"/>
      <c r="S4" s="26"/>
      <c r="T4" s="26"/>
    </row>
    <row r="6" spans="2:20" x14ac:dyDescent="0.25">
      <c r="B6" s="37" t="s">
        <v>28</v>
      </c>
      <c r="C6" s="38" t="s">
        <v>29</v>
      </c>
      <c r="D6" s="3"/>
      <c r="E6" s="4"/>
      <c r="F6" s="4"/>
      <c r="G6" s="4"/>
      <c r="H6" s="3"/>
      <c r="I6" s="3"/>
      <c r="J6" s="3"/>
      <c r="K6" s="3"/>
      <c r="L6" s="4"/>
      <c r="M6" s="4"/>
      <c r="N6" s="44" t="str">
        <f>N$1</f>
        <v>BM MARÇO 2026</v>
      </c>
      <c r="O6" s="44"/>
      <c r="P6" s="44"/>
      <c r="Q6" s="18" t="s">
        <v>3</v>
      </c>
      <c r="R6" s="45"/>
      <c r="S6" s="45"/>
      <c r="T6" s="45"/>
    </row>
    <row r="7" spans="2:20" x14ac:dyDescent="0.25">
      <c r="B7" s="11" t="s">
        <v>0</v>
      </c>
      <c r="C7" s="5" t="s">
        <v>1</v>
      </c>
      <c r="D7" s="5" t="s">
        <v>4</v>
      </c>
      <c r="E7" s="6" t="s">
        <v>5</v>
      </c>
      <c r="F7" s="6" t="s">
        <v>6</v>
      </c>
      <c r="G7" s="6" t="s">
        <v>7</v>
      </c>
      <c r="H7" s="5" t="s">
        <v>79</v>
      </c>
      <c r="I7" s="5" t="s">
        <v>35</v>
      </c>
      <c r="J7" s="6" t="s">
        <v>8</v>
      </c>
      <c r="K7" s="6" t="s">
        <v>9</v>
      </c>
      <c r="L7" s="6" t="s">
        <v>10</v>
      </c>
      <c r="M7" s="6" t="s">
        <v>11</v>
      </c>
      <c r="N7" s="5" t="s">
        <v>4</v>
      </c>
      <c r="O7" s="5" t="s">
        <v>12</v>
      </c>
      <c r="P7" s="6" t="s">
        <v>2</v>
      </c>
      <c r="Q7" s="6" t="s">
        <v>13</v>
      </c>
      <c r="R7" s="6" t="s">
        <v>14</v>
      </c>
      <c r="S7" s="6" t="s">
        <v>15</v>
      </c>
      <c r="T7" s="6" t="s">
        <v>16</v>
      </c>
    </row>
    <row r="8" spans="2:20" outlineLevel="1" x14ac:dyDescent="0.25">
      <c r="B8" s="12" t="s">
        <v>28</v>
      </c>
      <c r="C8" s="7" t="str">
        <f>C$6</f>
        <v>PLATAFORMA IVECO POTY PIN 0D51</v>
      </c>
      <c r="D8" s="8">
        <v>46084</v>
      </c>
      <c r="E8" s="36">
        <v>252573</v>
      </c>
      <c r="F8" s="36">
        <v>252754</v>
      </c>
      <c r="G8" s="35">
        <f>F8-E8</f>
        <v>181</v>
      </c>
      <c r="H8" s="15" t="s">
        <v>110</v>
      </c>
      <c r="I8" s="15" t="s">
        <v>48</v>
      </c>
      <c r="J8" s="10">
        <f>G8*10</f>
        <v>1810</v>
      </c>
      <c r="K8" s="15"/>
      <c r="L8" s="14">
        <v>1</v>
      </c>
      <c r="M8" s="14"/>
      <c r="N8" s="16"/>
      <c r="O8" s="9"/>
      <c r="P8" s="9"/>
      <c r="Q8" s="9">
        <f>IF(J8&lt;800,800,J8)</f>
        <v>1810</v>
      </c>
      <c r="R8" s="9"/>
      <c r="S8" s="25">
        <v>0</v>
      </c>
      <c r="T8" s="10">
        <f>Q8</f>
        <v>1810</v>
      </c>
    </row>
    <row r="9" spans="2:20" outlineLevel="1" x14ac:dyDescent="0.25">
      <c r="B9" s="12" t="s">
        <v>28</v>
      </c>
      <c r="C9" s="7" t="str">
        <f t="shared" ref="C9:C40" si="0">C$6</f>
        <v>PLATAFORMA IVECO POTY PIN 0D51</v>
      </c>
      <c r="D9" s="8">
        <v>46084</v>
      </c>
      <c r="E9" s="36">
        <f>F8</f>
        <v>252754</v>
      </c>
      <c r="F9" s="36">
        <v>252773</v>
      </c>
      <c r="G9" s="35">
        <f t="shared" ref="G9:G38" si="1">F9-E9</f>
        <v>19</v>
      </c>
      <c r="H9" s="15" t="s">
        <v>80</v>
      </c>
      <c r="I9" s="15" t="s">
        <v>67</v>
      </c>
      <c r="J9" s="10">
        <f t="shared" ref="J9:J40" si="2">G9*10</f>
        <v>190</v>
      </c>
      <c r="K9" s="15"/>
      <c r="L9" s="14">
        <v>1</v>
      </c>
      <c r="M9" s="14"/>
      <c r="N9" s="16"/>
      <c r="O9" s="9"/>
      <c r="P9" s="9"/>
      <c r="Q9" s="9">
        <f t="shared" ref="Q9:Q40" si="3">IF(J9&lt;800,800,J9)</f>
        <v>800</v>
      </c>
      <c r="R9" s="9"/>
      <c r="S9" s="25">
        <v>0</v>
      </c>
      <c r="T9" s="10">
        <f t="shared" ref="T9:T40" si="4">Q9</f>
        <v>800</v>
      </c>
    </row>
    <row r="10" spans="2:20" outlineLevel="1" x14ac:dyDescent="0.25">
      <c r="B10" s="12" t="s">
        <v>28</v>
      </c>
      <c r="C10" s="7" t="str">
        <f t="shared" si="0"/>
        <v>PLATAFORMA IVECO POTY PIN 0D51</v>
      </c>
      <c r="D10" s="8">
        <v>46084</v>
      </c>
      <c r="E10" s="36">
        <f t="shared" ref="E10:E40" si="5">F9</f>
        <v>252773</v>
      </c>
      <c r="F10" s="36">
        <v>252794</v>
      </c>
      <c r="G10" s="35">
        <f t="shared" si="1"/>
        <v>21</v>
      </c>
      <c r="H10" s="15" t="s">
        <v>82</v>
      </c>
      <c r="I10" s="15" t="s">
        <v>48</v>
      </c>
      <c r="J10" s="10">
        <f t="shared" si="2"/>
        <v>210</v>
      </c>
      <c r="K10" s="15"/>
      <c r="L10" s="14">
        <v>1</v>
      </c>
      <c r="M10" s="14"/>
      <c r="N10" s="16"/>
      <c r="O10" s="9"/>
      <c r="P10" s="9"/>
      <c r="Q10" s="9">
        <f t="shared" si="3"/>
        <v>800</v>
      </c>
      <c r="R10" s="9"/>
      <c r="S10" s="25">
        <v>0</v>
      </c>
      <c r="T10" s="10">
        <f t="shared" si="4"/>
        <v>800</v>
      </c>
    </row>
    <row r="11" spans="2:20" outlineLevel="1" x14ac:dyDescent="0.25">
      <c r="B11" s="12" t="s">
        <v>28</v>
      </c>
      <c r="C11" s="7" t="str">
        <f t="shared" si="0"/>
        <v>PLATAFORMA IVECO POTY PIN 0D51</v>
      </c>
      <c r="D11" s="8">
        <v>46084</v>
      </c>
      <c r="E11" s="36">
        <f t="shared" si="5"/>
        <v>252794</v>
      </c>
      <c r="F11" s="36">
        <v>252808</v>
      </c>
      <c r="G11" s="35">
        <f t="shared" si="1"/>
        <v>14</v>
      </c>
      <c r="H11" s="15" t="s">
        <v>80</v>
      </c>
      <c r="I11" s="15" t="s">
        <v>67</v>
      </c>
      <c r="J11" s="10">
        <f t="shared" si="2"/>
        <v>140</v>
      </c>
      <c r="K11" s="15"/>
      <c r="L11" s="14">
        <v>1</v>
      </c>
      <c r="M11" s="14"/>
      <c r="N11" s="16"/>
      <c r="O11" s="9"/>
      <c r="P11" s="9"/>
      <c r="Q11" s="9">
        <f t="shared" si="3"/>
        <v>800</v>
      </c>
      <c r="R11" s="9"/>
      <c r="S11" s="25">
        <v>0</v>
      </c>
      <c r="T11" s="10">
        <f t="shared" si="4"/>
        <v>800</v>
      </c>
    </row>
    <row r="12" spans="2:20" outlineLevel="1" x14ac:dyDescent="0.25">
      <c r="B12" s="12" t="s">
        <v>28</v>
      </c>
      <c r="C12" s="7" t="str">
        <f t="shared" si="0"/>
        <v>PLATAFORMA IVECO POTY PIN 0D51</v>
      </c>
      <c r="D12" s="8">
        <v>46085</v>
      </c>
      <c r="E12" s="36">
        <f t="shared" si="5"/>
        <v>252808</v>
      </c>
      <c r="F12" s="36">
        <v>252835</v>
      </c>
      <c r="G12" s="35">
        <f t="shared" si="1"/>
        <v>27</v>
      </c>
      <c r="H12" s="15" t="s">
        <v>82</v>
      </c>
      <c r="I12" s="15" t="s">
        <v>48</v>
      </c>
      <c r="J12" s="10">
        <f t="shared" si="2"/>
        <v>270</v>
      </c>
      <c r="K12" s="15"/>
      <c r="L12" s="14">
        <v>1</v>
      </c>
      <c r="M12" s="14"/>
      <c r="N12" s="16"/>
      <c r="O12" s="9"/>
      <c r="P12" s="17"/>
      <c r="Q12" s="9">
        <f t="shared" si="3"/>
        <v>800</v>
      </c>
      <c r="R12" s="9"/>
      <c r="S12" s="25">
        <v>0</v>
      </c>
      <c r="T12" s="10">
        <f t="shared" si="4"/>
        <v>800</v>
      </c>
    </row>
    <row r="13" spans="2:20" outlineLevel="1" x14ac:dyDescent="0.25">
      <c r="B13" s="12" t="s">
        <v>28</v>
      </c>
      <c r="C13" s="7" t="str">
        <f t="shared" si="0"/>
        <v>PLATAFORMA IVECO POTY PIN 0D51</v>
      </c>
      <c r="D13" s="8">
        <v>46085</v>
      </c>
      <c r="E13" s="36">
        <f t="shared" si="5"/>
        <v>252835</v>
      </c>
      <c r="F13" s="36">
        <v>252856</v>
      </c>
      <c r="G13" s="35">
        <f t="shared" si="1"/>
        <v>21</v>
      </c>
      <c r="H13" s="15" t="s">
        <v>81</v>
      </c>
      <c r="I13" s="15" t="s">
        <v>46</v>
      </c>
      <c r="J13" s="10">
        <f t="shared" si="2"/>
        <v>210</v>
      </c>
      <c r="K13" s="15"/>
      <c r="L13" s="14">
        <v>1</v>
      </c>
      <c r="M13" s="14"/>
      <c r="N13" s="16"/>
      <c r="O13" s="9"/>
      <c r="P13" s="17"/>
      <c r="Q13" s="9">
        <f t="shared" si="3"/>
        <v>800</v>
      </c>
      <c r="R13" s="9"/>
      <c r="S13" s="25">
        <v>0</v>
      </c>
      <c r="T13" s="10">
        <f t="shared" si="4"/>
        <v>800</v>
      </c>
    </row>
    <row r="14" spans="2:20" outlineLevel="1" x14ac:dyDescent="0.25">
      <c r="B14" s="12" t="s">
        <v>28</v>
      </c>
      <c r="C14" s="7" t="str">
        <f t="shared" si="0"/>
        <v>PLATAFORMA IVECO POTY PIN 0D51</v>
      </c>
      <c r="D14" s="8">
        <v>46085</v>
      </c>
      <c r="E14" s="36">
        <f t="shared" si="5"/>
        <v>252856</v>
      </c>
      <c r="F14" s="36">
        <v>252968</v>
      </c>
      <c r="G14" s="35">
        <f t="shared" si="1"/>
        <v>112</v>
      </c>
      <c r="H14" s="15" t="s">
        <v>84</v>
      </c>
      <c r="I14" s="15" t="s">
        <v>51</v>
      </c>
      <c r="J14" s="10">
        <f t="shared" si="2"/>
        <v>1120</v>
      </c>
      <c r="K14" s="15"/>
      <c r="L14" s="14">
        <v>1</v>
      </c>
      <c r="M14" s="14"/>
      <c r="N14" s="16"/>
      <c r="O14" s="9"/>
      <c r="P14" s="17"/>
      <c r="Q14" s="9">
        <f t="shared" si="3"/>
        <v>1120</v>
      </c>
      <c r="R14" s="9"/>
      <c r="S14" s="25">
        <v>0</v>
      </c>
      <c r="T14" s="10">
        <f t="shared" si="4"/>
        <v>1120</v>
      </c>
    </row>
    <row r="15" spans="2:20" outlineLevel="1" x14ac:dyDescent="0.25">
      <c r="B15" s="12" t="s">
        <v>28</v>
      </c>
      <c r="C15" s="7" t="str">
        <f t="shared" si="0"/>
        <v>PLATAFORMA IVECO POTY PIN 0D51</v>
      </c>
      <c r="D15" s="8">
        <v>46085</v>
      </c>
      <c r="E15" s="36">
        <f t="shared" si="5"/>
        <v>252968</v>
      </c>
      <c r="F15" s="36">
        <v>253039</v>
      </c>
      <c r="G15" s="35">
        <f t="shared" si="1"/>
        <v>71</v>
      </c>
      <c r="H15" s="15" t="s">
        <v>87</v>
      </c>
      <c r="I15" s="15" t="s">
        <v>48</v>
      </c>
      <c r="J15" s="10">
        <f t="shared" si="2"/>
        <v>710</v>
      </c>
      <c r="K15" s="15"/>
      <c r="L15" s="14">
        <v>1</v>
      </c>
      <c r="M15" s="14"/>
      <c r="N15" s="16"/>
      <c r="O15" s="9"/>
      <c r="P15" s="17"/>
      <c r="Q15" s="9">
        <f t="shared" si="3"/>
        <v>800</v>
      </c>
      <c r="R15" s="9"/>
      <c r="S15" s="25">
        <v>0</v>
      </c>
      <c r="T15" s="10">
        <f t="shared" si="4"/>
        <v>800</v>
      </c>
    </row>
    <row r="16" spans="2:20" outlineLevel="1" x14ac:dyDescent="0.25">
      <c r="B16" s="12" t="s">
        <v>28</v>
      </c>
      <c r="C16" s="7" t="str">
        <f t="shared" si="0"/>
        <v>PLATAFORMA IVECO POTY PIN 0D51</v>
      </c>
      <c r="D16" s="8">
        <v>46086</v>
      </c>
      <c r="E16" s="36">
        <f t="shared" si="5"/>
        <v>253039</v>
      </c>
      <c r="F16" s="36">
        <v>253160</v>
      </c>
      <c r="G16" s="35">
        <f t="shared" si="1"/>
        <v>121</v>
      </c>
      <c r="H16" s="15" t="s">
        <v>83</v>
      </c>
      <c r="I16" s="15" t="s">
        <v>68</v>
      </c>
      <c r="J16" s="10">
        <f t="shared" si="2"/>
        <v>1210</v>
      </c>
      <c r="K16" s="15"/>
      <c r="L16" s="14">
        <v>1</v>
      </c>
      <c r="M16" s="14"/>
      <c r="N16" s="16"/>
      <c r="O16" s="9"/>
      <c r="P16" s="17"/>
      <c r="Q16" s="9">
        <f t="shared" si="3"/>
        <v>1210</v>
      </c>
      <c r="R16" s="9"/>
      <c r="S16" s="25">
        <v>0</v>
      </c>
      <c r="T16" s="10">
        <f t="shared" si="4"/>
        <v>1210</v>
      </c>
    </row>
    <row r="17" spans="2:20" outlineLevel="1" x14ac:dyDescent="0.25">
      <c r="B17" s="12" t="s">
        <v>28</v>
      </c>
      <c r="C17" s="7" t="str">
        <f t="shared" si="0"/>
        <v>PLATAFORMA IVECO POTY PIN 0D51</v>
      </c>
      <c r="D17" s="8">
        <v>46086</v>
      </c>
      <c r="E17" s="36">
        <f t="shared" si="5"/>
        <v>253160</v>
      </c>
      <c r="F17" s="36">
        <v>253420</v>
      </c>
      <c r="G17" s="35">
        <f t="shared" si="1"/>
        <v>260</v>
      </c>
      <c r="H17" s="15" t="s">
        <v>88</v>
      </c>
      <c r="I17" s="15" t="s">
        <v>66</v>
      </c>
      <c r="J17" s="10">
        <f t="shared" si="2"/>
        <v>2600</v>
      </c>
      <c r="K17" s="15"/>
      <c r="L17" s="14">
        <v>1</v>
      </c>
      <c r="M17" s="14"/>
      <c r="N17" s="16"/>
      <c r="O17" s="9"/>
      <c r="P17" s="17">
        <f t="shared" ref="P17:P34" si="6">P16</f>
        <v>0</v>
      </c>
      <c r="Q17" s="9">
        <f t="shared" si="3"/>
        <v>2600</v>
      </c>
      <c r="R17" s="9"/>
      <c r="S17" s="25">
        <v>0</v>
      </c>
      <c r="T17" s="10">
        <f t="shared" si="4"/>
        <v>2600</v>
      </c>
    </row>
    <row r="18" spans="2:20" outlineLevel="1" x14ac:dyDescent="0.25">
      <c r="B18" s="12" t="s">
        <v>28</v>
      </c>
      <c r="C18" s="7" t="str">
        <f t="shared" si="0"/>
        <v>PLATAFORMA IVECO POTY PIN 0D51</v>
      </c>
      <c r="D18" s="8">
        <v>46087</v>
      </c>
      <c r="E18" s="36">
        <f t="shared" si="5"/>
        <v>253420</v>
      </c>
      <c r="F18" s="36">
        <v>253767</v>
      </c>
      <c r="G18" s="35">
        <f t="shared" si="1"/>
        <v>347</v>
      </c>
      <c r="H18" s="15" t="s">
        <v>89</v>
      </c>
      <c r="I18" s="15" t="s">
        <v>69</v>
      </c>
      <c r="J18" s="10">
        <f t="shared" si="2"/>
        <v>3470</v>
      </c>
      <c r="K18" s="15"/>
      <c r="L18" s="14">
        <v>1</v>
      </c>
      <c r="M18" s="14"/>
      <c r="N18" s="16"/>
      <c r="O18" s="9"/>
      <c r="P18" s="17">
        <f t="shared" si="6"/>
        <v>0</v>
      </c>
      <c r="Q18" s="9">
        <f t="shared" si="3"/>
        <v>3470</v>
      </c>
      <c r="R18" s="9"/>
      <c r="S18" s="25">
        <v>0</v>
      </c>
      <c r="T18" s="10">
        <f t="shared" si="4"/>
        <v>3470</v>
      </c>
    </row>
    <row r="19" spans="2:20" outlineLevel="1" x14ac:dyDescent="0.25">
      <c r="B19" s="12" t="s">
        <v>28</v>
      </c>
      <c r="C19" s="7" t="str">
        <f t="shared" si="0"/>
        <v>PLATAFORMA IVECO POTY PIN 0D51</v>
      </c>
      <c r="D19" s="8">
        <v>46087</v>
      </c>
      <c r="E19" s="36">
        <f t="shared" si="5"/>
        <v>253767</v>
      </c>
      <c r="F19" s="36">
        <v>254177</v>
      </c>
      <c r="G19" s="35">
        <f t="shared" si="1"/>
        <v>410</v>
      </c>
      <c r="H19" s="15" t="s">
        <v>92</v>
      </c>
      <c r="I19" s="15" t="s">
        <v>70</v>
      </c>
      <c r="J19" s="10">
        <f t="shared" si="2"/>
        <v>4100</v>
      </c>
      <c r="K19" s="15"/>
      <c r="L19" s="14">
        <v>1</v>
      </c>
      <c r="M19" s="14"/>
      <c r="N19" s="16"/>
      <c r="O19" s="9"/>
      <c r="P19" s="17">
        <f t="shared" si="6"/>
        <v>0</v>
      </c>
      <c r="Q19" s="9">
        <f t="shared" si="3"/>
        <v>4100</v>
      </c>
      <c r="R19" s="9"/>
      <c r="S19" s="25">
        <v>0</v>
      </c>
      <c r="T19" s="10">
        <f t="shared" si="4"/>
        <v>4100</v>
      </c>
    </row>
    <row r="20" spans="2:20" outlineLevel="1" x14ac:dyDescent="0.25">
      <c r="B20" s="12" t="s">
        <v>28</v>
      </c>
      <c r="C20" s="7" t="str">
        <f t="shared" si="0"/>
        <v>PLATAFORMA IVECO POTY PIN 0D51</v>
      </c>
      <c r="D20" s="8">
        <v>46087</v>
      </c>
      <c r="E20" s="36">
        <f t="shared" si="5"/>
        <v>254177</v>
      </c>
      <c r="F20" s="36">
        <v>252184</v>
      </c>
      <c r="G20" s="35">
        <f t="shared" si="1"/>
        <v>-1993</v>
      </c>
      <c r="H20" s="15" t="s">
        <v>93</v>
      </c>
      <c r="I20" s="15" t="s">
        <v>71</v>
      </c>
      <c r="J20" s="10">
        <f t="shared" si="2"/>
        <v>-19930</v>
      </c>
      <c r="K20" s="15"/>
      <c r="L20" s="14">
        <v>1</v>
      </c>
      <c r="M20" s="14"/>
      <c r="N20" s="16"/>
      <c r="O20" s="9"/>
      <c r="P20" s="17">
        <f t="shared" si="6"/>
        <v>0</v>
      </c>
      <c r="Q20" s="9">
        <f t="shared" si="3"/>
        <v>800</v>
      </c>
      <c r="R20" s="9"/>
      <c r="S20" s="25">
        <v>0</v>
      </c>
      <c r="T20" s="10">
        <f t="shared" si="4"/>
        <v>800</v>
      </c>
    </row>
    <row r="21" spans="2:20" outlineLevel="1" x14ac:dyDescent="0.25">
      <c r="B21" s="12" t="s">
        <v>28</v>
      </c>
      <c r="C21" s="7" t="str">
        <f t="shared" si="0"/>
        <v>PLATAFORMA IVECO POTY PIN 0D51</v>
      </c>
      <c r="D21" s="8">
        <v>46090</v>
      </c>
      <c r="E21" s="36">
        <f t="shared" si="5"/>
        <v>252184</v>
      </c>
      <c r="F21" s="36">
        <v>254584</v>
      </c>
      <c r="G21" s="35">
        <f t="shared" si="1"/>
        <v>2400</v>
      </c>
      <c r="H21" s="15" t="s">
        <v>94</v>
      </c>
      <c r="I21" s="15" t="s">
        <v>72</v>
      </c>
      <c r="J21" s="10">
        <f t="shared" si="2"/>
        <v>24000</v>
      </c>
      <c r="K21" s="15"/>
      <c r="L21" s="14">
        <v>1</v>
      </c>
      <c r="M21" s="14"/>
      <c r="N21" s="16"/>
      <c r="O21" s="9"/>
      <c r="P21" s="17">
        <f t="shared" si="6"/>
        <v>0</v>
      </c>
      <c r="Q21" s="9">
        <f t="shared" si="3"/>
        <v>24000</v>
      </c>
      <c r="R21" s="9"/>
      <c r="S21" s="25">
        <v>0</v>
      </c>
      <c r="T21" s="10">
        <f t="shared" si="4"/>
        <v>24000</v>
      </c>
    </row>
    <row r="22" spans="2:20" outlineLevel="1" x14ac:dyDescent="0.25">
      <c r="B22" s="12" t="s">
        <v>28</v>
      </c>
      <c r="C22" s="7" t="str">
        <f t="shared" si="0"/>
        <v>PLATAFORMA IVECO POTY PIN 0D51</v>
      </c>
      <c r="D22" s="8">
        <v>46095</v>
      </c>
      <c r="E22" s="36">
        <f t="shared" si="5"/>
        <v>254584</v>
      </c>
      <c r="F22" s="36">
        <v>254673</v>
      </c>
      <c r="G22" s="35">
        <f t="shared" si="1"/>
        <v>89</v>
      </c>
      <c r="H22" s="15" t="s">
        <v>95</v>
      </c>
      <c r="I22" s="15" t="s">
        <v>59</v>
      </c>
      <c r="J22" s="10">
        <f t="shared" si="2"/>
        <v>890</v>
      </c>
      <c r="K22" s="15"/>
      <c r="L22" s="14">
        <v>1</v>
      </c>
      <c r="M22" s="14"/>
      <c r="N22" s="16"/>
      <c r="O22" s="9"/>
      <c r="P22" s="17">
        <f t="shared" si="6"/>
        <v>0</v>
      </c>
      <c r="Q22" s="9">
        <f t="shared" si="3"/>
        <v>890</v>
      </c>
      <c r="R22" s="9"/>
      <c r="S22" s="25">
        <v>0</v>
      </c>
      <c r="T22" s="10">
        <f t="shared" si="4"/>
        <v>890</v>
      </c>
    </row>
    <row r="23" spans="2:20" outlineLevel="1" x14ac:dyDescent="0.25">
      <c r="B23" s="12" t="s">
        <v>28</v>
      </c>
      <c r="C23" s="7" t="str">
        <f t="shared" si="0"/>
        <v>PLATAFORMA IVECO POTY PIN 0D51</v>
      </c>
      <c r="D23" s="8">
        <v>46095</v>
      </c>
      <c r="E23" s="36">
        <f t="shared" si="5"/>
        <v>254673</v>
      </c>
      <c r="F23" s="36">
        <v>255036</v>
      </c>
      <c r="G23" s="35">
        <f t="shared" si="1"/>
        <v>363</v>
      </c>
      <c r="H23" s="15" t="s">
        <v>96</v>
      </c>
      <c r="I23" s="15" t="s">
        <v>71</v>
      </c>
      <c r="J23" s="10">
        <f t="shared" si="2"/>
        <v>3630</v>
      </c>
      <c r="K23" s="15"/>
      <c r="L23" s="14">
        <v>1</v>
      </c>
      <c r="M23" s="14"/>
      <c r="N23" s="16"/>
      <c r="O23" s="9"/>
      <c r="P23" s="17">
        <f t="shared" si="6"/>
        <v>0</v>
      </c>
      <c r="Q23" s="9">
        <f t="shared" si="3"/>
        <v>3630</v>
      </c>
      <c r="R23" s="9"/>
      <c r="S23" s="25">
        <v>0</v>
      </c>
      <c r="T23" s="10">
        <f t="shared" si="4"/>
        <v>3630</v>
      </c>
    </row>
    <row r="24" spans="2:20" outlineLevel="1" x14ac:dyDescent="0.25">
      <c r="B24" s="12" t="s">
        <v>28</v>
      </c>
      <c r="C24" s="7" t="str">
        <f t="shared" si="0"/>
        <v>PLATAFORMA IVECO POTY PIN 0D51</v>
      </c>
      <c r="D24" s="8">
        <v>46098</v>
      </c>
      <c r="E24" s="36">
        <f t="shared" si="5"/>
        <v>255036</v>
      </c>
      <c r="F24" s="36">
        <v>255040</v>
      </c>
      <c r="G24" s="35">
        <f t="shared" si="1"/>
        <v>4</v>
      </c>
      <c r="H24" s="15" t="s">
        <v>97</v>
      </c>
      <c r="I24" s="15" t="s">
        <v>70</v>
      </c>
      <c r="J24" s="10">
        <f t="shared" si="2"/>
        <v>40</v>
      </c>
      <c r="K24" s="15"/>
      <c r="L24" s="14">
        <v>1</v>
      </c>
      <c r="M24" s="14"/>
      <c r="N24" s="16"/>
      <c r="O24" s="9"/>
      <c r="P24" s="17">
        <f t="shared" si="6"/>
        <v>0</v>
      </c>
      <c r="Q24" s="9">
        <f t="shared" si="3"/>
        <v>800</v>
      </c>
      <c r="R24" s="9"/>
      <c r="S24" s="25">
        <v>0</v>
      </c>
      <c r="T24" s="10">
        <f t="shared" si="4"/>
        <v>800</v>
      </c>
    </row>
    <row r="25" spans="2:20" outlineLevel="1" x14ac:dyDescent="0.25">
      <c r="B25" s="12" t="s">
        <v>28</v>
      </c>
      <c r="C25" s="7" t="str">
        <f t="shared" si="0"/>
        <v>PLATAFORMA IVECO POTY PIN 0D51</v>
      </c>
      <c r="D25" s="8">
        <v>46099</v>
      </c>
      <c r="E25" s="36">
        <f t="shared" si="5"/>
        <v>255040</v>
      </c>
      <c r="F25" s="36">
        <v>255311</v>
      </c>
      <c r="G25" s="35">
        <f t="shared" si="1"/>
        <v>271</v>
      </c>
      <c r="H25" s="15" t="s">
        <v>98</v>
      </c>
      <c r="I25" s="15" t="s">
        <v>73</v>
      </c>
      <c r="J25" s="10">
        <f t="shared" si="2"/>
        <v>2710</v>
      </c>
      <c r="K25" s="15"/>
      <c r="L25" s="14">
        <v>1</v>
      </c>
      <c r="M25" s="14"/>
      <c r="N25" s="16"/>
      <c r="O25" s="9"/>
      <c r="P25" s="17">
        <f t="shared" si="6"/>
        <v>0</v>
      </c>
      <c r="Q25" s="9">
        <f t="shared" si="3"/>
        <v>2710</v>
      </c>
      <c r="R25" s="9"/>
      <c r="S25" s="25">
        <v>0</v>
      </c>
      <c r="T25" s="10">
        <f t="shared" si="4"/>
        <v>2710</v>
      </c>
    </row>
    <row r="26" spans="2:20" outlineLevel="1" x14ac:dyDescent="0.25">
      <c r="B26" s="12" t="s">
        <v>28</v>
      </c>
      <c r="C26" s="7" t="str">
        <f t="shared" si="0"/>
        <v>PLATAFORMA IVECO POTY PIN 0D51</v>
      </c>
      <c r="D26" s="8">
        <v>46100</v>
      </c>
      <c r="E26" s="36">
        <f>F25</f>
        <v>255311</v>
      </c>
      <c r="F26" s="36">
        <v>255541</v>
      </c>
      <c r="G26" s="35">
        <f t="shared" si="1"/>
        <v>230</v>
      </c>
      <c r="H26" s="15" t="s">
        <v>99</v>
      </c>
      <c r="I26" s="15" t="s">
        <v>74</v>
      </c>
      <c r="J26" s="10">
        <f t="shared" si="2"/>
        <v>2300</v>
      </c>
      <c r="K26" s="15"/>
      <c r="L26" s="14">
        <v>1</v>
      </c>
      <c r="M26" s="14"/>
      <c r="N26" s="16"/>
      <c r="O26" s="9"/>
      <c r="P26" s="17">
        <f t="shared" si="6"/>
        <v>0</v>
      </c>
      <c r="Q26" s="9">
        <f t="shared" si="3"/>
        <v>2300</v>
      </c>
      <c r="R26" s="9"/>
      <c r="S26" s="25">
        <v>0</v>
      </c>
      <c r="T26" s="10">
        <f t="shared" si="4"/>
        <v>2300</v>
      </c>
    </row>
    <row r="27" spans="2:20" outlineLevel="1" x14ac:dyDescent="0.25">
      <c r="B27" s="12" t="s">
        <v>28</v>
      </c>
      <c r="C27" s="7" t="str">
        <f t="shared" si="0"/>
        <v>PLATAFORMA IVECO POTY PIN 0D51</v>
      </c>
      <c r="D27" s="8">
        <v>46101</v>
      </c>
      <c r="E27" s="36">
        <f t="shared" si="5"/>
        <v>255541</v>
      </c>
      <c r="F27" s="36">
        <v>255644</v>
      </c>
      <c r="G27" s="35">
        <f t="shared" si="1"/>
        <v>103</v>
      </c>
      <c r="H27" s="15" t="s">
        <v>102</v>
      </c>
      <c r="I27" s="15" t="s">
        <v>56</v>
      </c>
      <c r="J27" s="10">
        <f t="shared" si="2"/>
        <v>1030</v>
      </c>
      <c r="K27" s="15"/>
      <c r="L27" s="14">
        <v>1</v>
      </c>
      <c r="M27" s="14"/>
      <c r="N27" s="16"/>
      <c r="O27" s="9"/>
      <c r="P27" s="17">
        <f t="shared" si="6"/>
        <v>0</v>
      </c>
      <c r="Q27" s="9">
        <f t="shared" si="3"/>
        <v>1030</v>
      </c>
      <c r="R27" s="9"/>
      <c r="S27" s="25">
        <v>0</v>
      </c>
      <c r="T27" s="10">
        <f t="shared" si="4"/>
        <v>1030</v>
      </c>
    </row>
    <row r="28" spans="2:20" outlineLevel="1" x14ac:dyDescent="0.25">
      <c r="B28" s="12" t="s">
        <v>28</v>
      </c>
      <c r="C28" s="7" t="str">
        <f t="shared" si="0"/>
        <v>PLATAFORMA IVECO POTY PIN 0D51</v>
      </c>
      <c r="D28" s="8">
        <v>46101</v>
      </c>
      <c r="E28" s="36">
        <f t="shared" si="5"/>
        <v>255644</v>
      </c>
      <c r="F28" s="36">
        <v>255975</v>
      </c>
      <c r="G28" s="35">
        <f t="shared" si="1"/>
        <v>331</v>
      </c>
      <c r="H28" s="15" t="s">
        <v>103</v>
      </c>
      <c r="I28" s="15" t="s">
        <v>75</v>
      </c>
      <c r="J28" s="10">
        <f t="shared" si="2"/>
        <v>3310</v>
      </c>
      <c r="K28" s="15"/>
      <c r="L28" s="14">
        <v>1</v>
      </c>
      <c r="M28" s="14"/>
      <c r="N28" s="16"/>
      <c r="O28" s="9"/>
      <c r="P28" s="17">
        <f t="shared" si="6"/>
        <v>0</v>
      </c>
      <c r="Q28" s="9">
        <f t="shared" si="3"/>
        <v>3310</v>
      </c>
      <c r="R28" s="9"/>
      <c r="S28" s="25">
        <v>0</v>
      </c>
      <c r="T28" s="10">
        <f t="shared" si="4"/>
        <v>3310</v>
      </c>
    </row>
    <row r="29" spans="2:20" outlineLevel="1" x14ac:dyDescent="0.25">
      <c r="B29" s="12" t="s">
        <v>28</v>
      </c>
      <c r="C29" s="7" t="str">
        <f t="shared" si="0"/>
        <v>PLATAFORMA IVECO POTY PIN 0D51</v>
      </c>
      <c r="D29" s="8">
        <v>46102</v>
      </c>
      <c r="E29" s="36">
        <f t="shared" si="5"/>
        <v>255975</v>
      </c>
      <c r="F29" s="36">
        <v>256063</v>
      </c>
      <c r="G29" s="35">
        <f t="shared" si="1"/>
        <v>88</v>
      </c>
      <c r="H29" s="15" t="s">
        <v>104</v>
      </c>
      <c r="I29" s="15" t="s">
        <v>73</v>
      </c>
      <c r="J29" s="10">
        <f t="shared" si="2"/>
        <v>880</v>
      </c>
      <c r="K29" s="15"/>
      <c r="L29" s="14">
        <v>1</v>
      </c>
      <c r="M29" s="14"/>
      <c r="N29" s="16"/>
      <c r="O29" s="9"/>
      <c r="P29" s="17">
        <f t="shared" si="6"/>
        <v>0</v>
      </c>
      <c r="Q29" s="9">
        <f t="shared" si="3"/>
        <v>880</v>
      </c>
      <c r="R29" s="9"/>
      <c r="S29" s="25">
        <v>0</v>
      </c>
      <c r="T29" s="10">
        <f t="shared" si="4"/>
        <v>880</v>
      </c>
    </row>
    <row r="30" spans="2:20" outlineLevel="1" x14ac:dyDescent="0.25">
      <c r="B30" s="12" t="s">
        <v>28</v>
      </c>
      <c r="C30" s="7" t="str">
        <f t="shared" si="0"/>
        <v>PLATAFORMA IVECO POTY PIN 0D51</v>
      </c>
      <c r="D30" s="8">
        <v>46102</v>
      </c>
      <c r="E30" s="36">
        <f t="shared" si="5"/>
        <v>256063</v>
      </c>
      <c r="F30" s="36">
        <v>256323</v>
      </c>
      <c r="G30" s="35">
        <f t="shared" si="1"/>
        <v>260</v>
      </c>
      <c r="H30" s="15" t="s">
        <v>100</v>
      </c>
      <c r="I30" s="15" t="s">
        <v>66</v>
      </c>
      <c r="J30" s="10">
        <f t="shared" si="2"/>
        <v>2600</v>
      </c>
      <c r="K30" s="15"/>
      <c r="L30" s="14">
        <v>1</v>
      </c>
      <c r="M30" s="14"/>
      <c r="N30" s="16"/>
      <c r="O30" s="9"/>
      <c r="P30" s="17">
        <f t="shared" si="6"/>
        <v>0</v>
      </c>
      <c r="Q30" s="9">
        <f t="shared" si="3"/>
        <v>2600</v>
      </c>
      <c r="R30" s="9"/>
      <c r="S30" s="25">
        <v>0</v>
      </c>
      <c r="T30" s="10">
        <f t="shared" si="4"/>
        <v>2600</v>
      </c>
    </row>
    <row r="31" spans="2:20" outlineLevel="1" x14ac:dyDescent="0.25">
      <c r="B31" s="12" t="s">
        <v>28</v>
      </c>
      <c r="C31" s="7" t="str">
        <f t="shared" si="0"/>
        <v>PLATAFORMA IVECO POTY PIN 0D51</v>
      </c>
      <c r="D31" s="8">
        <v>46107</v>
      </c>
      <c r="E31" s="36">
        <f t="shared" si="5"/>
        <v>256323</v>
      </c>
      <c r="F31" s="36">
        <v>256594</v>
      </c>
      <c r="G31" s="35">
        <f t="shared" si="1"/>
        <v>271</v>
      </c>
      <c r="H31" s="15" t="s">
        <v>105</v>
      </c>
      <c r="I31" s="15" t="s">
        <v>73</v>
      </c>
      <c r="J31" s="10">
        <f t="shared" si="2"/>
        <v>2710</v>
      </c>
      <c r="K31" s="15"/>
      <c r="L31" s="14">
        <v>1</v>
      </c>
      <c r="M31" s="14"/>
      <c r="N31" s="16"/>
      <c r="O31" s="9"/>
      <c r="P31" s="17">
        <f t="shared" si="6"/>
        <v>0</v>
      </c>
      <c r="Q31" s="9">
        <f t="shared" si="3"/>
        <v>2710</v>
      </c>
      <c r="R31" s="9"/>
      <c r="S31" s="25">
        <v>0</v>
      </c>
      <c r="T31" s="10">
        <f t="shared" si="4"/>
        <v>2710</v>
      </c>
    </row>
    <row r="32" spans="2:20" outlineLevel="1" x14ac:dyDescent="0.25">
      <c r="B32" s="12" t="s">
        <v>28</v>
      </c>
      <c r="C32" s="7" t="str">
        <f t="shared" si="0"/>
        <v>PLATAFORMA IVECO POTY PIN 0D51</v>
      </c>
      <c r="D32" s="8">
        <v>46107</v>
      </c>
      <c r="E32" s="36">
        <f t="shared" si="5"/>
        <v>256594</v>
      </c>
      <c r="F32" s="36">
        <v>256636</v>
      </c>
      <c r="G32" s="35">
        <f t="shared" si="1"/>
        <v>42</v>
      </c>
      <c r="H32" s="15" t="s">
        <v>106</v>
      </c>
      <c r="I32" s="15" t="s">
        <v>73</v>
      </c>
      <c r="J32" s="10">
        <f t="shared" si="2"/>
        <v>420</v>
      </c>
      <c r="K32" s="15"/>
      <c r="L32" s="14">
        <v>1</v>
      </c>
      <c r="M32" s="14"/>
      <c r="N32" s="16"/>
      <c r="O32" s="9"/>
      <c r="P32" s="17">
        <f t="shared" si="6"/>
        <v>0</v>
      </c>
      <c r="Q32" s="9">
        <f t="shared" si="3"/>
        <v>800</v>
      </c>
      <c r="R32" s="9"/>
      <c r="S32" s="25">
        <v>0</v>
      </c>
      <c r="T32" s="10">
        <f t="shared" si="4"/>
        <v>800</v>
      </c>
    </row>
    <row r="33" spans="2:20" outlineLevel="1" x14ac:dyDescent="0.25">
      <c r="B33" s="12" t="s">
        <v>28</v>
      </c>
      <c r="C33" s="7" t="str">
        <f t="shared" si="0"/>
        <v>PLATAFORMA IVECO POTY PIN 0D51</v>
      </c>
      <c r="D33" s="8">
        <v>46109</v>
      </c>
      <c r="E33" s="36">
        <f t="shared" si="5"/>
        <v>256636</v>
      </c>
      <c r="F33" s="36">
        <v>256930</v>
      </c>
      <c r="G33" s="35">
        <f t="shared" si="1"/>
        <v>294</v>
      </c>
      <c r="H33" s="15" t="s">
        <v>101</v>
      </c>
      <c r="I33" s="15" t="s">
        <v>46</v>
      </c>
      <c r="J33" s="10">
        <f t="shared" si="2"/>
        <v>2940</v>
      </c>
      <c r="K33" s="15"/>
      <c r="L33" s="14">
        <v>1</v>
      </c>
      <c r="M33" s="14"/>
      <c r="N33" s="16"/>
      <c r="O33" s="9"/>
      <c r="P33" s="17">
        <f t="shared" si="6"/>
        <v>0</v>
      </c>
      <c r="Q33" s="9">
        <f t="shared" si="3"/>
        <v>2940</v>
      </c>
      <c r="R33" s="9"/>
      <c r="S33" s="25">
        <v>0</v>
      </c>
      <c r="T33" s="10">
        <f t="shared" si="4"/>
        <v>2940</v>
      </c>
    </row>
    <row r="34" spans="2:20" outlineLevel="1" x14ac:dyDescent="0.25">
      <c r="B34" s="12" t="s">
        <v>28</v>
      </c>
      <c r="C34" s="7" t="str">
        <f t="shared" si="0"/>
        <v>PLATAFORMA IVECO POTY PIN 0D51</v>
      </c>
      <c r="D34" s="8">
        <v>46109</v>
      </c>
      <c r="E34" s="36">
        <f t="shared" si="5"/>
        <v>256930</v>
      </c>
      <c r="F34" s="36">
        <v>257136</v>
      </c>
      <c r="G34" s="35">
        <f t="shared" si="1"/>
        <v>206</v>
      </c>
      <c r="H34" s="15" t="s">
        <v>85</v>
      </c>
      <c r="I34" s="15" t="s">
        <v>66</v>
      </c>
      <c r="J34" s="10">
        <f t="shared" si="2"/>
        <v>2060</v>
      </c>
      <c r="K34" s="15"/>
      <c r="L34" s="14">
        <v>1</v>
      </c>
      <c r="M34" s="14"/>
      <c r="N34" s="16"/>
      <c r="O34" s="9"/>
      <c r="P34" s="17">
        <f t="shared" si="6"/>
        <v>0</v>
      </c>
      <c r="Q34" s="9">
        <f t="shared" si="3"/>
        <v>2060</v>
      </c>
      <c r="R34" s="9"/>
      <c r="S34" s="25">
        <v>0</v>
      </c>
      <c r="T34" s="10">
        <f t="shared" si="4"/>
        <v>2060</v>
      </c>
    </row>
    <row r="35" spans="2:20" outlineLevel="1" x14ac:dyDescent="0.25">
      <c r="B35" s="12" t="s">
        <v>28</v>
      </c>
      <c r="C35" s="7" t="str">
        <f t="shared" si="0"/>
        <v>PLATAFORMA IVECO POTY PIN 0D51</v>
      </c>
      <c r="D35" s="8">
        <v>46111</v>
      </c>
      <c r="E35" s="36">
        <f t="shared" si="5"/>
        <v>257136</v>
      </c>
      <c r="F35" s="36">
        <v>257186</v>
      </c>
      <c r="G35" s="35">
        <f t="shared" si="1"/>
        <v>50</v>
      </c>
      <c r="H35" s="15" t="s">
        <v>91</v>
      </c>
      <c r="I35" s="15" t="s">
        <v>76</v>
      </c>
      <c r="J35" s="10">
        <f t="shared" si="2"/>
        <v>500</v>
      </c>
      <c r="K35" s="15"/>
      <c r="L35" s="14">
        <v>1</v>
      </c>
      <c r="M35" s="14"/>
      <c r="N35" s="16"/>
      <c r="O35" s="9"/>
      <c r="P35" s="17"/>
      <c r="Q35" s="9">
        <f t="shared" si="3"/>
        <v>800</v>
      </c>
      <c r="R35" s="9"/>
      <c r="S35" s="25"/>
      <c r="T35" s="10">
        <f t="shared" si="4"/>
        <v>800</v>
      </c>
    </row>
    <row r="36" spans="2:20" outlineLevel="1" x14ac:dyDescent="0.25">
      <c r="B36" s="12" t="s">
        <v>28</v>
      </c>
      <c r="C36" s="7" t="str">
        <f t="shared" si="0"/>
        <v>PLATAFORMA IVECO POTY PIN 0D51</v>
      </c>
      <c r="D36" s="8">
        <v>46111</v>
      </c>
      <c r="E36" s="36">
        <f t="shared" si="5"/>
        <v>257186</v>
      </c>
      <c r="F36" s="36">
        <v>257216</v>
      </c>
      <c r="G36" s="35">
        <f t="shared" si="1"/>
        <v>30</v>
      </c>
      <c r="H36" s="15" t="s">
        <v>107</v>
      </c>
      <c r="I36" s="15" t="s">
        <v>77</v>
      </c>
      <c r="J36" s="10">
        <f t="shared" si="2"/>
        <v>300</v>
      </c>
      <c r="K36" s="15"/>
      <c r="L36" s="14">
        <v>1</v>
      </c>
      <c r="M36" s="14"/>
      <c r="N36" s="16"/>
      <c r="O36" s="9"/>
      <c r="P36" s="17"/>
      <c r="Q36" s="9">
        <f t="shared" si="3"/>
        <v>800</v>
      </c>
      <c r="R36" s="9"/>
      <c r="S36" s="25"/>
      <c r="T36" s="10">
        <f t="shared" si="4"/>
        <v>800</v>
      </c>
    </row>
    <row r="37" spans="2:20" outlineLevel="1" x14ac:dyDescent="0.25">
      <c r="B37" s="12" t="s">
        <v>28</v>
      </c>
      <c r="C37" s="7" t="str">
        <f t="shared" si="0"/>
        <v>PLATAFORMA IVECO POTY PIN 0D51</v>
      </c>
      <c r="D37" s="8">
        <v>46111</v>
      </c>
      <c r="E37" s="36">
        <f t="shared" si="5"/>
        <v>257216</v>
      </c>
      <c r="F37" s="36">
        <v>257244</v>
      </c>
      <c r="G37" s="35">
        <f t="shared" si="1"/>
        <v>28</v>
      </c>
      <c r="H37" s="15" t="s">
        <v>108</v>
      </c>
      <c r="I37" s="15" t="s">
        <v>66</v>
      </c>
      <c r="J37" s="10">
        <f t="shared" si="2"/>
        <v>280</v>
      </c>
      <c r="K37" s="15"/>
      <c r="L37" s="14">
        <v>1</v>
      </c>
      <c r="M37" s="14"/>
      <c r="N37" s="16"/>
      <c r="O37" s="9"/>
      <c r="P37" s="17"/>
      <c r="Q37" s="9">
        <f t="shared" si="3"/>
        <v>800</v>
      </c>
      <c r="R37" s="9"/>
      <c r="S37" s="25"/>
      <c r="T37" s="10">
        <f t="shared" si="4"/>
        <v>800</v>
      </c>
    </row>
    <row r="38" spans="2:20" outlineLevel="1" x14ac:dyDescent="0.25">
      <c r="B38" s="12" t="s">
        <v>28</v>
      </c>
      <c r="C38" s="7" t="str">
        <f t="shared" si="0"/>
        <v>PLATAFORMA IVECO POTY PIN 0D51</v>
      </c>
      <c r="D38" s="8">
        <v>46112</v>
      </c>
      <c r="E38" s="36">
        <f t="shared" si="5"/>
        <v>257244</v>
      </c>
      <c r="F38" s="36">
        <v>257464</v>
      </c>
      <c r="G38" s="35">
        <f t="shared" si="1"/>
        <v>220</v>
      </c>
      <c r="H38" s="15" t="s">
        <v>90</v>
      </c>
      <c r="I38" s="15" t="s">
        <v>46</v>
      </c>
      <c r="J38" s="10">
        <f t="shared" si="2"/>
        <v>2200</v>
      </c>
      <c r="K38" s="15"/>
      <c r="L38" s="14">
        <v>1</v>
      </c>
      <c r="M38" s="14"/>
      <c r="N38" s="16"/>
      <c r="O38" s="9"/>
      <c r="P38" s="17">
        <f>P34</f>
        <v>0</v>
      </c>
      <c r="Q38" s="9">
        <f t="shared" si="3"/>
        <v>2200</v>
      </c>
      <c r="R38" s="7"/>
      <c r="S38" s="25"/>
      <c r="T38" s="10">
        <f t="shared" si="4"/>
        <v>2200</v>
      </c>
    </row>
    <row r="39" spans="2:20" x14ac:dyDescent="0.25">
      <c r="B39" s="12" t="s">
        <v>28</v>
      </c>
      <c r="C39" s="7" t="str">
        <f t="shared" si="0"/>
        <v>PLATAFORMA IVECO POTY PIN 0D51</v>
      </c>
      <c r="D39" s="8">
        <v>46112</v>
      </c>
      <c r="E39" s="36">
        <f t="shared" si="5"/>
        <v>257464</v>
      </c>
      <c r="F39" s="36">
        <v>257472</v>
      </c>
      <c r="G39" s="35">
        <f t="shared" ref="G39:G40" si="7">F39-E39</f>
        <v>8</v>
      </c>
      <c r="H39" s="15" t="s">
        <v>86</v>
      </c>
      <c r="I39" s="15" t="s">
        <v>46</v>
      </c>
      <c r="J39" s="10">
        <f t="shared" si="2"/>
        <v>80</v>
      </c>
      <c r="K39" s="15"/>
      <c r="L39" s="14">
        <v>1</v>
      </c>
      <c r="M39" s="14"/>
      <c r="N39" s="16"/>
      <c r="O39" s="9"/>
      <c r="P39" s="17">
        <f t="shared" ref="P39:P40" si="8">P35</f>
        <v>0</v>
      </c>
      <c r="Q39" s="9">
        <f t="shared" si="3"/>
        <v>800</v>
      </c>
      <c r="R39" s="7"/>
      <c r="S39" s="25"/>
      <c r="T39" s="10">
        <f t="shared" si="4"/>
        <v>800</v>
      </c>
    </row>
    <row r="40" spans="2:20" x14ac:dyDescent="0.25">
      <c r="B40" s="12" t="s">
        <v>28</v>
      </c>
      <c r="C40" s="7" t="str">
        <f t="shared" si="0"/>
        <v>PLATAFORMA IVECO POTY PIN 0D51</v>
      </c>
      <c r="D40" s="8">
        <v>46112</v>
      </c>
      <c r="E40" s="36">
        <f t="shared" si="5"/>
        <v>257472</v>
      </c>
      <c r="F40" s="36">
        <v>257630</v>
      </c>
      <c r="G40" s="35">
        <f t="shared" si="7"/>
        <v>158</v>
      </c>
      <c r="H40" s="15" t="s">
        <v>109</v>
      </c>
      <c r="I40" s="15" t="s">
        <v>78</v>
      </c>
      <c r="J40" s="10">
        <f t="shared" si="2"/>
        <v>1580</v>
      </c>
      <c r="K40" s="15"/>
      <c r="L40" s="14">
        <v>1</v>
      </c>
      <c r="M40" s="14"/>
      <c r="N40" s="16"/>
      <c r="O40" s="9"/>
      <c r="P40" s="17">
        <f t="shared" si="8"/>
        <v>0</v>
      </c>
      <c r="Q40" s="9">
        <f t="shared" si="3"/>
        <v>1580</v>
      </c>
      <c r="R40" s="7"/>
      <c r="S40" s="25"/>
      <c r="T40" s="10">
        <f t="shared" si="4"/>
        <v>1580</v>
      </c>
    </row>
    <row r="41" spans="2:20" x14ac:dyDescent="0.25">
      <c r="D41" s="1"/>
    </row>
    <row r="42" spans="2:20" x14ac:dyDescent="0.25">
      <c r="D42" s="1"/>
      <c r="E42" s="29"/>
      <c r="F42" s="29"/>
      <c r="G42" s="29"/>
      <c r="H42" s="30"/>
      <c r="I42" s="30"/>
      <c r="J42" s="31"/>
      <c r="K42" s="30"/>
      <c r="L42" s="29"/>
      <c r="M42" s="29"/>
      <c r="N42" s="32"/>
      <c r="O42" s="1"/>
      <c r="P42" s="33"/>
      <c r="Q42" s="27"/>
      <c r="R42" s="27"/>
      <c r="S42" s="27"/>
      <c r="T42" s="31"/>
    </row>
    <row r="43" spans="2:20" x14ac:dyDescent="0.25">
      <c r="B43" s="37" t="s">
        <v>32</v>
      </c>
      <c r="C43" s="38" t="s">
        <v>33</v>
      </c>
      <c r="D43" s="38"/>
      <c r="E43" s="39"/>
      <c r="F43" s="4"/>
      <c r="G43" s="4"/>
      <c r="H43" s="3"/>
      <c r="I43" s="3"/>
      <c r="J43" s="3"/>
      <c r="K43" s="3"/>
      <c r="L43" s="4"/>
      <c r="M43" s="4"/>
      <c r="N43" s="44" t="str">
        <f>N$1</f>
        <v>BM MARÇO 2026</v>
      </c>
      <c r="O43" s="44"/>
      <c r="P43" s="44"/>
      <c r="Q43" s="18" t="s">
        <v>3</v>
      </c>
      <c r="R43" s="45" t="s">
        <v>17</v>
      </c>
      <c r="S43" s="45"/>
      <c r="T43" s="45"/>
    </row>
    <row r="44" spans="2:20" x14ac:dyDescent="0.25">
      <c r="B44" s="11" t="s">
        <v>0</v>
      </c>
      <c r="C44" s="5" t="s">
        <v>1</v>
      </c>
      <c r="D44" s="5" t="s">
        <v>4</v>
      </c>
      <c r="E44" s="6" t="s">
        <v>5</v>
      </c>
      <c r="F44" s="6" t="s">
        <v>6</v>
      </c>
      <c r="G44" s="6" t="s">
        <v>7</v>
      </c>
      <c r="H44" s="5" t="s">
        <v>79</v>
      </c>
      <c r="I44" s="5" t="s">
        <v>35</v>
      </c>
      <c r="J44" s="6" t="s">
        <v>8</v>
      </c>
      <c r="K44" s="6" t="s">
        <v>9</v>
      </c>
      <c r="L44" s="6" t="s">
        <v>10</v>
      </c>
      <c r="M44" s="6" t="s">
        <v>11</v>
      </c>
      <c r="N44" s="5" t="s">
        <v>4</v>
      </c>
      <c r="O44" s="5" t="s">
        <v>12</v>
      </c>
      <c r="P44" s="6" t="s">
        <v>2</v>
      </c>
      <c r="Q44" s="6" t="s">
        <v>13</v>
      </c>
      <c r="R44" s="6" t="s">
        <v>14</v>
      </c>
      <c r="S44" s="6" t="s">
        <v>15</v>
      </c>
      <c r="T44" s="6" t="s">
        <v>16</v>
      </c>
    </row>
    <row r="45" spans="2:20" outlineLevel="1" x14ac:dyDescent="0.25">
      <c r="B45" s="12" t="s">
        <v>32</v>
      </c>
      <c r="C45" s="7" t="s">
        <v>33</v>
      </c>
      <c r="D45" s="8">
        <v>46082</v>
      </c>
      <c r="E45" s="36"/>
      <c r="F45" s="36"/>
      <c r="G45" s="35"/>
      <c r="H45" s="15"/>
      <c r="I45" s="15"/>
      <c r="J45" s="10"/>
      <c r="K45" s="15"/>
      <c r="L45" s="14"/>
      <c r="M45" s="14"/>
      <c r="N45" s="16" t="str">
        <f>IF(M45&lt;&gt;"",D45,"")</f>
        <v/>
      </c>
      <c r="O45" s="8"/>
      <c r="P45" s="9"/>
      <c r="Q45" s="9"/>
      <c r="R45" s="9"/>
      <c r="S45" s="9"/>
      <c r="T45" s="10">
        <f>SUM(S45+R45+J45)</f>
        <v>0</v>
      </c>
    </row>
    <row r="46" spans="2:20" outlineLevel="1" x14ac:dyDescent="0.25">
      <c r="B46" s="12" t="s">
        <v>32</v>
      </c>
      <c r="C46" s="7" t="s">
        <v>33</v>
      </c>
      <c r="D46" s="8">
        <v>46083</v>
      </c>
      <c r="E46" s="36"/>
      <c r="F46" s="36"/>
      <c r="G46" s="35"/>
      <c r="H46" s="15"/>
      <c r="I46" s="15"/>
      <c r="J46" s="10"/>
      <c r="K46" s="15"/>
      <c r="L46" s="14"/>
      <c r="M46" s="14"/>
      <c r="N46" s="16" t="str">
        <f t="shared" ref="N46:N75" si="9">IF(M46&lt;&gt;"",D46,"")</f>
        <v/>
      </c>
      <c r="O46" s="8"/>
      <c r="P46" s="9"/>
      <c r="Q46" s="9"/>
      <c r="R46" s="9"/>
      <c r="S46" s="9"/>
      <c r="T46" s="10">
        <f t="shared" ref="T46:T75" si="10">SUM(S46+R46+J46)</f>
        <v>0</v>
      </c>
    </row>
    <row r="47" spans="2:20" outlineLevel="1" x14ac:dyDescent="0.25">
      <c r="B47" s="12" t="s">
        <v>32</v>
      </c>
      <c r="C47" s="7" t="s">
        <v>33</v>
      </c>
      <c r="D47" s="8">
        <v>46084</v>
      </c>
      <c r="E47" s="36"/>
      <c r="F47" s="36"/>
      <c r="G47" s="35"/>
      <c r="H47" s="15"/>
      <c r="I47" s="15"/>
      <c r="J47" s="10"/>
      <c r="K47" s="15"/>
      <c r="L47" s="14"/>
      <c r="M47" s="14"/>
      <c r="N47" s="16" t="str">
        <f t="shared" si="9"/>
        <v/>
      </c>
      <c r="O47" s="8"/>
      <c r="P47" s="9"/>
      <c r="Q47" s="9"/>
      <c r="R47" s="9"/>
      <c r="S47" s="9"/>
      <c r="T47" s="10">
        <f t="shared" si="10"/>
        <v>0</v>
      </c>
    </row>
    <row r="48" spans="2:20" outlineLevel="1" x14ac:dyDescent="0.25">
      <c r="B48" s="12" t="s">
        <v>32</v>
      </c>
      <c r="C48" s="7" t="s">
        <v>33</v>
      </c>
      <c r="D48" s="8">
        <v>46085</v>
      </c>
      <c r="E48" s="36"/>
      <c r="F48" s="36"/>
      <c r="G48" s="35"/>
      <c r="H48" s="15"/>
      <c r="I48" s="15"/>
      <c r="J48" s="10"/>
      <c r="K48" s="15"/>
      <c r="L48" s="14"/>
      <c r="M48" s="14"/>
      <c r="N48" s="16" t="str">
        <f t="shared" si="9"/>
        <v/>
      </c>
      <c r="O48" s="8"/>
      <c r="P48" s="9"/>
      <c r="Q48" s="9"/>
      <c r="R48" s="9"/>
      <c r="S48" s="9"/>
      <c r="T48" s="10">
        <f t="shared" si="10"/>
        <v>0</v>
      </c>
    </row>
    <row r="49" spans="2:20" outlineLevel="1" x14ac:dyDescent="0.25">
      <c r="B49" s="12" t="s">
        <v>32</v>
      </c>
      <c r="C49" s="7" t="s">
        <v>33</v>
      </c>
      <c r="D49" s="8">
        <v>46086</v>
      </c>
      <c r="E49" s="36"/>
      <c r="F49" s="36"/>
      <c r="G49" s="35"/>
      <c r="H49" s="15"/>
      <c r="I49" s="15"/>
      <c r="J49" s="10"/>
      <c r="K49" s="15"/>
      <c r="L49" s="14"/>
      <c r="M49" s="14"/>
      <c r="N49" s="16" t="str">
        <f t="shared" si="9"/>
        <v/>
      </c>
      <c r="O49" s="8"/>
      <c r="P49" s="9"/>
      <c r="Q49" s="9"/>
      <c r="R49" s="9"/>
      <c r="S49" s="9"/>
      <c r="T49" s="10">
        <f t="shared" si="10"/>
        <v>0</v>
      </c>
    </row>
    <row r="50" spans="2:20" outlineLevel="1" x14ac:dyDescent="0.25">
      <c r="B50" s="12" t="s">
        <v>32</v>
      </c>
      <c r="C50" s="7" t="s">
        <v>33</v>
      </c>
      <c r="D50" s="8">
        <v>46087</v>
      </c>
      <c r="E50" s="36"/>
      <c r="F50" s="36"/>
      <c r="G50" s="35"/>
      <c r="H50" s="15"/>
      <c r="I50" s="15"/>
      <c r="J50" s="10"/>
      <c r="K50" s="15"/>
      <c r="L50" s="14"/>
      <c r="M50" s="14"/>
      <c r="N50" s="16" t="str">
        <f t="shared" si="9"/>
        <v/>
      </c>
      <c r="O50" s="8"/>
      <c r="P50" s="9"/>
      <c r="Q50" s="9"/>
      <c r="R50" s="9"/>
      <c r="S50" s="9"/>
      <c r="T50" s="10">
        <f t="shared" si="10"/>
        <v>0</v>
      </c>
    </row>
    <row r="51" spans="2:20" outlineLevel="1" x14ac:dyDescent="0.25">
      <c r="B51" s="12" t="s">
        <v>32</v>
      </c>
      <c r="C51" s="7" t="s">
        <v>33</v>
      </c>
      <c r="D51" s="8">
        <v>46088</v>
      </c>
      <c r="E51" s="36"/>
      <c r="F51" s="36"/>
      <c r="G51" s="35"/>
      <c r="H51" s="15"/>
      <c r="I51" s="15"/>
      <c r="J51" s="10"/>
      <c r="K51" s="15"/>
      <c r="L51" s="14"/>
      <c r="M51" s="14"/>
      <c r="N51" s="16" t="str">
        <f t="shared" si="9"/>
        <v/>
      </c>
      <c r="O51" s="8"/>
      <c r="P51" s="17"/>
      <c r="Q51" s="9"/>
      <c r="R51" s="9"/>
      <c r="S51" s="9"/>
      <c r="T51" s="10">
        <f t="shared" si="10"/>
        <v>0</v>
      </c>
    </row>
    <row r="52" spans="2:20" outlineLevel="1" x14ac:dyDescent="0.25">
      <c r="B52" s="12" t="s">
        <v>32</v>
      </c>
      <c r="C52" s="7" t="s">
        <v>33</v>
      </c>
      <c r="D52" s="8">
        <v>46089</v>
      </c>
      <c r="E52" s="36"/>
      <c r="F52" s="36"/>
      <c r="G52" s="35"/>
      <c r="H52" s="15"/>
      <c r="I52" s="15"/>
      <c r="J52" s="10"/>
      <c r="K52" s="15"/>
      <c r="L52" s="14"/>
      <c r="M52" s="14"/>
      <c r="N52" s="16" t="str">
        <f t="shared" si="9"/>
        <v/>
      </c>
      <c r="O52" s="8"/>
      <c r="P52" s="17"/>
      <c r="Q52" s="9"/>
      <c r="R52" s="9"/>
      <c r="S52" s="9"/>
      <c r="T52" s="10">
        <f t="shared" si="10"/>
        <v>0</v>
      </c>
    </row>
    <row r="53" spans="2:20" outlineLevel="1" x14ac:dyDescent="0.25">
      <c r="B53" s="12" t="s">
        <v>32</v>
      </c>
      <c r="C53" s="7" t="s">
        <v>33</v>
      </c>
      <c r="D53" s="8">
        <v>46090</v>
      </c>
      <c r="E53" s="36"/>
      <c r="F53" s="36"/>
      <c r="G53" s="35"/>
      <c r="H53" s="15"/>
      <c r="I53" s="15"/>
      <c r="J53" s="10"/>
      <c r="K53" s="15"/>
      <c r="L53" s="14"/>
      <c r="M53" s="14"/>
      <c r="N53" s="16" t="str">
        <f t="shared" si="9"/>
        <v/>
      </c>
      <c r="O53" s="8"/>
      <c r="P53" s="17"/>
      <c r="Q53" s="9"/>
      <c r="R53" s="9"/>
      <c r="S53" s="9"/>
      <c r="T53" s="10">
        <f t="shared" si="10"/>
        <v>0</v>
      </c>
    </row>
    <row r="54" spans="2:20" outlineLevel="1" x14ac:dyDescent="0.25">
      <c r="B54" s="12" t="s">
        <v>32</v>
      </c>
      <c r="C54" s="7" t="s">
        <v>33</v>
      </c>
      <c r="D54" s="8">
        <v>46091</v>
      </c>
      <c r="E54" s="36"/>
      <c r="F54" s="36"/>
      <c r="G54" s="35"/>
      <c r="H54" s="15"/>
      <c r="I54" s="15"/>
      <c r="J54" s="10"/>
      <c r="K54" s="15"/>
      <c r="L54" s="14"/>
      <c r="M54" s="14"/>
      <c r="N54" s="16" t="str">
        <f t="shared" si="9"/>
        <v/>
      </c>
      <c r="O54" s="8"/>
      <c r="P54" s="17"/>
      <c r="Q54" s="9"/>
      <c r="R54" s="9"/>
      <c r="S54" s="9"/>
      <c r="T54" s="10">
        <f t="shared" si="10"/>
        <v>0</v>
      </c>
    </row>
    <row r="55" spans="2:20" outlineLevel="1" x14ac:dyDescent="0.25">
      <c r="B55" s="12" t="s">
        <v>32</v>
      </c>
      <c r="C55" s="7" t="s">
        <v>33</v>
      </c>
      <c r="D55" s="8">
        <v>46092</v>
      </c>
      <c r="E55" s="36"/>
      <c r="F55" s="36"/>
      <c r="G55" s="35"/>
      <c r="H55" s="15"/>
      <c r="I55" s="15"/>
      <c r="J55" s="10"/>
      <c r="K55" s="15"/>
      <c r="L55" s="14"/>
      <c r="M55" s="14"/>
      <c r="N55" s="16" t="str">
        <f t="shared" si="9"/>
        <v/>
      </c>
      <c r="O55" s="8"/>
      <c r="P55" s="17"/>
      <c r="Q55" s="9"/>
      <c r="R55" s="9"/>
      <c r="S55" s="9"/>
      <c r="T55" s="10">
        <f t="shared" si="10"/>
        <v>0</v>
      </c>
    </row>
    <row r="56" spans="2:20" outlineLevel="1" x14ac:dyDescent="0.25">
      <c r="B56" s="12" t="s">
        <v>32</v>
      </c>
      <c r="C56" s="7" t="s">
        <v>33</v>
      </c>
      <c r="D56" s="8">
        <v>46093</v>
      </c>
      <c r="E56" s="36"/>
      <c r="F56" s="36"/>
      <c r="G56" s="35"/>
      <c r="H56" s="15"/>
      <c r="I56" s="15"/>
      <c r="J56" s="10"/>
      <c r="K56" s="15"/>
      <c r="L56" s="14"/>
      <c r="M56" s="14"/>
      <c r="N56" s="16" t="str">
        <f t="shared" si="9"/>
        <v/>
      </c>
      <c r="O56" s="8"/>
      <c r="P56" s="17"/>
      <c r="Q56" s="9"/>
      <c r="R56" s="9"/>
      <c r="S56" s="9"/>
      <c r="T56" s="10">
        <f t="shared" si="10"/>
        <v>0</v>
      </c>
    </row>
    <row r="57" spans="2:20" outlineLevel="1" x14ac:dyDescent="0.25">
      <c r="B57" s="12" t="s">
        <v>32</v>
      </c>
      <c r="C57" s="7" t="s">
        <v>33</v>
      </c>
      <c r="D57" s="8">
        <v>46094</v>
      </c>
      <c r="E57" s="36">
        <v>147608</v>
      </c>
      <c r="F57" s="36">
        <v>147891</v>
      </c>
      <c r="G57" s="35">
        <f>F57-E57</f>
        <v>283</v>
      </c>
      <c r="H57" s="15" t="s">
        <v>111</v>
      </c>
      <c r="I57" s="15" t="s">
        <v>51</v>
      </c>
      <c r="J57" s="10">
        <f>G57*10</f>
        <v>2830</v>
      </c>
      <c r="K57" s="15"/>
      <c r="L57" s="14">
        <v>1</v>
      </c>
      <c r="M57" s="14"/>
      <c r="N57" s="16" t="str">
        <f t="shared" si="9"/>
        <v/>
      </c>
      <c r="O57" s="8"/>
      <c r="P57" s="17"/>
      <c r="Q57" s="9">
        <f>IF(J57&lt;800,800,J57)</f>
        <v>2830</v>
      </c>
      <c r="R57" s="9"/>
      <c r="S57" s="9"/>
      <c r="T57" s="10">
        <f t="shared" si="10"/>
        <v>2830</v>
      </c>
    </row>
    <row r="58" spans="2:20" outlineLevel="1" x14ac:dyDescent="0.25">
      <c r="B58" s="12" t="s">
        <v>32</v>
      </c>
      <c r="C58" s="7" t="s">
        <v>33</v>
      </c>
      <c r="D58" s="8">
        <v>46095</v>
      </c>
      <c r="E58" s="36">
        <f>F57</f>
        <v>147891</v>
      </c>
      <c r="F58" s="36">
        <v>148060</v>
      </c>
      <c r="G58" s="35">
        <f t="shared" ref="G58:G61" si="11">F58-E58</f>
        <v>169</v>
      </c>
      <c r="H58" s="15" t="s">
        <v>112</v>
      </c>
      <c r="I58" s="15" t="s">
        <v>24</v>
      </c>
      <c r="J58" s="10">
        <f t="shared" ref="J58:J61" si="12">G58*10</f>
        <v>1690</v>
      </c>
      <c r="K58" s="15"/>
      <c r="L58" s="14">
        <v>1</v>
      </c>
      <c r="M58" s="14"/>
      <c r="N58" s="16" t="str">
        <f t="shared" si="9"/>
        <v/>
      </c>
      <c r="O58" s="8"/>
      <c r="P58" s="17"/>
      <c r="Q58" s="9">
        <f t="shared" ref="Q58:Q61" si="13">IF(J58&lt;800,800,J58)</f>
        <v>1690</v>
      </c>
      <c r="R58" s="9"/>
      <c r="S58" s="9"/>
      <c r="T58" s="10">
        <f t="shared" si="10"/>
        <v>1690</v>
      </c>
    </row>
    <row r="59" spans="2:20" outlineLevel="1" x14ac:dyDescent="0.25">
      <c r="B59" s="12" t="s">
        <v>32</v>
      </c>
      <c r="C59" s="7" t="s">
        <v>33</v>
      </c>
      <c r="D59" s="8">
        <v>46096</v>
      </c>
      <c r="E59" s="36">
        <f t="shared" ref="E59:E61" si="14">F58</f>
        <v>148060</v>
      </c>
      <c r="F59" s="36">
        <v>148230</v>
      </c>
      <c r="G59" s="35">
        <f t="shared" si="11"/>
        <v>170</v>
      </c>
      <c r="H59" s="15" t="s">
        <v>113</v>
      </c>
      <c r="I59" s="15" t="s">
        <v>51</v>
      </c>
      <c r="J59" s="10">
        <f t="shared" si="12"/>
        <v>1700</v>
      </c>
      <c r="K59" s="15"/>
      <c r="L59" s="14">
        <v>1</v>
      </c>
      <c r="M59" s="14"/>
      <c r="N59" s="16" t="str">
        <f t="shared" si="9"/>
        <v/>
      </c>
      <c r="O59" s="8"/>
      <c r="P59" s="17">
        <f t="shared" ref="P59:P71" si="15">P58</f>
        <v>0</v>
      </c>
      <c r="Q59" s="9">
        <f t="shared" si="13"/>
        <v>1700</v>
      </c>
      <c r="R59" s="9"/>
      <c r="S59" s="9"/>
      <c r="T59" s="10">
        <f t="shared" si="10"/>
        <v>1700</v>
      </c>
    </row>
    <row r="60" spans="2:20" outlineLevel="1" x14ac:dyDescent="0.25">
      <c r="B60" s="12" t="s">
        <v>32</v>
      </c>
      <c r="C60" s="7" t="s">
        <v>33</v>
      </c>
      <c r="D60" s="8">
        <v>46096</v>
      </c>
      <c r="E60" s="36">
        <f t="shared" si="14"/>
        <v>148230</v>
      </c>
      <c r="F60" s="36">
        <v>148398</v>
      </c>
      <c r="G60" s="35">
        <f t="shared" si="11"/>
        <v>168</v>
      </c>
      <c r="H60" s="15" t="s">
        <v>112</v>
      </c>
      <c r="I60" s="15" t="s">
        <v>24</v>
      </c>
      <c r="J60" s="10">
        <f t="shared" si="12"/>
        <v>1680</v>
      </c>
      <c r="K60" s="15"/>
      <c r="L60" s="14">
        <v>1</v>
      </c>
      <c r="M60" s="14"/>
      <c r="N60" s="16" t="str">
        <f t="shared" si="9"/>
        <v/>
      </c>
      <c r="O60" s="8"/>
      <c r="P60" s="17">
        <f t="shared" si="15"/>
        <v>0</v>
      </c>
      <c r="Q60" s="9">
        <f t="shared" si="13"/>
        <v>1680</v>
      </c>
      <c r="R60" s="9"/>
      <c r="S60" s="9"/>
      <c r="T60" s="10">
        <f t="shared" si="10"/>
        <v>1680</v>
      </c>
    </row>
    <row r="61" spans="2:20" outlineLevel="1" x14ac:dyDescent="0.25">
      <c r="B61" s="12" t="s">
        <v>32</v>
      </c>
      <c r="C61" s="7" t="s">
        <v>33</v>
      </c>
      <c r="D61" s="8">
        <v>46097</v>
      </c>
      <c r="E61" s="36">
        <f t="shared" si="14"/>
        <v>148398</v>
      </c>
      <c r="F61" s="36">
        <v>148744</v>
      </c>
      <c r="G61" s="35">
        <f t="shared" si="11"/>
        <v>346</v>
      </c>
      <c r="H61" s="15" t="s">
        <v>114</v>
      </c>
      <c r="I61" s="15" t="s">
        <v>66</v>
      </c>
      <c r="J61" s="10">
        <f t="shared" si="12"/>
        <v>3460</v>
      </c>
      <c r="K61" s="15"/>
      <c r="L61" s="14">
        <v>1</v>
      </c>
      <c r="M61" s="14"/>
      <c r="N61" s="16" t="str">
        <f t="shared" si="9"/>
        <v/>
      </c>
      <c r="O61" s="8"/>
      <c r="P61" s="17">
        <f t="shared" si="15"/>
        <v>0</v>
      </c>
      <c r="Q61" s="9">
        <f t="shared" si="13"/>
        <v>3460</v>
      </c>
      <c r="R61" s="9"/>
      <c r="S61" s="9"/>
      <c r="T61" s="10">
        <f t="shared" si="10"/>
        <v>3460</v>
      </c>
    </row>
    <row r="62" spans="2:20" outlineLevel="1" x14ac:dyDescent="0.25">
      <c r="B62" s="12" t="s">
        <v>32</v>
      </c>
      <c r="C62" s="7" t="s">
        <v>33</v>
      </c>
      <c r="D62" s="8">
        <v>46099</v>
      </c>
      <c r="E62" s="36"/>
      <c r="F62" s="36"/>
      <c r="G62" s="35"/>
      <c r="H62" s="15"/>
      <c r="I62" s="15"/>
      <c r="J62" s="10"/>
      <c r="K62" s="15"/>
      <c r="L62" s="14"/>
      <c r="M62" s="14"/>
      <c r="N62" s="16" t="str">
        <f t="shared" si="9"/>
        <v/>
      </c>
      <c r="O62" s="8"/>
      <c r="P62" s="17">
        <f t="shared" si="15"/>
        <v>0</v>
      </c>
      <c r="Q62" s="9"/>
      <c r="R62" s="9"/>
      <c r="S62" s="9"/>
      <c r="T62" s="10">
        <f t="shared" si="10"/>
        <v>0</v>
      </c>
    </row>
    <row r="63" spans="2:20" outlineLevel="1" x14ac:dyDescent="0.25">
      <c r="B63" s="12" t="s">
        <v>32</v>
      </c>
      <c r="C63" s="7" t="s">
        <v>33</v>
      </c>
      <c r="D63" s="8">
        <v>46100</v>
      </c>
      <c r="E63" s="36"/>
      <c r="F63" s="36"/>
      <c r="G63" s="35"/>
      <c r="H63" s="15"/>
      <c r="I63" s="15"/>
      <c r="J63" s="10"/>
      <c r="K63" s="15"/>
      <c r="L63" s="14"/>
      <c r="M63" s="14"/>
      <c r="N63" s="16" t="str">
        <f t="shared" si="9"/>
        <v/>
      </c>
      <c r="O63" s="8"/>
      <c r="P63" s="17">
        <f t="shared" si="15"/>
        <v>0</v>
      </c>
      <c r="Q63" s="9"/>
      <c r="R63" s="9"/>
      <c r="S63" s="9"/>
      <c r="T63" s="10">
        <f t="shared" si="10"/>
        <v>0</v>
      </c>
    </row>
    <row r="64" spans="2:20" outlineLevel="1" x14ac:dyDescent="0.25">
      <c r="B64" s="12" t="s">
        <v>32</v>
      </c>
      <c r="C64" s="7" t="s">
        <v>33</v>
      </c>
      <c r="D64" s="8">
        <v>46101</v>
      </c>
      <c r="E64" s="36"/>
      <c r="F64" s="36"/>
      <c r="G64" s="35"/>
      <c r="H64" s="15"/>
      <c r="I64" s="15"/>
      <c r="J64" s="10"/>
      <c r="K64" s="15"/>
      <c r="L64" s="14"/>
      <c r="M64" s="14"/>
      <c r="N64" s="16" t="str">
        <f t="shared" si="9"/>
        <v/>
      </c>
      <c r="O64" s="8"/>
      <c r="P64" s="17">
        <f t="shared" si="15"/>
        <v>0</v>
      </c>
      <c r="Q64" s="9"/>
      <c r="R64" s="9"/>
      <c r="S64" s="9"/>
      <c r="T64" s="10">
        <f t="shared" si="10"/>
        <v>0</v>
      </c>
    </row>
    <row r="65" spans="2:20" outlineLevel="1" x14ac:dyDescent="0.25">
      <c r="B65" s="12" t="s">
        <v>32</v>
      </c>
      <c r="C65" s="7" t="s">
        <v>33</v>
      </c>
      <c r="D65" s="8">
        <v>46102</v>
      </c>
      <c r="E65" s="36"/>
      <c r="F65" s="36"/>
      <c r="G65" s="35"/>
      <c r="H65" s="15"/>
      <c r="I65" s="15"/>
      <c r="J65" s="10"/>
      <c r="K65" s="15"/>
      <c r="L65" s="14"/>
      <c r="M65" s="14"/>
      <c r="N65" s="16" t="str">
        <f t="shared" si="9"/>
        <v/>
      </c>
      <c r="O65" s="8"/>
      <c r="P65" s="17">
        <f t="shared" si="15"/>
        <v>0</v>
      </c>
      <c r="Q65" s="9"/>
      <c r="R65" s="9"/>
      <c r="S65" s="9"/>
      <c r="T65" s="10">
        <f t="shared" si="10"/>
        <v>0</v>
      </c>
    </row>
    <row r="66" spans="2:20" outlineLevel="1" x14ac:dyDescent="0.25">
      <c r="B66" s="12" t="s">
        <v>32</v>
      </c>
      <c r="C66" s="7" t="s">
        <v>33</v>
      </c>
      <c r="D66" s="8">
        <v>46103</v>
      </c>
      <c r="E66" s="36"/>
      <c r="F66" s="36"/>
      <c r="G66" s="35"/>
      <c r="H66" s="15"/>
      <c r="I66" s="15"/>
      <c r="J66" s="10"/>
      <c r="K66" s="15"/>
      <c r="L66" s="14"/>
      <c r="M66" s="14"/>
      <c r="N66" s="16" t="str">
        <f t="shared" si="9"/>
        <v/>
      </c>
      <c r="O66" s="8"/>
      <c r="P66" s="17">
        <f t="shared" si="15"/>
        <v>0</v>
      </c>
      <c r="Q66" s="9"/>
      <c r="R66" s="9"/>
      <c r="S66" s="9"/>
      <c r="T66" s="10">
        <f t="shared" si="10"/>
        <v>0</v>
      </c>
    </row>
    <row r="67" spans="2:20" outlineLevel="1" x14ac:dyDescent="0.25">
      <c r="B67" s="12" t="s">
        <v>32</v>
      </c>
      <c r="C67" s="7" t="s">
        <v>33</v>
      </c>
      <c r="D67" s="8">
        <v>46104</v>
      </c>
      <c r="E67" s="36"/>
      <c r="F67" s="36"/>
      <c r="G67" s="35"/>
      <c r="H67" s="15"/>
      <c r="I67" s="15"/>
      <c r="J67" s="10"/>
      <c r="K67" s="15"/>
      <c r="L67" s="14"/>
      <c r="M67" s="14"/>
      <c r="N67" s="16" t="str">
        <f t="shared" si="9"/>
        <v/>
      </c>
      <c r="O67" s="8"/>
      <c r="P67" s="17">
        <f t="shared" si="15"/>
        <v>0</v>
      </c>
      <c r="Q67" s="9"/>
      <c r="R67" s="9"/>
      <c r="S67" s="9"/>
      <c r="T67" s="10">
        <f t="shared" si="10"/>
        <v>0</v>
      </c>
    </row>
    <row r="68" spans="2:20" outlineLevel="1" x14ac:dyDescent="0.25">
      <c r="B68" s="12" t="s">
        <v>32</v>
      </c>
      <c r="C68" s="7" t="s">
        <v>33</v>
      </c>
      <c r="D68" s="8">
        <v>46105</v>
      </c>
      <c r="E68" s="36"/>
      <c r="F68" s="36"/>
      <c r="G68" s="35"/>
      <c r="H68" s="15"/>
      <c r="I68" s="15"/>
      <c r="J68" s="10"/>
      <c r="K68" s="15"/>
      <c r="L68" s="14"/>
      <c r="M68" s="14"/>
      <c r="N68" s="16" t="str">
        <f t="shared" si="9"/>
        <v/>
      </c>
      <c r="O68" s="8"/>
      <c r="P68" s="17">
        <f t="shared" si="15"/>
        <v>0</v>
      </c>
      <c r="Q68" s="9"/>
      <c r="R68" s="9"/>
      <c r="S68" s="9"/>
      <c r="T68" s="10">
        <f t="shared" si="10"/>
        <v>0</v>
      </c>
    </row>
    <row r="69" spans="2:20" outlineLevel="1" x14ac:dyDescent="0.25">
      <c r="B69" s="12" t="s">
        <v>32</v>
      </c>
      <c r="C69" s="7" t="s">
        <v>33</v>
      </c>
      <c r="D69" s="8">
        <v>46106</v>
      </c>
      <c r="E69" s="36"/>
      <c r="F69" s="36"/>
      <c r="G69" s="35"/>
      <c r="H69" s="15"/>
      <c r="I69" s="15"/>
      <c r="J69" s="10"/>
      <c r="K69" s="15"/>
      <c r="L69" s="14"/>
      <c r="M69" s="14"/>
      <c r="N69" s="16" t="str">
        <f t="shared" si="9"/>
        <v/>
      </c>
      <c r="O69" s="8"/>
      <c r="P69" s="17">
        <f t="shared" si="15"/>
        <v>0</v>
      </c>
      <c r="Q69" s="9"/>
      <c r="R69" s="9"/>
      <c r="S69" s="9"/>
      <c r="T69" s="10">
        <f t="shared" si="10"/>
        <v>0</v>
      </c>
    </row>
    <row r="70" spans="2:20" outlineLevel="1" x14ac:dyDescent="0.25">
      <c r="B70" s="12" t="s">
        <v>32</v>
      </c>
      <c r="C70" s="7" t="s">
        <v>33</v>
      </c>
      <c r="D70" s="8">
        <v>46107</v>
      </c>
      <c r="E70" s="36"/>
      <c r="F70" s="36"/>
      <c r="G70" s="35"/>
      <c r="H70" s="15"/>
      <c r="I70" s="15"/>
      <c r="J70" s="10"/>
      <c r="K70" s="15"/>
      <c r="L70" s="14"/>
      <c r="M70" s="14"/>
      <c r="N70" s="16" t="str">
        <f t="shared" si="9"/>
        <v/>
      </c>
      <c r="O70" s="8"/>
      <c r="P70" s="17">
        <f t="shared" si="15"/>
        <v>0</v>
      </c>
      <c r="Q70" s="9"/>
      <c r="R70" s="9"/>
      <c r="S70" s="9"/>
      <c r="T70" s="10">
        <f t="shared" si="10"/>
        <v>0</v>
      </c>
    </row>
    <row r="71" spans="2:20" outlineLevel="1" x14ac:dyDescent="0.25">
      <c r="B71" s="12" t="s">
        <v>32</v>
      </c>
      <c r="C71" s="7" t="s">
        <v>33</v>
      </c>
      <c r="D71" s="8">
        <v>46108</v>
      </c>
      <c r="E71" s="36"/>
      <c r="F71" s="36"/>
      <c r="G71" s="35"/>
      <c r="H71" s="15"/>
      <c r="I71" s="15"/>
      <c r="J71" s="10"/>
      <c r="K71" s="15"/>
      <c r="L71" s="14"/>
      <c r="M71" s="14"/>
      <c r="N71" s="16" t="str">
        <f t="shared" si="9"/>
        <v/>
      </c>
      <c r="O71" s="8"/>
      <c r="P71" s="17">
        <f t="shared" si="15"/>
        <v>0</v>
      </c>
      <c r="Q71" s="9"/>
      <c r="R71" s="9"/>
      <c r="S71" s="9"/>
      <c r="T71" s="10">
        <f t="shared" si="10"/>
        <v>0</v>
      </c>
    </row>
    <row r="72" spans="2:20" outlineLevel="1" x14ac:dyDescent="0.25">
      <c r="B72" s="12" t="s">
        <v>32</v>
      </c>
      <c r="C72" s="7" t="s">
        <v>33</v>
      </c>
      <c r="D72" s="8">
        <v>46109</v>
      </c>
      <c r="E72" s="36"/>
      <c r="F72" s="36"/>
      <c r="G72" s="35"/>
      <c r="H72" s="15"/>
      <c r="I72" s="15"/>
      <c r="J72" s="10"/>
      <c r="K72" s="15"/>
      <c r="L72" s="14"/>
      <c r="M72" s="14"/>
      <c r="N72" s="16" t="str">
        <f t="shared" si="9"/>
        <v/>
      </c>
      <c r="O72" s="8"/>
      <c r="P72" s="17"/>
      <c r="Q72" s="9"/>
      <c r="R72" s="9"/>
      <c r="S72" s="9"/>
      <c r="T72" s="10">
        <f t="shared" si="10"/>
        <v>0</v>
      </c>
    </row>
    <row r="73" spans="2:20" outlineLevel="1" x14ac:dyDescent="0.25">
      <c r="B73" s="12" t="s">
        <v>32</v>
      </c>
      <c r="C73" s="7" t="s">
        <v>33</v>
      </c>
      <c r="D73" s="8">
        <v>46110</v>
      </c>
      <c r="E73" s="36"/>
      <c r="F73" s="36"/>
      <c r="G73" s="35"/>
      <c r="H73" s="15"/>
      <c r="I73" s="15"/>
      <c r="J73" s="10"/>
      <c r="K73" s="15"/>
      <c r="L73" s="14"/>
      <c r="M73" s="14"/>
      <c r="N73" s="16" t="str">
        <f t="shared" si="9"/>
        <v/>
      </c>
      <c r="O73" s="8"/>
      <c r="P73" s="17"/>
      <c r="Q73" s="9"/>
      <c r="R73" s="9"/>
      <c r="S73" s="9"/>
      <c r="T73" s="10">
        <f t="shared" si="10"/>
        <v>0</v>
      </c>
    </row>
    <row r="74" spans="2:20" outlineLevel="1" x14ac:dyDescent="0.25">
      <c r="B74" s="12" t="s">
        <v>32</v>
      </c>
      <c r="C74" s="7" t="s">
        <v>33</v>
      </c>
      <c r="D74" s="8">
        <v>46111</v>
      </c>
      <c r="E74" s="36"/>
      <c r="F74" s="36"/>
      <c r="G74" s="35"/>
      <c r="H74" s="15"/>
      <c r="I74" s="15"/>
      <c r="J74" s="10"/>
      <c r="K74" s="15"/>
      <c r="L74" s="14"/>
      <c r="M74" s="14"/>
      <c r="N74" s="16" t="str">
        <f t="shared" si="9"/>
        <v/>
      </c>
      <c r="O74" s="8"/>
      <c r="P74" s="17"/>
      <c r="Q74" s="9"/>
      <c r="R74" s="9"/>
      <c r="S74" s="9"/>
      <c r="T74" s="10">
        <f t="shared" si="10"/>
        <v>0</v>
      </c>
    </row>
    <row r="75" spans="2:20" outlineLevel="1" x14ac:dyDescent="0.25">
      <c r="B75" s="12" t="s">
        <v>32</v>
      </c>
      <c r="C75" s="7" t="s">
        <v>33</v>
      </c>
      <c r="D75" s="8">
        <v>46112</v>
      </c>
      <c r="E75" s="36"/>
      <c r="F75" s="36"/>
      <c r="G75" s="35"/>
      <c r="H75" s="15"/>
      <c r="I75" s="15"/>
      <c r="J75" s="10"/>
      <c r="K75" s="15"/>
      <c r="L75" s="14"/>
      <c r="M75" s="14"/>
      <c r="N75" s="16" t="str">
        <f t="shared" si="9"/>
        <v/>
      </c>
      <c r="O75" s="8"/>
      <c r="P75" s="17">
        <f>P71</f>
        <v>0</v>
      </c>
      <c r="Q75" s="9"/>
      <c r="R75" s="9"/>
      <c r="S75" s="9"/>
      <c r="T75" s="10">
        <f t="shared" si="10"/>
        <v>0</v>
      </c>
    </row>
    <row r="76" spans="2:20" x14ac:dyDescent="0.25">
      <c r="D76" s="1"/>
      <c r="E76" s="29"/>
      <c r="F76" s="29"/>
      <c r="G76" s="29"/>
      <c r="H76" s="30"/>
      <c r="I76" s="30"/>
      <c r="J76" s="31"/>
      <c r="K76" s="30"/>
      <c r="L76" s="29"/>
      <c r="M76" s="29"/>
      <c r="N76" s="32"/>
      <c r="O76" s="1"/>
      <c r="P76" s="33"/>
      <c r="Q76" s="27"/>
      <c r="R76" s="27"/>
      <c r="S76" s="27"/>
      <c r="T76" s="31"/>
    </row>
    <row r="77" spans="2:20" x14ac:dyDescent="0.25">
      <c r="D77" s="1"/>
      <c r="E77" s="29"/>
      <c r="F77" s="29"/>
      <c r="G77" s="29"/>
      <c r="H77" s="30"/>
      <c r="I77" s="30"/>
      <c r="J77" s="31"/>
      <c r="K77" s="30"/>
      <c r="L77" s="29"/>
      <c r="M77" s="29"/>
      <c r="N77" s="32"/>
      <c r="O77" s="1"/>
      <c r="P77" s="33"/>
      <c r="Q77" s="27"/>
      <c r="R77" s="27"/>
      <c r="S77" s="34"/>
      <c r="T77" s="31"/>
    </row>
    <row r="78" spans="2:20" x14ac:dyDescent="0.25">
      <c r="B78" s="37" t="s">
        <v>30</v>
      </c>
      <c r="C78" s="38" t="s">
        <v>31</v>
      </c>
      <c r="D78" s="3"/>
      <c r="E78" s="4"/>
      <c r="F78" s="4"/>
      <c r="G78" s="4"/>
      <c r="H78" s="3"/>
      <c r="I78" s="3"/>
      <c r="J78" s="3"/>
      <c r="K78" s="3"/>
      <c r="L78" s="4"/>
      <c r="M78" s="4"/>
      <c r="N78" s="44" t="str">
        <f>N$1</f>
        <v>BM MARÇO 2026</v>
      </c>
      <c r="O78" s="44"/>
      <c r="P78" s="44"/>
      <c r="Q78" s="18" t="s">
        <v>3</v>
      </c>
      <c r="R78" s="45"/>
      <c r="S78" s="45"/>
      <c r="T78" s="45"/>
    </row>
    <row r="79" spans="2:20" x14ac:dyDescent="0.25">
      <c r="B79" s="11" t="s">
        <v>0</v>
      </c>
      <c r="C79" s="5" t="s">
        <v>1</v>
      </c>
      <c r="D79" s="5" t="s">
        <v>4</v>
      </c>
      <c r="E79" s="6" t="s">
        <v>5</v>
      </c>
      <c r="F79" s="6" t="s">
        <v>6</v>
      </c>
      <c r="G79" s="6" t="s">
        <v>7</v>
      </c>
      <c r="H79" s="5" t="s">
        <v>79</v>
      </c>
      <c r="I79" s="5" t="s">
        <v>35</v>
      </c>
      <c r="J79" s="6" t="s">
        <v>8</v>
      </c>
      <c r="K79" s="6" t="s">
        <v>9</v>
      </c>
      <c r="L79" s="6" t="s">
        <v>10</v>
      </c>
      <c r="M79" s="6" t="s">
        <v>11</v>
      </c>
      <c r="N79" s="5" t="s">
        <v>4</v>
      </c>
      <c r="O79" s="5" t="s">
        <v>12</v>
      </c>
      <c r="P79" s="6" t="s">
        <v>25</v>
      </c>
      <c r="Q79" s="6" t="s">
        <v>13</v>
      </c>
      <c r="R79" s="6" t="s">
        <v>14</v>
      </c>
      <c r="S79" s="6" t="s">
        <v>15</v>
      </c>
      <c r="T79" s="6" t="s">
        <v>16</v>
      </c>
    </row>
    <row r="80" spans="2:20" outlineLevel="1" x14ac:dyDescent="0.25">
      <c r="B80" s="12" t="s">
        <v>30</v>
      </c>
      <c r="C80" s="7" t="s">
        <v>31</v>
      </c>
      <c r="D80" s="8">
        <v>46083</v>
      </c>
      <c r="E80" s="36">
        <v>244871</v>
      </c>
      <c r="F80" s="36">
        <v>244920</v>
      </c>
      <c r="G80" s="35">
        <f>F80-E80</f>
        <v>49</v>
      </c>
      <c r="H80" s="15" t="s">
        <v>115</v>
      </c>
      <c r="I80" s="15" t="s">
        <v>37</v>
      </c>
      <c r="J80" s="10">
        <f>G80*10</f>
        <v>490</v>
      </c>
      <c r="K80" s="15"/>
      <c r="L80" s="14">
        <v>1</v>
      </c>
      <c r="M80" s="14"/>
      <c r="N80" s="16"/>
      <c r="O80" s="8"/>
      <c r="P80" s="9"/>
      <c r="Q80" s="9">
        <f>IF(J80&lt;800,800,J80)</f>
        <v>800</v>
      </c>
      <c r="R80" s="9"/>
      <c r="S80" s="25"/>
      <c r="T80" s="10">
        <f>Q80</f>
        <v>800</v>
      </c>
    </row>
    <row r="81" spans="2:20" outlineLevel="1" x14ac:dyDescent="0.25">
      <c r="B81" s="12" t="s">
        <v>30</v>
      </c>
      <c r="C81" s="7" t="s">
        <v>31</v>
      </c>
      <c r="D81" s="8">
        <v>46084</v>
      </c>
      <c r="E81" s="36">
        <f>F80</f>
        <v>244920</v>
      </c>
      <c r="F81" s="36">
        <v>244993</v>
      </c>
      <c r="G81" s="35">
        <f>F81-E81</f>
        <v>73</v>
      </c>
      <c r="H81" s="15" t="s">
        <v>116</v>
      </c>
      <c r="I81" s="15" t="s">
        <v>38</v>
      </c>
      <c r="J81" s="10">
        <f t="shared" ref="J81:J122" si="16">G81*10</f>
        <v>730</v>
      </c>
      <c r="K81" s="15"/>
      <c r="L81" s="14">
        <v>1</v>
      </c>
      <c r="M81" s="14"/>
      <c r="N81" s="15"/>
      <c r="O81" s="8"/>
      <c r="P81" s="17"/>
      <c r="Q81" s="9">
        <f t="shared" ref="Q81:Q122" si="17">IF(J81&lt;800,800,J81)</f>
        <v>800</v>
      </c>
      <c r="R81" s="9"/>
      <c r="S81" s="25"/>
      <c r="T81" s="10">
        <f t="shared" ref="T81:T122" si="18">Q81</f>
        <v>800</v>
      </c>
    </row>
    <row r="82" spans="2:20" outlineLevel="1" x14ac:dyDescent="0.25">
      <c r="B82" s="12" t="s">
        <v>30</v>
      </c>
      <c r="C82" s="7" t="s">
        <v>31</v>
      </c>
      <c r="D82" s="8">
        <v>46084</v>
      </c>
      <c r="E82" s="36">
        <f t="shared" ref="E82:E122" si="19">F81</f>
        <v>244993</v>
      </c>
      <c r="F82" s="36">
        <v>245151</v>
      </c>
      <c r="G82" s="35">
        <f t="shared" ref="G82:G110" si="20">F82-E82</f>
        <v>158</v>
      </c>
      <c r="H82" s="15" t="s">
        <v>117</v>
      </c>
      <c r="I82" s="15" t="s">
        <v>39</v>
      </c>
      <c r="J82" s="10">
        <f t="shared" si="16"/>
        <v>1580</v>
      </c>
      <c r="K82" s="15"/>
      <c r="L82" s="14">
        <v>1</v>
      </c>
      <c r="M82" s="14"/>
      <c r="N82" s="15"/>
      <c r="O82" s="8"/>
      <c r="P82" s="17"/>
      <c r="Q82" s="9">
        <f t="shared" si="17"/>
        <v>1580</v>
      </c>
      <c r="R82" s="9"/>
      <c r="S82" s="25"/>
      <c r="T82" s="10">
        <f t="shared" si="18"/>
        <v>1580</v>
      </c>
    </row>
    <row r="83" spans="2:20" outlineLevel="1" x14ac:dyDescent="0.25">
      <c r="B83" s="12" t="s">
        <v>30</v>
      </c>
      <c r="C83" s="7" t="s">
        <v>31</v>
      </c>
      <c r="D83" s="8">
        <v>46085</v>
      </c>
      <c r="E83" s="36">
        <f t="shared" si="19"/>
        <v>245151</v>
      </c>
      <c r="F83" s="36">
        <v>245553</v>
      </c>
      <c r="G83" s="35">
        <f t="shared" si="20"/>
        <v>402</v>
      </c>
      <c r="H83" s="15" t="s">
        <v>118</v>
      </c>
      <c r="I83" s="15" t="s">
        <v>40</v>
      </c>
      <c r="J83" s="10">
        <f t="shared" si="16"/>
        <v>4020</v>
      </c>
      <c r="K83" s="15"/>
      <c r="L83" s="14">
        <v>1</v>
      </c>
      <c r="M83" s="14"/>
      <c r="N83" s="15"/>
      <c r="O83" s="8"/>
      <c r="P83" s="17"/>
      <c r="Q83" s="9">
        <f t="shared" si="17"/>
        <v>4020</v>
      </c>
      <c r="R83" s="9"/>
      <c r="S83" s="25"/>
      <c r="T83" s="10">
        <f t="shared" si="18"/>
        <v>4020</v>
      </c>
    </row>
    <row r="84" spans="2:20" outlineLevel="1" x14ac:dyDescent="0.25">
      <c r="B84" s="12" t="s">
        <v>30</v>
      </c>
      <c r="C84" s="7" t="s">
        <v>31</v>
      </c>
      <c r="D84" s="8">
        <v>46085</v>
      </c>
      <c r="E84" s="36">
        <f t="shared" si="19"/>
        <v>245553</v>
      </c>
      <c r="F84" s="36">
        <v>245603</v>
      </c>
      <c r="G84" s="35">
        <f t="shared" si="20"/>
        <v>50</v>
      </c>
      <c r="H84" s="15" t="s">
        <v>119</v>
      </c>
      <c r="I84" s="15" t="s">
        <v>41</v>
      </c>
      <c r="J84" s="10">
        <f t="shared" si="16"/>
        <v>500</v>
      </c>
      <c r="K84" s="15"/>
      <c r="L84" s="14">
        <v>1</v>
      </c>
      <c r="M84" s="14"/>
      <c r="N84" s="15"/>
      <c r="O84" s="8"/>
      <c r="P84" s="17"/>
      <c r="Q84" s="9">
        <f t="shared" si="17"/>
        <v>800</v>
      </c>
      <c r="R84" s="9"/>
      <c r="S84" s="25"/>
      <c r="T84" s="10">
        <f t="shared" si="18"/>
        <v>800</v>
      </c>
    </row>
    <row r="85" spans="2:20" outlineLevel="1" x14ac:dyDescent="0.25">
      <c r="B85" s="12" t="s">
        <v>30</v>
      </c>
      <c r="C85" s="7" t="s">
        <v>31</v>
      </c>
      <c r="D85" s="8">
        <v>46086</v>
      </c>
      <c r="E85" s="36">
        <f t="shared" si="19"/>
        <v>245603</v>
      </c>
      <c r="F85" s="36">
        <v>245763</v>
      </c>
      <c r="G85" s="35">
        <f t="shared" si="20"/>
        <v>160</v>
      </c>
      <c r="H85" s="15" t="s">
        <v>120</v>
      </c>
      <c r="I85" s="15" t="s">
        <v>42</v>
      </c>
      <c r="J85" s="10">
        <f t="shared" si="16"/>
        <v>1600</v>
      </c>
      <c r="K85" s="15"/>
      <c r="L85" s="14">
        <v>1</v>
      </c>
      <c r="M85" s="14"/>
      <c r="N85" s="15"/>
      <c r="O85" s="8"/>
      <c r="P85" s="17"/>
      <c r="Q85" s="9">
        <f t="shared" si="17"/>
        <v>1600</v>
      </c>
      <c r="R85" s="9"/>
      <c r="S85" s="25"/>
      <c r="T85" s="10">
        <f t="shared" si="18"/>
        <v>1600</v>
      </c>
    </row>
    <row r="86" spans="2:20" outlineLevel="1" x14ac:dyDescent="0.25">
      <c r="B86" s="12" t="s">
        <v>30</v>
      </c>
      <c r="C86" s="7" t="s">
        <v>31</v>
      </c>
      <c r="D86" s="8">
        <v>46086</v>
      </c>
      <c r="E86" s="36">
        <f t="shared" si="19"/>
        <v>245763</v>
      </c>
      <c r="F86" s="36">
        <v>245844</v>
      </c>
      <c r="G86" s="35">
        <f t="shared" si="20"/>
        <v>81</v>
      </c>
      <c r="H86" s="15" t="s">
        <v>121</v>
      </c>
      <c r="I86" s="15" t="s">
        <v>43</v>
      </c>
      <c r="J86" s="10">
        <f t="shared" si="16"/>
        <v>810</v>
      </c>
      <c r="K86" s="15"/>
      <c r="L86" s="14">
        <v>1</v>
      </c>
      <c r="M86" s="14"/>
      <c r="N86" s="15"/>
      <c r="O86" s="8"/>
      <c r="P86" s="17"/>
      <c r="Q86" s="9">
        <f t="shared" si="17"/>
        <v>810</v>
      </c>
      <c r="R86" s="9"/>
      <c r="S86" s="25"/>
      <c r="T86" s="10">
        <f t="shared" si="18"/>
        <v>810</v>
      </c>
    </row>
    <row r="87" spans="2:20" outlineLevel="1" x14ac:dyDescent="0.25">
      <c r="B87" s="12" t="s">
        <v>30</v>
      </c>
      <c r="C87" s="7" t="s">
        <v>31</v>
      </c>
      <c r="D87" s="8">
        <v>46086</v>
      </c>
      <c r="E87" s="36">
        <f t="shared" si="19"/>
        <v>245844</v>
      </c>
      <c r="F87" s="36">
        <v>246193</v>
      </c>
      <c r="G87" s="35">
        <f t="shared" si="20"/>
        <v>349</v>
      </c>
      <c r="H87" s="15" t="s">
        <v>122</v>
      </c>
      <c r="I87" s="15" t="s">
        <v>44</v>
      </c>
      <c r="J87" s="10">
        <f t="shared" si="16"/>
        <v>3490</v>
      </c>
      <c r="K87" s="15"/>
      <c r="L87" s="14">
        <v>1</v>
      </c>
      <c r="M87" s="14"/>
      <c r="N87" s="15"/>
      <c r="O87" s="8"/>
      <c r="P87" s="17"/>
      <c r="Q87" s="9">
        <f t="shared" si="17"/>
        <v>3490</v>
      </c>
      <c r="R87" s="9"/>
      <c r="S87" s="25"/>
      <c r="T87" s="10">
        <f t="shared" si="18"/>
        <v>3490</v>
      </c>
    </row>
    <row r="88" spans="2:20" outlineLevel="1" x14ac:dyDescent="0.25">
      <c r="B88" s="12" t="s">
        <v>30</v>
      </c>
      <c r="C88" s="7" t="s">
        <v>31</v>
      </c>
      <c r="D88" s="8">
        <v>46087</v>
      </c>
      <c r="E88" s="36">
        <f t="shared" si="19"/>
        <v>246193</v>
      </c>
      <c r="F88" s="36">
        <v>246228</v>
      </c>
      <c r="G88" s="35">
        <f t="shared" si="20"/>
        <v>35</v>
      </c>
      <c r="H88" s="15" t="s">
        <v>123</v>
      </c>
      <c r="I88" s="15" t="s">
        <v>70</v>
      </c>
      <c r="J88" s="10">
        <f t="shared" si="16"/>
        <v>350</v>
      </c>
      <c r="K88" s="15"/>
      <c r="L88" s="14">
        <v>1</v>
      </c>
      <c r="M88" s="14"/>
      <c r="N88" s="15"/>
      <c r="O88" s="8"/>
      <c r="P88" s="17"/>
      <c r="Q88" s="9">
        <f t="shared" si="17"/>
        <v>800</v>
      </c>
      <c r="R88" s="9"/>
      <c r="S88" s="25"/>
      <c r="T88" s="10">
        <f t="shared" si="18"/>
        <v>800</v>
      </c>
    </row>
    <row r="89" spans="2:20" outlineLevel="1" x14ac:dyDescent="0.25">
      <c r="B89" s="12" t="s">
        <v>30</v>
      </c>
      <c r="C89" s="7" t="s">
        <v>31</v>
      </c>
      <c r="D89" s="8">
        <v>46088</v>
      </c>
      <c r="E89" s="36">
        <f t="shared" si="19"/>
        <v>246228</v>
      </c>
      <c r="F89" s="36">
        <v>246373</v>
      </c>
      <c r="G89" s="35">
        <f t="shared" si="20"/>
        <v>145</v>
      </c>
      <c r="H89" s="15" t="s">
        <v>124</v>
      </c>
      <c r="I89" s="15" t="s">
        <v>45</v>
      </c>
      <c r="J89" s="10">
        <f t="shared" si="16"/>
        <v>1450</v>
      </c>
      <c r="K89" s="15"/>
      <c r="L89" s="14">
        <v>1</v>
      </c>
      <c r="M89" s="14"/>
      <c r="N89" s="15"/>
      <c r="O89" s="8"/>
      <c r="P89" s="17"/>
      <c r="Q89" s="9">
        <f t="shared" si="17"/>
        <v>1450</v>
      </c>
      <c r="R89" s="9"/>
      <c r="S89" s="25"/>
      <c r="T89" s="10">
        <f t="shared" si="18"/>
        <v>1450</v>
      </c>
    </row>
    <row r="90" spans="2:20" outlineLevel="1" x14ac:dyDescent="0.25">
      <c r="B90" s="12" t="s">
        <v>30</v>
      </c>
      <c r="C90" s="7" t="s">
        <v>31</v>
      </c>
      <c r="D90" s="8">
        <v>46090</v>
      </c>
      <c r="E90" s="36">
        <f t="shared" si="19"/>
        <v>246373</v>
      </c>
      <c r="F90" s="36">
        <v>246590</v>
      </c>
      <c r="G90" s="35">
        <f t="shared" si="20"/>
        <v>217</v>
      </c>
      <c r="H90" s="15" t="s">
        <v>125</v>
      </c>
      <c r="I90" s="15" t="s">
        <v>46</v>
      </c>
      <c r="J90" s="10">
        <f t="shared" si="16"/>
        <v>2170</v>
      </c>
      <c r="K90" s="15"/>
      <c r="L90" s="14">
        <v>1</v>
      </c>
      <c r="M90" s="14"/>
      <c r="N90" s="15"/>
      <c r="O90" s="8"/>
      <c r="P90" s="17"/>
      <c r="Q90" s="9">
        <f t="shared" si="17"/>
        <v>2170</v>
      </c>
      <c r="R90" s="9"/>
      <c r="S90" s="25"/>
      <c r="T90" s="10">
        <f t="shared" si="18"/>
        <v>2170</v>
      </c>
    </row>
    <row r="91" spans="2:20" outlineLevel="1" x14ac:dyDescent="0.25">
      <c r="B91" s="12" t="s">
        <v>30</v>
      </c>
      <c r="C91" s="7" t="s">
        <v>31</v>
      </c>
      <c r="D91" s="8">
        <v>46091</v>
      </c>
      <c r="E91" s="36">
        <f t="shared" si="19"/>
        <v>246590</v>
      </c>
      <c r="F91" s="36">
        <v>246845</v>
      </c>
      <c r="G91" s="35">
        <f t="shared" si="20"/>
        <v>255</v>
      </c>
      <c r="H91" s="15" t="s">
        <v>126</v>
      </c>
      <c r="I91" s="15" t="s">
        <v>47</v>
      </c>
      <c r="J91" s="10">
        <f t="shared" si="16"/>
        <v>2550</v>
      </c>
      <c r="K91" s="15"/>
      <c r="L91" s="14">
        <v>1</v>
      </c>
      <c r="M91" s="14"/>
      <c r="N91" s="15"/>
      <c r="O91" s="8"/>
      <c r="P91" s="17"/>
      <c r="Q91" s="9">
        <f t="shared" si="17"/>
        <v>2550</v>
      </c>
      <c r="R91" s="9"/>
      <c r="S91" s="25"/>
      <c r="T91" s="10">
        <f t="shared" si="18"/>
        <v>2550</v>
      </c>
    </row>
    <row r="92" spans="2:20" outlineLevel="1" x14ac:dyDescent="0.25">
      <c r="B92" s="12" t="s">
        <v>30</v>
      </c>
      <c r="C92" s="7" t="s">
        <v>31</v>
      </c>
      <c r="D92" s="8">
        <v>46092</v>
      </c>
      <c r="E92" s="36">
        <f t="shared" si="19"/>
        <v>246845</v>
      </c>
      <c r="F92" s="36">
        <v>247104</v>
      </c>
      <c r="G92" s="35">
        <f t="shared" si="20"/>
        <v>259</v>
      </c>
      <c r="H92" s="15" t="s">
        <v>127</v>
      </c>
      <c r="I92" s="15" t="s">
        <v>46</v>
      </c>
      <c r="J92" s="10">
        <f t="shared" si="16"/>
        <v>2590</v>
      </c>
      <c r="K92" s="15"/>
      <c r="L92" s="14">
        <v>1</v>
      </c>
      <c r="M92" s="14"/>
      <c r="N92" s="15"/>
      <c r="O92" s="8"/>
      <c r="P92" s="17"/>
      <c r="Q92" s="9">
        <f t="shared" si="17"/>
        <v>2590</v>
      </c>
      <c r="R92" s="9"/>
      <c r="S92" s="25"/>
      <c r="T92" s="10">
        <f t="shared" si="18"/>
        <v>2590</v>
      </c>
    </row>
    <row r="93" spans="2:20" outlineLevel="1" x14ac:dyDescent="0.25">
      <c r="B93" s="12" t="s">
        <v>30</v>
      </c>
      <c r="C93" s="7" t="s">
        <v>31</v>
      </c>
      <c r="D93" s="8">
        <v>46092</v>
      </c>
      <c r="E93" s="36">
        <f t="shared" si="19"/>
        <v>247104</v>
      </c>
      <c r="F93" s="36">
        <v>247360</v>
      </c>
      <c r="G93" s="35">
        <f t="shared" si="20"/>
        <v>256</v>
      </c>
      <c r="H93" s="15" t="s">
        <v>126</v>
      </c>
      <c r="I93" s="15" t="s">
        <v>47</v>
      </c>
      <c r="J93" s="10">
        <f t="shared" si="16"/>
        <v>2560</v>
      </c>
      <c r="K93" s="15"/>
      <c r="L93" s="14">
        <v>1</v>
      </c>
      <c r="M93" s="14"/>
      <c r="N93" s="15"/>
      <c r="O93" s="8"/>
      <c r="P93" s="17"/>
      <c r="Q93" s="9">
        <f t="shared" si="17"/>
        <v>2560</v>
      </c>
      <c r="R93" s="9"/>
      <c r="S93" s="25"/>
      <c r="T93" s="10">
        <f t="shared" si="18"/>
        <v>2560</v>
      </c>
    </row>
    <row r="94" spans="2:20" outlineLevel="1" x14ac:dyDescent="0.25">
      <c r="B94" s="12" t="s">
        <v>30</v>
      </c>
      <c r="C94" s="7" t="s">
        <v>31</v>
      </c>
      <c r="D94" s="8">
        <v>46092</v>
      </c>
      <c r="E94" s="36">
        <f t="shared" si="19"/>
        <v>247360</v>
      </c>
      <c r="F94" s="36">
        <v>247548</v>
      </c>
      <c r="G94" s="35">
        <f t="shared" si="20"/>
        <v>188</v>
      </c>
      <c r="H94" s="15" t="s">
        <v>128</v>
      </c>
      <c r="I94" s="15" t="s">
        <v>48</v>
      </c>
      <c r="J94" s="10">
        <f t="shared" si="16"/>
        <v>1880</v>
      </c>
      <c r="K94" s="15"/>
      <c r="L94" s="14">
        <v>1</v>
      </c>
      <c r="M94" s="14"/>
      <c r="N94" s="15"/>
      <c r="O94" s="8"/>
      <c r="P94" s="17"/>
      <c r="Q94" s="9">
        <f t="shared" si="17"/>
        <v>1880</v>
      </c>
      <c r="R94" s="9"/>
      <c r="S94" s="25"/>
      <c r="T94" s="10">
        <f t="shared" si="18"/>
        <v>1880</v>
      </c>
    </row>
    <row r="95" spans="2:20" outlineLevel="1" x14ac:dyDescent="0.25">
      <c r="B95" s="12" t="s">
        <v>30</v>
      </c>
      <c r="C95" s="7" t="s">
        <v>31</v>
      </c>
      <c r="D95" s="8">
        <v>46093</v>
      </c>
      <c r="E95" s="36">
        <f t="shared" si="19"/>
        <v>247548</v>
      </c>
      <c r="F95" s="36">
        <v>247691</v>
      </c>
      <c r="G95" s="35">
        <f t="shared" si="20"/>
        <v>143</v>
      </c>
      <c r="H95" s="15" t="s">
        <v>129</v>
      </c>
      <c r="I95" s="15" t="s">
        <v>36</v>
      </c>
      <c r="J95" s="10">
        <f t="shared" si="16"/>
        <v>1430</v>
      </c>
      <c r="K95" s="15"/>
      <c r="L95" s="14">
        <v>1</v>
      </c>
      <c r="M95" s="14"/>
      <c r="N95" s="15"/>
      <c r="O95" s="8"/>
      <c r="P95" s="17"/>
      <c r="Q95" s="9">
        <f t="shared" si="17"/>
        <v>1430</v>
      </c>
      <c r="R95" s="9"/>
      <c r="S95" s="25"/>
      <c r="T95" s="10">
        <f t="shared" si="18"/>
        <v>1430</v>
      </c>
    </row>
    <row r="96" spans="2:20" outlineLevel="1" x14ac:dyDescent="0.25">
      <c r="B96" s="12" t="s">
        <v>30</v>
      </c>
      <c r="C96" s="7" t="s">
        <v>31</v>
      </c>
      <c r="D96" s="8">
        <v>46093</v>
      </c>
      <c r="E96" s="36">
        <f t="shared" si="19"/>
        <v>247691</v>
      </c>
      <c r="F96" s="36">
        <v>248025</v>
      </c>
      <c r="G96" s="35">
        <f t="shared" si="20"/>
        <v>334</v>
      </c>
      <c r="H96" s="15" t="s">
        <v>130</v>
      </c>
      <c r="I96" s="15" t="s">
        <v>49</v>
      </c>
      <c r="J96" s="10">
        <f t="shared" si="16"/>
        <v>3340</v>
      </c>
      <c r="K96" s="15"/>
      <c r="L96" s="14">
        <v>1</v>
      </c>
      <c r="M96" s="14"/>
      <c r="N96" s="15"/>
      <c r="O96" s="8"/>
      <c r="P96" s="17"/>
      <c r="Q96" s="9">
        <f t="shared" si="17"/>
        <v>3340</v>
      </c>
      <c r="R96" s="9"/>
      <c r="S96" s="25"/>
      <c r="T96" s="10">
        <f t="shared" si="18"/>
        <v>3340</v>
      </c>
    </row>
    <row r="97" spans="2:20" outlineLevel="1" x14ac:dyDescent="0.25">
      <c r="B97" s="12" t="s">
        <v>30</v>
      </c>
      <c r="C97" s="7" t="s">
        <v>31</v>
      </c>
      <c r="D97" s="8">
        <v>46094</v>
      </c>
      <c r="E97" s="36">
        <f t="shared" si="19"/>
        <v>248025</v>
      </c>
      <c r="F97" s="36">
        <v>248062</v>
      </c>
      <c r="G97" s="35">
        <f t="shared" si="20"/>
        <v>37</v>
      </c>
      <c r="H97" s="15" t="s">
        <v>131</v>
      </c>
      <c r="I97" s="15" t="s">
        <v>50</v>
      </c>
      <c r="J97" s="10">
        <f t="shared" si="16"/>
        <v>370</v>
      </c>
      <c r="K97" s="15"/>
      <c r="L97" s="14">
        <v>1</v>
      </c>
      <c r="M97" s="14"/>
      <c r="N97" s="15"/>
      <c r="O97" s="8"/>
      <c r="P97" s="17"/>
      <c r="Q97" s="9">
        <f t="shared" si="17"/>
        <v>800</v>
      </c>
      <c r="R97" s="9"/>
      <c r="S97" s="25"/>
      <c r="T97" s="10">
        <f t="shared" si="18"/>
        <v>800</v>
      </c>
    </row>
    <row r="98" spans="2:20" outlineLevel="1" x14ac:dyDescent="0.25">
      <c r="B98" s="12" t="s">
        <v>30</v>
      </c>
      <c r="C98" s="7" t="s">
        <v>31</v>
      </c>
      <c r="D98" s="8">
        <v>46094</v>
      </c>
      <c r="E98" s="36">
        <f t="shared" si="19"/>
        <v>248062</v>
      </c>
      <c r="F98" s="36">
        <v>248344</v>
      </c>
      <c r="G98" s="35">
        <f t="shared" si="20"/>
        <v>282</v>
      </c>
      <c r="H98" s="15" t="s">
        <v>132</v>
      </c>
      <c r="I98" s="15" t="s">
        <v>46</v>
      </c>
      <c r="J98" s="10">
        <f t="shared" si="16"/>
        <v>2820</v>
      </c>
      <c r="K98" s="15"/>
      <c r="L98" s="14">
        <v>1</v>
      </c>
      <c r="M98" s="14"/>
      <c r="N98" s="15"/>
      <c r="O98" s="8"/>
      <c r="P98" s="17"/>
      <c r="Q98" s="9">
        <f t="shared" si="17"/>
        <v>2820</v>
      </c>
      <c r="R98" s="9"/>
      <c r="S98" s="25"/>
      <c r="T98" s="10">
        <f t="shared" si="18"/>
        <v>2820</v>
      </c>
    </row>
    <row r="99" spans="2:20" outlineLevel="1" x14ac:dyDescent="0.25">
      <c r="B99" s="12" t="s">
        <v>30</v>
      </c>
      <c r="C99" s="7" t="s">
        <v>31</v>
      </c>
      <c r="D99" s="8">
        <v>46096</v>
      </c>
      <c r="E99" s="36">
        <f t="shared" si="19"/>
        <v>248344</v>
      </c>
      <c r="F99" s="36">
        <v>248536</v>
      </c>
      <c r="G99" s="35">
        <f t="shared" si="20"/>
        <v>192</v>
      </c>
      <c r="H99" s="15" t="s">
        <v>84</v>
      </c>
      <c r="I99" s="15" t="s">
        <v>51</v>
      </c>
      <c r="J99" s="10">
        <f t="shared" si="16"/>
        <v>1920</v>
      </c>
      <c r="K99" s="15"/>
      <c r="L99" s="14">
        <v>1</v>
      </c>
      <c r="M99" s="14"/>
      <c r="N99" s="15"/>
      <c r="O99" s="8"/>
      <c r="P99" s="17"/>
      <c r="Q99" s="9">
        <f t="shared" si="17"/>
        <v>1920</v>
      </c>
      <c r="R99" s="9"/>
      <c r="S99" s="25"/>
      <c r="T99" s="10">
        <f t="shared" si="18"/>
        <v>1920</v>
      </c>
    </row>
    <row r="100" spans="2:20" outlineLevel="1" x14ac:dyDescent="0.25">
      <c r="B100" s="12" t="s">
        <v>30</v>
      </c>
      <c r="C100" s="7" t="s">
        <v>31</v>
      </c>
      <c r="D100" s="8">
        <v>46097</v>
      </c>
      <c r="E100" s="36">
        <f t="shared" si="19"/>
        <v>248536</v>
      </c>
      <c r="F100" s="36">
        <v>248799</v>
      </c>
      <c r="G100" s="35">
        <f t="shared" si="20"/>
        <v>263</v>
      </c>
      <c r="H100" s="15" t="s">
        <v>133</v>
      </c>
      <c r="I100" s="15" t="s">
        <v>36</v>
      </c>
      <c r="J100" s="10">
        <f t="shared" si="16"/>
        <v>2630</v>
      </c>
      <c r="K100" s="15"/>
      <c r="L100" s="14">
        <v>1</v>
      </c>
      <c r="M100" s="14"/>
      <c r="N100" s="15"/>
      <c r="O100" s="8"/>
      <c r="P100" s="17"/>
      <c r="Q100" s="9">
        <f t="shared" si="17"/>
        <v>2630</v>
      </c>
      <c r="R100" s="9"/>
      <c r="S100" s="25"/>
      <c r="T100" s="10">
        <f t="shared" si="18"/>
        <v>2630</v>
      </c>
    </row>
    <row r="101" spans="2:20" outlineLevel="1" x14ac:dyDescent="0.25">
      <c r="B101" s="12" t="s">
        <v>30</v>
      </c>
      <c r="C101" s="7" t="s">
        <v>31</v>
      </c>
      <c r="D101" s="8">
        <v>46100</v>
      </c>
      <c r="E101" s="36">
        <f t="shared" si="19"/>
        <v>248799</v>
      </c>
      <c r="F101" s="36">
        <v>249203</v>
      </c>
      <c r="G101" s="35">
        <f t="shared" si="20"/>
        <v>404</v>
      </c>
      <c r="H101" s="15" t="s">
        <v>134</v>
      </c>
      <c r="I101" s="15" t="s">
        <v>24</v>
      </c>
      <c r="J101" s="10">
        <f t="shared" si="16"/>
        <v>4040</v>
      </c>
      <c r="K101" s="15"/>
      <c r="L101" s="14">
        <v>1</v>
      </c>
      <c r="M101" s="14"/>
      <c r="N101" s="15"/>
      <c r="O101" s="8"/>
      <c r="P101" s="17"/>
      <c r="Q101" s="9">
        <f t="shared" si="17"/>
        <v>4040</v>
      </c>
      <c r="R101" s="9"/>
      <c r="S101" s="25"/>
      <c r="T101" s="10">
        <f t="shared" si="18"/>
        <v>4040</v>
      </c>
    </row>
    <row r="102" spans="2:20" outlineLevel="1" x14ac:dyDescent="0.25">
      <c r="B102" s="12" t="s">
        <v>30</v>
      </c>
      <c r="C102" s="7" t="s">
        <v>31</v>
      </c>
      <c r="D102" s="8">
        <v>46101</v>
      </c>
      <c r="E102" s="36">
        <f t="shared" si="19"/>
        <v>249203</v>
      </c>
      <c r="F102" s="36">
        <v>249544</v>
      </c>
      <c r="G102" s="35">
        <f t="shared" si="20"/>
        <v>341</v>
      </c>
      <c r="H102" s="15" t="s">
        <v>135</v>
      </c>
      <c r="I102" s="15" t="s">
        <v>36</v>
      </c>
      <c r="J102" s="10">
        <f t="shared" si="16"/>
        <v>3410</v>
      </c>
      <c r="K102" s="15"/>
      <c r="L102" s="14">
        <v>1</v>
      </c>
      <c r="M102" s="14"/>
      <c r="N102" s="15"/>
      <c r="O102" s="8"/>
      <c r="P102" s="17"/>
      <c r="Q102" s="9">
        <f t="shared" si="17"/>
        <v>3410</v>
      </c>
      <c r="R102" s="9"/>
      <c r="S102" s="25"/>
      <c r="T102" s="10">
        <f t="shared" si="18"/>
        <v>3410</v>
      </c>
    </row>
    <row r="103" spans="2:20" outlineLevel="1" x14ac:dyDescent="0.25">
      <c r="B103" s="12" t="s">
        <v>30</v>
      </c>
      <c r="C103" s="7" t="s">
        <v>31</v>
      </c>
      <c r="D103" s="8">
        <v>46105</v>
      </c>
      <c r="E103" s="36">
        <f>F102</f>
        <v>249544</v>
      </c>
      <c r="F103" s="36">
        <v>249711</v>
      </c>
      <c r="G103" s="35">
        <f t="shared" si="20"/>
        <v>167</v>
      </c>
      <c r="H103" s="15" t="s">
        <v>136</v>
      </c>
      <c r="I103" s="15" t="s">
        <v>52</v>
      </c>
      <c r="J103" s="10">
        <f t="shared" si="16"/>
        <v>1670</v>
      </c>
      <c r="K103" s="15"/>
      <c r="L103" s="14">
        <v>1</v>
      </c>
      <c r="M103" s="14"/>
      <c r="N103" s="15"/>
      <c r="O103" s="8"/>
      <c r="P103" s="17"/>
      <c r="Q103" s="9">
        <f t="shared" si="17"/>
        <v>1670</v>
      </c>
      <c r="R103" s="9"/>
      <c r="S103" s="25"/>
      <c r="T103" s="10">
        <f t="shared" si="18"/>
        <v>1670</v>
      </c>
    </row>
    <row r="104" spans="2:20" outlineLevel="1" x14ac:dyDescent="0.25">
      <c r="B104" s="12" t="s">
        <v>30</v>
      </c>
      <c r="C104" s="7" t="s">
        <v>31</v>
      </c>
      <c r="D104" s="8">
        <v>46105</v>
      </c>
      <c r="E104" s="36">
        <f t="shared" si="19"/>
        <v>249711</v>
      </c>
      <c r="F104" s="36">
        <v>249721</v>
      </c>
      <c r="G104" s="35">
        <f t="shared" si="20"/>
        <v>10</v>
      </c>
      <c r="H104" s="15" t="s">
        <v>137</v>
      </c>
      <c r="I104" s="15" t="s">
        <v>52</v>
      </c>
      <c r="J104" s="10">
        <f t="shared" si="16"/>
        <v>100</v>
      </c>
      <c r="K104" s="15"/>
      <c r="L104" s="14">
        <v>1</v>
      </c>
      <c r="M104" s="14"/>
      <c r="N104" s="15"/>
      <c r="O104" s="8"/>
      <c r="P104" s="17"/>
      <c r="Q104" s="9">
        <f t="shared" si="17"/>
        <v>800</v>
      </c>
      <c r="R104" s="9"/>
      <c r="S104" s="25"/>
      <c r="T104" s="10">
        <f t="shared" si="18"/>
        <v>800</v>
      </c>
    </row>
    <row r="105" spans="2:20" outlineLevel="1" x14ac:dyDescent="0.25">
      <c r="B105" s="12" t="s">
        <v>30</v>
      </c>
      <c r="C105" s="7" t="s">
        <v>31</v>
      </c>
      <c r="D105" s="8">
        <v>46105</v>
      </c>
      <c r="E105" s="36">
        <f t="shared" si="19"/>
        <v>249721</v>
      </c>
      <c r="F105" s="36">
        <v>249887</v>
      </c>
      <c r="G105" s="35">
        <f t="shared" si="20"/>
        <v>166</v>
      </c>
      <c r="H105" s="15" t="s">
        <v>133</v>
      </c>
      <c r="I105" s="15" t="s">
        <v>45</v>
      </c>
      <c r="J105" s="10">
        <f t="shared" si="16"/>
        <v>1660</v>
      </c>
      <c r="K105" s="15"/>
      <c r="L105" s="14">
        <v>1</v>
      </c>
      <c r="M105" s="14"/>
      <c r="N105" s="15"/>
      <c r="O105" s="8"/>
      <c r="P105" s="17"/>
      <c r="Q105" s="9">
        <f t="shared" si="17"/>
        <v>1660</v>
      </c>
      <c r="R105" s="9"/>
      <c r="S105" s="25"/>
      <c r="T105" s="10">
        <f t="shared" si="18"/>
        <v>1660</v>
      </c>
    </row>
    <row r="106" spans="2:20" outlineLevel="1" x14ac:dyDescent="0.25">
      <c r="B106" s="12" t="s">
        <v>30</v>
      </c>
      <c r="C106" s="7" t="s">
        <v>31</v>
      </c>
      <c r="D106" s="8">
        <v>46105</v>
      </c>
      <c r="E106" s="36">
        <f t="shared" si="19"/>
        <v>249887</v>
      </c>
      <c r="F106" s="36">
        <v>250229</v>
      </c>
      <c r="G106" s="35">
        <f t="shared" si="20"/>
        <v>342</v>
      </c>
      <c r="H106" s="15" t="s">
        <v>138</v>
      </c>
      <c r="I106" s="15" t="s">
        <v>54</v>
      </c>
      <c r="J106" s="10">
        <f t="shared" si="16"/>
        <v>3420</v>
      </c>
      <c r="K106" s="15"/>
      <c r="L106" s="14">
        <v>1</v>
      </c>
      <c r="M106" s="14"/>
      <c r="N106" s="15"/>
      <c r="O106" s="8"/>
      <c r="P106" s="17"/>
      <c r="Q106" s="9">
        <f t="shared" si="17"/>
        <v>3420</v>
      </c>
      <c r="R106" s="9"/>
      <c r="S106" s="25"/>
      <c r="T106" s="10">
        <f t="shared" si="18"/>
        <v>3420</v>
      </c>
    </row>
    <row r="107" spans="2:20" outlineLevel="1" x14ac:dyDescent="0.25">
      <c r="B107" s="12" t="s">
        <v>30</v>
      </c>
      <c r="C107" s="7" t="s">
        <v>31</v>
      </c>
      <c r="D107" s="8">
        <v>46106</v>
      </c>
      <c r="E107" s="36">
        <f t="shared" si="19"/>
        <v>250229</v>
      </c>
      <c r="F107" s="36">
        <v>250538</v>
      </c>
      <c r="G107" s="35">
        <f t="shared" si="20"/>
        <v>309</v>
      </c>
      <c r="H107" s="15" t="s">
        <v>139</v>
      </c>
      <c r="I107" s="15" t="s">
        <v>53</v>
      </c>
      <c r="J107" s="10">
        <f t="shared" si="16"/>
        <v>3090</v>
      </c>
      <c r="K107" s="15"/>
      <c r="L107" s="14">
        <v>1</v>
      </c>
      <c r="M107" s="14"/>
      <c r="N107" s="15"/>
      <c r="O107" s="8"/>
      <c r="P107" s="17"/>
      <c r="Q107" s="9">
        <f t="shared" si="17"/>
        <v>3090</v>
      </c>
      <c r="R107" s="9"/>
      <c r="S107" s="25"/>
      <c r="T107" s="10">
        <f t="shared" si="18"/>
        <v>3090</v>
      </c>
    </row>
    <row r="108" spans="2:20" outlineLevel="1" x14ac:dyDescent="0.25">
      <c r="B108" s="12" t="s">
        <v>30</v>
      </c>
      <c r="C108" s="7" t="s">
        <v>31</v>
      </c>
      <c r="D108" s="8">
        <v>46106</v>
      </c>
      <c r="E108" s="36">
        <f t="shared" si="19"/>
        <v>250538</v>
      </c>
      <c r="F108" s="36">
        <v>250501</v>
      </c>
      <c r="G108" s="35">
        <f t="shared" si="20"/>
        <v>-37</v>
      </c>
      <c r="H108" s="15" t="s">
        <v>140</v>
      </c>
      <c r="I108" s="15" t="s">
        <v>55</v>
      </c>
      <c r="J108" s="10">
        <f t="shared" si="16"/>
        <v>-370</v>
      </c>
      <c r="K108" s="15"/>
      <c r="L108" s="14">
        <v>1</v>
      </c>
      <c r="M108" s="14"/>
      <c r="N108" s="15"/>
      <c r="O108" s="8"/>
      <c r="P108" s="17"/>
      <c r="Q108" s="9">
        <f t="shared" si="17"/>
        <v>800</v>
      </c>
      <c r="R108" s="9"/>
      <c r="S108" s="25"/>
      <c r="T108" s="10">
        <f t="shared" si="18"/>
        <v>800</v>
      </c>
    </row>
    <row r="109" spans="2:20" outlineLevel="1" x14ac:dyDescent="0.25">
      <c r="B109" s="12" t="s">
        <v>30</v>
      </c>
      <c r="C109" s="7" t="s">
        <v>31</v>
      </c>
      <c r="D109" s="8">
        <v>46106</v>
      </c>
      <c r="E109" s="36">
        <f t="shared" si="19"/>
        <v>250501</v>
      </c>
      <c r="F109" s="36">
        <v>250754</v>
      </c>
      <c r="G109" s="35">
        <f t="shared" si="20"/>
        <v>253</v>
      </c>
      <c r="H109" s="15" t="s">
        <v>141</v>
      </c>
      <c r="I109" s="15" t="s">
        <v>53</v>
      </c>
      <c r="J109" s="10">
        <f t="shared" si="16"/>
        <v>2530</v>
      </c>
      <c r="K109" s="15"/>
      <c r="L109" s="14">
        <v>1</v>
      </c>
      <c r="M109" s="14"/>
      <c r="N109" s="15"/>
      <c r="O109" s="8"/>
      <c r="P109" s="17"/>
      <c r="Q109" s="9">
        <f t="shared" si="17"/>
        <v>2530</v>
      </c>
      <c r="R109" s="9"/>
      <c r="S109" s="25"/>
      <c r="T109" s="10">
        <f t="shared" si="18"/>
        <v>2530</v>
      </c>
    </row>
    <row r="110" spans="2:20" outlineLevel="1" x14ac:dyDescent="0.25">
      <c r="B110" s="12" t="s">
        <v>30</v>
      </c>
      <c r="C110" s="7" t="s">
        <v>31</v>
      </c>
      <c r="D110" s="8">
        <v>46107</v>
      </c>
      <c r="E110" s="36">
        <f t="shared" si="19"/>
        <v>250754</v>
      </c>
      <c r="F110" s="36">
        <v>250899</v>
      </c>
      <c r="G110" s="35">
        <f t="shared" si="20"/>
        <v>145</v>
      </c>
      <c r="H110" s="15" t="s">
        <v>142</v>
      </c>
      <c r="I110" s="15" t="s">
        <v>56</v>
      </c>
      <c r="J110" s="10">
        <f t="shared" si="16"/>
        <v>1450</v>
      </c>
      <c r="K110" s="15"/>
      <c r="L110" s="14">
        <v>1</v>
      </c>
      <c r="M110" s="14"/>
      <c r="N110" s="16"/>
      <c r="O110" s="8"/>
      <c r="P110" s="17"/>
      <c r="Q110" s="9">
        <f t="shared" si="17"/>
        <v>1450</v>
      </c>
      <c r="R110" s="9"/>
      <c r="S110" s="25"/>
      <c r="T110" s="10">
        <f t="shared" si="18"/>
        <v>1450</v>
      </c>
    </row>
    <row r="111" spans="2:20" outlineLevel="1" x14ac:dyDescent="0.25">
      <c r="B111" s="12" t="s">
        <v>30</v>
      </c>
      <c r="C111" s="7" t="s">
        <v>31</v>
      </c>
      <c r="D111" s="8">
        <v>46107</v>
      </c>
      <c r="E111" s="36">
        <f t="shared" si="19"/>
        <v>250899</v>
      </c>
      <c r="F111" s="36">
        <v>250969</v>
      </c>
      <c r="G111" s="35">
        <f t="shared" ref="G111:G122" si="21">F111-E111</f>
        <v>70</v>
      </c>
      <c r="H111" s="15" t="s">
        <v>143</v>
      </c>
      <c r="I111" s="15" t="s">
        <v>57</v>
      </c>
      <c r="J111" s="10">
        <f t="shared" si="16"/>
        <v>700</v>
      </c>
      <c r="K111" s="15"/>
      <c r="L111" s="14">
        <v>1</v>
      </c>
      <c r="M111" s="14"/>
      <c r="N111" s="16"/>
      <c r="O111" s="8"/>
      <c r="P111" s="17"/>
      <c r="Q111" s="9">
        <f t="shared" si="17"/>
        <v>800</v>
      </c>
      <c r="R111" s="9"/>
      <c r="S111" s="25"/>
      <c r="T111" s="10">
        <f t="shared" si="18"/>
        <v>800</v>
      </c>
    </row>
    <row r="112" spans="2:20" outlineLevel="1" x14ac:dyDescent="0.25">
      <c r="B112" s="12" t="s">
        <v>30</v>
      </c>
      <c r="C112" s="7" t="s">
        <v>31</v>
      </c>
      <c r="D112" s="8">
        <v>46107</v>
      </c>
      <c r="E112" s="36">
        <f t="shared" si="19"/>
        <v>250969</v>
      </c>
      <c r="F112" s="36">
        <v>251123</v>
      </c>
      <c r="G112" s="35">
        <f t="shared" si="21"/>
        <v>154</v>
      </c>
      <c r="H112" s="15" t="s">
        <v>144</v>
      </c>
      <c r="I112" s="15" t="s">
        <v>36</v>
      </c>
      <c r="J112" s="10">
        <f t="shared" si="16"/>
        <v>1540</v>
      </c>
      <c r="K112" s="15"/>
      <c r="L112" s="14">
        <v>1</v>
      </c>
      <c r="M112" s="14"/>
      <c r="N112" s="16"/>
      <c r="O112" s="8"/>
      <c r="P112" s="17"/>
      <c r="Q112" s="9">
        <f t="shared" si="17"/>
        <v>1540</v>
      </c>
      <c r="R112" s="9"/>
      <c r="S112" s="25"/>
      <c r="T112" s="10">
        <f t="shared" si="18"/>
        <v>1540</v>
      </c>
    </row>
    <row r="113" spans="2:20" outlineLevel="1" x14ac:dyDescent="0.25">
      <c r="B113" s="12" t="s">
        <v>30</v>
      </c>
      <c r="C113" s="7" t="s">
        <v>31</v>
      </c>
      <c r="D113" s="8">
        <v>46108</v>
      </c>
      <c r="E113" s="36">
        <f t="shared" si="19"/>
        <v>251123</v>
      </c>
      <c r="F113" s="36">
        <v>251360</v>
      </c>
      <c r="G113" s="35">
        <f t="shared" si="21"/>
        <v>237</v>
      </c>
      <c r="H113" s="15" t="s">
        <v>145</v>
      </c>
      <c r="I113" s="15" t="s">
        <v>58</v>
      </c>
      <c r="J113" s="10">
        <f t="shared" si="16"/>
        <v>2370</v>
      </c>
      <c r="K113" s="15"/>
      <c r="L113" s="14">
        <v>1</v>
      </c>
      <c r="M113" s="14"/>
      <c r="N113" s="16"/>
      <c r="O113" s="8"/>
      <c r="P113" s="17"/>
      <c r="Q113" s="9">
        <f t="shared" si="17"/>
        <v>2370</v>
      </c>
      <c r="R113" s="9"/>
      <c r="S113" s="25"/>
      <c r="T113" s="10">
        <f t="shared" si="18"/>
        <v>2370</v>
      </c>
    </row>
    <row r="114" spans="2:20" outlineLevel="1" x14ac:dyDescent="0.25">
      <c r="B114" s="12" t="s">
        <v>30</v>
      </c>
      <c r="C114" s="7" t="s">
        <v>31</v>
      </c>
      <c r="D114" s="8">
        <v>46108</v>
      </c>
      <c r="E114" s="36">
        <f t="shared" si="19"/>
        <v>251360</v>
      </c>
      <c r="F114" s="36">
        <v>251911</v>
      </c>
      <c r="G114" s="35">
        <f t="shared" si="21"/>
        <v>551</v>
      </c>
      <c r="H114" s="15" t="s">
        <v>146</v>
      </c>
      <c r="I114" s="15" t="s">
        <v>24</v>
      </c>
      <c r="J114" s="10">
        <f t="shared" si="16"/>
        <v>5510</v>
      </c>
      <c r="K114" s="15"/>
      <c r="L114" s="14">
        <v>1</v>
      </c>
      <c r="M114" s="14"/>
      <c r="N114" s="16"/>
      <c r="O114" s="8"/>
      <c r="P114" s="17"/>
      <c r="Q114" s="9">
        <f t="shared" si="17"/>
        <v>5510</v>
      </c>
      <c r="R114" s="9"/>
      <c r="S114" s="25"/>
      <c r="T114" s="10">
        <f t="shared" si="18"/>
        <v>5510</v>
      </c>
    </row>
    <row r="115" spans="2:20" outlineLevel="1" x14ac:dyDescent="0.25">
      <c r="B115" s="12" t="s">
        <v>30</v>
      </c>
      <c r="C115" s="7" t="s">
        <v>31</v>
      </c>
      <c r="D115" s="8">
        <v>46109</v>
      </c>
      <c r="E115" s="36">
        <f t="shared" si="19"/>
        <v>251911</v>
      </c>
      <c r="F115" s="36">
        <v>252497</v>
      </c>
      <c r="G115" s="35">
        <f t="shared" si="21"/>
        <v>586</v>
      </c>
      <c r="H115" s="15" t="s">
        <v>147</v>
      </c>
      <c r="I115" s="15" t="s">
        <v>58</v>
      </c>
      <c r="J115" s="10">
        <f t="shared" si="16"/>
        <v>5860</v>
      </c>
      <c r="K115" s="15"/>
      <c r="L115" s="14">
        <v>1</v>
      </c>
      <c r="M115" s="14"/>
      <c r="N115" s="16"/>
      <c r="O115" s="8"/>
      <c r="P115" s="17"/>
      <c r="Q115" s="9">
        <f t="shared" si="17"/>
        <v>5860</v>
      </c>
      <c r="R115" s="9"/>
      <c r="S115" s="25"/>
      <c r="T115" s="10">
        <f t="shared" si="18"/>
        <v>5860</v>
      </c>
    </row>
    <row r="116" spans="2:20" outlineLevel="1" x14ac:dyDescent="0.25">
      <c r="B116" s="12" t="s">
        <v>30</v>
      </c>
      <c r="C116" s="7" t="s">
        <v>31</v>
      </c>
      <c r="D116" s="8">
        <v>46111</v>
      </c>
      <c r="E116" s="36">
        <f t="shared" si="19"/>
        <v>252497</v>
      </c>
      <c r="F116" s="36">
        <v>252521</v>
      </c>
      <c r="G116" s="35">
        <f t="shared" si="21"/>
        <v>24</v>
      </c>
      <c r="H116" s="15" t="s">
        <v>148</v>
      </c>
      <c r="I116" s="15" t="s">
        <v>58</v>
      </c>
      <c r="J116" s="10">
        <f t="shared" si="16"/>
        <v>240</v>
      </c>
      <c r="K116" s="15"/>
      <c r="L116" s="14">
        <v>1</v>
      </c>
      <c r="M116" s="14"/>
      <c r="N116" s="16"/>
      <c r="O116" s="8"/>
      <c r="P116" s="17"/>
      <c r="Q116" s="9">
        <f t="shared" si="17"/>
        <v>800</v>
      </c>
      <c r="R116" s="9"/>
      <c r="S116" s="25"/>
      <c r="T116" s="10">
        <f t="shared" si="18"/>
        <v>800</v>
      </c>
    </row>
    <row r="117" spans="2:20" outlineLevel="1" x14ac:dyDescent="0.25">
      <c r="B117" s="12" t="s">
        <v>30</v>
      </c>
      <c r="C117" s="7" t="s">
        <v>31</v>
      </c>
      <c r="D117" s="8">
        <v>46111</v>
      </c>
      <c r="E117" s="36">
        <f t="shared" si="19"/>
        <v>252521</v>
      </c>
      <c r="F117" s="36">
        <v>252548</v>
      </c>
      <c r="G117" s="35">
        <f t="shared" si="21"/>
        <v>27</v>
      </c>
      <c r="H117" s="15" t="s">
        <v>148</v>
      </c>
      <c r="I117" s="15" t="s">
        <v>53</v>
      </c>
      <c r="J117" s="10">
        <f t="shared" si="16"/>
        <v>270</v>
      </c>
      <c r="K117" s="15"/>
      <c r="L117" s="14">
        <v>1</v>
      </c>
      <c r="M117" s="14"/>
      <c r="N117" s="16"/>
      <c r="O117" s="8"/>
      <c r="P117" s="17"/>
      <c r="Q117" s="9">
        <f t="shared" si="17"/>
        <v>800</v>
      </c>
      <c r="R117" s="9"/>
      <c r="S117" s="25"/>
      <c r="T117" s="10">
        <f t="shared" si="18"/>
        <v>800</v>
      </c>
    </row>
    <row r="118" spans="2:20" outlineLevel="1" x14ac:dyDescent="0.25">
      <c r="B118" s="12" t="s">
        <v>30</v>
      </c>
      <c r="C118" s="7" t="s">
        <v>31</v>
      </c>
      <c r="D118" s="8">
        <v>46111</v>
      </c>
      <c r="E118" s="36">
        <f t="shared" si="19"/>
        <v>252548</v>
      </c>
      <c r="F118" s="36">
        <v>252575</v>
      </c>
      <c r="G118" s="35">
        <f t="shared" si="21"/>
        <v>27</v>
      </c>
      <c r="H118" s="15" t="s">
        <v>148</v>
      </c>
      <c r="I118" s="15" t="s">
        <v>53</v>
      </c>
      <c r="J118" s="10">
        <f t="shared" si="16"/>
        <v>270</v>
      </c>
      <c r="K118" s="15"/>
      <c r="L118" s="14">
        <v>1</v>
      </c>
      <c r="M118" s="14"/>
      <c r="N118" s="16"/>
      <c r="O118" s="8"/>
      <c r="P118" s="17"/>
      <c r="Q118" s="9">
        <f t="shared" si="17"/>
        <v>800</v>
      </c>
      <c r="R118" s="9"/>
      <c r="S118" s="25"/>
      <c r="T118" s="10">
        <f t="shared" si="18"/>
        <v>800</v>
      </c>
    </row>
    <row r="119" spans="2:20" outlineLevel="1" x14ac:dyDescent="0.25">
      <c r="B119" s="12" t="s">
        <v>30</v>
      </c>
      <c r="C119" s="7" t="s">
        <v>31</v>
      </c>
      <c r="D119" s="8">
        <v>46111</v>
      </c>
      <c r="E119" s="36">
        <f t="shared" si="19"/>
        <v>252575</v>
      </c>
      <c r="F119" s="36">
        <v>252601</v>
      </c>
      <c r="G119" s="35">
        <f t="shared" si="21"/>
        <v>26</v>
      </c>
      <c r="H119" s="15" t="s">
        <v>148</v>
      </c>
      <c r="I119" s="15" t="s">
        <v>53</v>
      </c>
      <c r="J119" s="10">
        <f t="shared" si="16"/>
        <v>260</v>
      </c>
      <c r="K119" s="15"/>
      <c r="L119" s="14">
        <v>1</v>
      </c>
      <c r="M119" s="14"/>
      <c r="N119" s="16"/>
      <c r="O119" s="8"/>
      <c r="P119" s="17"/>
      <c r="Q119" s="9">
        <f t="shared" si="17"/>
        <v>800</v>
      </c>
      <c r="R119" s="9"/>
      <c r="S119" s="25"/>
      <c r="T119" s="10">
        <f t="shared" si="18"/>
        <v>800</v>
      </c>
    </row>
    <row r="120" spans="2:20" outlineLevel="1" x14ac:dyDescent="0.25">
      <c r="B120" s="12" t="s">
        <v>30</v>
      </c>
      <c r="C120" s="7" t="s">
        <v>31</v>
      </c>
      <c r="D120" s="8">
        <v>46112</v>
      </c>
      <c r="E120" s="36">
        <f t="shared" si="19"/>
        <v>252601</v>
      </c>
      <c r="F120" s="36">
        <v>252894</v>
      </c>
      <c r="G120" s="35">
        <f t="shared" si="21"/>
        <v>293</v>
      </c>
      <c r="H120" s="15" t="s">
        <v>149</v>
      </c>
      <c r="I120" s="15" t="s">
        <v>59</v>
      </c>
      <c r="J120" s="10">
        <f t="shared" si="16"/>
        <v>2930</v>
      </c>
      <c r="K120" s="15"/>
      <c r="L120" s="14">
        <v>1</v>
      </c>
      <c r="M120" s="14"/>
      <c r="N120" s="16"/>
      <c r="O120" s="8"/>
      <c r="P120" s="17"/>
      <c r="Q120" s="9">
        <f t="shared" si="17"/>
        <v>2930</v>
      </c>
      <c r="R120" s="9"/>
      <c r="S120" s="25"/>
      <c r="T120" s="10">
        <f t="shared" si="18"/>
        <v>2930</v>
      </c>
    </row>
    <row r="121" spans="2:20" outlineLevel="1" x14ac:dyDescent="0.25">
      <c r="B121" s="12" t="s">
        <v>30</v>
      </c>
      <c r="C121" s="7" t="s">
        <v>31</v>
      </c>
      <c r="D121" s="8">
        <v>46112</v>
      </c>
      <c r="E121" s="36">
        <f t="shared" si="19"/>
        <v>252894</v>
      </c>
      <c r="F121" s="36">
        <v>252924</v>
      </c>
      <c r="G121" s="35">
        <f t="shared" si="21"/>
        <v>30</v>
      </c>
      <c r="H121" s="15" t="s">
        <v>150</v>
      </c>
      <c r="I121" s="15" t="s">
        <v>43</v>
      </c>
      <c r="J121" s="10">
        <f t="shared" si="16"/>
        <v>300</v>
      </c>
      <c r="K121" s="15"/>
      <c r="L121" s="14">
        <v>1</v>
      </c>
      <c r="M121" s="14"/>
      <c r="N121" s="16"/>
      <c r="O121" s="8"/>
      <c r="P121" s="17"/>
      <c r="Q121" s="9">
        <f t="shared" si="17"/>
        <v>800</v>
      </c>
      <c r="R121" s="9"/>
      <c r="S121" s="25"/>
      <c r="T121" s="10">
        <f t="shared" si="18"/>
        <v>800</v>
      </c>
    </row>
    <row r="122" spans="2:20" outlineLevel="1" x14ac:dyDescent="0.25">
      <c r="B122" s="12" t="s">
        <v>30</v>
      </c>
      <c r="C122" s="7" t="s">
        <v>31</v>
      </c>
      <c r="D122" s="8">
        <v>46112</v>
      </c>
      <c r="E122" s="36">
        <f t="shared" si="19"/>
        <v>252924</v>
      </c>
      <c r="F122" s="36">
        <v>253368</v>
      </c>
      <c r="G122" s="35">
        <f t="shared" si="21"/>
        <v>444</v>
      </c>
      <c r="H122" s="15" t="s">
        <v>151</v>
      </c>
      <c r="I122" s="15" t="s">
        <v>36</v>
      </c>
      <c r="J122" s="10">
        <f t="shared" si="16"/>
        <v>4440</v>
      </c>
      <c r="K122" s="15"/>
      <c r="L122" s="14">
        <v>1</v>
      </c>
      <c r="M122" s="14"/>
      <c r="N122" s="16"/>
      <c r="O122" s="8"/>
      <c r="P122" s="17"/>
      <c r="Q122" s="9">
        <f t="shared" si="17"/>
        <v>4440</v>
      </c>
      <c r="R122" s="9"/>
      <c r="S122" s="25"/>
      <c r="T122" s="10">
        <f t="shared" si="18"/>
        <v>4440</v>
      </c>
    </row>
    <row r="123" spans="2:20" x14ac:dyDescent="0.25">
      <c r="D123" s="1"/>
      <c r="E123" s="29"/>
      <c r="F123" s="29"/>
      <c r="G123" s="29"/>
      <c r="H123" s="30"/>
      <c r="I123" s="30"/>
      <c r="J123" s="31"/>
      <c r="K123" s="30"/>
      <c r="L123" s="29"/>
      <c r="M123" s="29"/>
      <c r="N123" s="32"/>
      <c r="O123" s="1"/>
      <c r="P123" s="33"/>
      <c r="Q123" s="27"/>
      <c r="R123" s="27"/>
      <c r="S123" s="34"/>
      <c r="T123" s="31"/>
    </row>
  </sheetData>
  <mergeCells count="9">
    <mergeCell ref="N78:P78"/>
    <mergeCell ref="R78:T78"/>
    <mergeCell ref="N43:P43"/>
    <mergeCell ref="R43:T43"/>
    <mergeCell ref="B1:M3"/>
    <mergeCell ref="N1:T3"/>
    <mergeCell ref="B4:M4"/>
    <mergeCell ref="N6:P6"/>
    <mergeCell ref="R6:T6"/>
  </mergeCells>
  <phoneticPr fontId="6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1" manualBreakCount="1">
    <brk id="3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2169-1C65-4FD1-883D-3046242BFAF0}">
  <sheetPr>
    <tabColor theme="5" tint="-0.249977111117893"/>
  </sheetPr>
  <dimension ref="A2:H35"/>
  <sheetViews>
    <sheetView showGridLines="0" tabSelected="1" view="pageBreakPreview" zoomScale="70" zoomScaleNormal="55" zoomScaleSheetLayoutView="70" workbookViewId="0">
      <selection activeCell="H30" sqref="H30"/>
    </sheetView>
  </sheetViews>
  <sheetFormatPr defaultRowHeight="15" x14ac:dyDescent="0.25"/>
  <cols>
    <col min="1" max="1" width="67" bestFit="1" customWidth="1"/>
    <col min="2" max="2" width="76.28515625" bestFit="1" customWidth="1"/>
    <col min="3" max="3" width="47.140625" bestFit="1" customWidth="1"/>
    <col min="4" max="4" width="15.28515625" customWidth="1"/>
    <col min="5" max="5" width="17" bestFit="1" customWidth="1"/>
    <col min="6" max="6" width="19.7109375" style="20" bestFit="1" customWidth="1"/>
    <col min="7" max="7" width="19.7109375" bestFit="1" customWidth="1"/>
    <col min="8" max="9" width="18.85546875" bestFit="1" customWidth="1"/>
    <col min="11" max="11" width="9.28515625" bestFit="1" customWidth="1"/>
  </cols>
  <sheetData>
    <row r="2" spans="1:8" x14ac:dyDescent="0.25">
      <c r="A2" s="19" t="s">
        <v>18</v>
      </c>
      <c r="B2" s="62"/>
      <c r="C2" s="62"/>
      <c r="D2" s="62"/>
      <c r="E2" s="63" t="s">
        <v>19</v>
      </c>
      <c r="F2" s="64"/>
      <c r="G2" s="28">
        <v>46082</v>
      </c>
      <c r="H2" s="28">
        <v>46112</v>
      </c>
    </row>
    <row r="3" spans="1:8" ht="30" x14ac:dyDescent="0.25">
      <c r="A3" s="23" t="s">
        <v>0</v>
      </c>
      <c r="B3" s="22" t="s">
        <v>1</v>
      </c>
      <c r="C3" s="23" t="s">
        <v>79</v>
      </c>
      <c r="D3" s="21" t="s">
        <v>153</v>
      </c>
      <c r="E3" s="21" t="s">
        <v>21</v>
      </c>
      <c r="F3" s="20" t="s">
        <v>22</v>
      </c>
    </row>
    <row r="4" spans="1:8" ht="25.9" customHeight="1" x14ac:dyDescent="0.25">
      <c r="A4" s="20" t="s">
        <v>28</v>
      </c>
      <c r="B4" s="20" t="s">
        <v>29</v>
      </c>
      <c r="C4" t="s">
        <v>110</v>
      </c>
      <c r="D4" s="66">
        <v>1</v>
      </c>
      <c r="E4" s="66"/>
      <c r="F4" s="24">
        <v>1810</v>
      </c>
    </row>
    <row r="5" spans="1:8" ht="22.9" customHeight="1" x14ac:dyDescent="0.25">
      <c r="A5" s="20"/>
      <c r="B5" s="20"/>
      <c r="C5" t="s">
        <v>80</v>
      </c>
      <c r="D5" s="66">
        <v>2</v>
      </c>
      <c r="E5" s="66"/>
      <c r="F5" s="24">
        <v>1600</v>
      </c>
    </row>
    <row r="6" spans="1:8" x14ac:dyDescent="0.25">
      <c r="A6" s="20"/>
      <c r="B6" s="20"/>
      <c r="C6" t="s">
        <v>82</v>
      </c>
      <c r="D6" s="66">
        <v>2</v>
      </c>
      <c r="E6" s="66"/>
      <c r="F6" s="24">
        <v>1600</v>
      </c>
    </row>
    <row r="7" spans="1:8" x14ac:dyDescent="0.25">
      <c r="A7" s="20"/>
      <c r="B7" s="20"/>
      <c r="C7" t="s">
        <v>81</v>
      </c>
      <c r="D7" s="66">
        <v>1</v>
      </c>
      <c r="E7" s="66"/>
      <c r="F7" s="24">
        <v>800</v>
      </c>
    </row>
    <row r="8" spans="1:8" x14ac:dyDescent="0.25">
      <c r="A8" s="20"/>
      <c r="B8" s="20"/>
      <c r="C8" t="s">
        <v>84</v>
      </c>
      <c r="D8" s="66">
        <v>1</v>
      </c>
      <c r="E8" s="66"/>
      <c r="F8" s="24">
        <v>1120</v>
      </c>
    </row>
    <row r="9" spans="1:8" x14ac:dyDescent="0.25">
      <c r="A9" s="20"/>
      <c r="B9" s="20"/>
      <c r="C9" t="s">
        <v>87</v>
      </c>
      <c r="D9" s="66">
        <v>1</v>
      </c>
      <c r="E9" s="66"/>
      <c r="F9" s="24">
        <v>800</v>
      </c>
    </row>
    <row r="10" spans="1:8" x14ac:dyDescent="0.25">
      <c r="A10" s="20"/>
      <c r="B10" s="20"/>
      <c r="C10" t="s">
        <v>83</v>
      </c>
      <c r="D10" s="66">
        <v>1</v>
      </c>
      <c r="E10" s="66"/>
      <c r="F10" s="24">
        <v>1210</v>
      </c>
    </row>
    <row r="11" spans="1:8" x14ac:dyDescent="0.25">
      <c r="A11" s="20"/>
      <c r="B11" s="20"/>
      <c r="C11" t="s">
        <v>88</v>
      </c>
      <c r="D11" s="66">
        <v>1</v>
      </c>
      <c r="E11" s="66"/>
      <c r="F11" s="24">
        <v>2600</v>
      </c>
    </row>
    <row r="12" spans="1:8" x14ac:dyDescent="0.25">
      <c r="A12" s="20"/>
      <c r="B12" s="20"/>
      <c r="C12" t="s">
        <v>89</v>
      </c>
      <c r="D12" s="66">
        <v>1</v>
      </c>
      <c r="E12" s="66"/>
      <c r="F12" s="24">
        <v>3470</v>
      </c>
    </row>
    <row r="13" spans="1:8" x14ac:dyDescent="0.25">
      <c r="A13" s="20"/>
      <c r="B13" s="20"/>
      <c r="C13" t="s">
        <v>92</v>
      </c>
      <c r="D13" s="66">
        <v>1</v>
      </c>
      <c r="E13" s="66"/>
      <c r="F13" s="24">
        <v>4100</v>
      </c>
    </row>
    <row r="14" spans="1:8" x14ac:dyDescent="0.25">
      <c r="A14" s="20"/>
      <c r="B14" s="20"/>
      <c r="C14" t="s">
        <v>93</v>
      </c>
      <c r="D14" s="66">
        <v>1</v>
      </c>
      <c r="E14" s="66"/>
      <c r="F14" s="24">
        <v>800</v>
      </c>
    </row>
    <row r="15" spans="1:8" x14ac:dyDescent="0.25">
      <c r="A15" s="20"/>
      <c r="B15" s="20"/>
      <c r="C15" t="s">
        <v>94</v>
      </c>
      <c r="D15" s="66">
        <v>1</v>
      </c>
      <c r="E15" s="66"/>
      <c r="F15" s="24">
        <v>24000</v>
      </c>
    </row>
    <row r="16" spans="1:8" x14ac:dyDescent="0.25">
      <c r="A16" s="20"/>
      <c r="B16" s="20"/>
      <c r="C16" t="s">
        <v>95</v>
      </c>
      <c r="D16" s="66">
        <v>1</v>
      </c>
      <c r="E16" s="66"/>
      <c r="F16" s="24">
        <v>890</v>
      </c>
    </row>
    <row r="17" spans="1:6" x14ac:dyDescent="0.25">
      <c r="A17" s="20"/>
      <c r="B17" s="20"/>
      <c r="C17" t="s">
        <v>96</v>
      </c>
      <c r="D17" s="66">
        <v>1</v>
      </c>
      <c r="E17" s="66"/>
      <c r="F17" s="24">
        <v>3630</v>
      </c>
    </row>
    <row r="18" spans="1:6" x14ac:dyDescent="0.25">
      <c r="A18" s="20"/>
      <c r="B18" s="20"/>
      <c r="C18" t="s">
        <v>97</v>
      </c>
      <c r="D18" s="66">
        <v>1</v>
      </c>
      <c r="E18" s="66"/>
      <c r="F18" s="24">
        <v>800</v>
      </c>
    </row>
    <row r="19" spans="1:6" x14ac:dyDescent="0.25">
      <c r="A19" s="20"/>
      <c r="B19" s="20"/>
      <c r="C19" t="s">
        <v>98</v>
      </c>
      <c r="D19" s="66">
        <v>1</v>
      </c>
      <c r="E19" s="66"/>
      <c r="F19" s="24">
        <v>2710</v>
      </c>
    </row>
    <row r="20" spans="1:6" x14ac:dyDescent="0.25">
      <c r="A20" s="20"/>
      <c r="B20" s="20"/>
      <c r="C20" t="s">
        <v>99</v>
      </c>
      <c r="D20" s="66">
        <v>1</v>
      </c>
      <c r="E20" s="66"/>
      <c r="F20" s="24">
        <v>2300</v>
      </c>
    </row>
    <row r="21" spans="1:6" x14ac:dyDescent="0.25">
      <c r="A21" s="20"/>
      <c r="B21" s="20"/>
      <c r="C21" t="s">
        <v>102</v>
      </c>
      <c r="D21" s="66">
        <v>1</v>
      </c>
      <c r="E21" s="66"/>
      <c r="F21" s="24">
        <v>1030</v>
      </c>
    </row>
    <row r="22" spans="1:6" x14ac:dyDescent="0.25">
      <c r="A22" s="20"/>
      <c r="B22" s="20"/>
      <c r="C22" t="s">
        <v>103</v>
      </c>
      <c r="D22" s="66">
        <v>1</v>
      </c>
      <c r="E22" s="66"/>
      <c r="F22" s="24">
        <v>3310</v>
      </c>
    </row>
    <row r="23" spans="1:6" x14ac:dyDescent="0.25">
      <c r="A23" s="20"/>
      <c r="B23" s="20"/>
      <c r="C23" t="s">
        <v>104</v>
      </c>
      <c r="D23" s="66">
        <v>1</v>
      </c>
      <c r="E23" s="66"/>
      <c r="F23" s="24">
        <v>880</v>
      </c>
    </row>
    <row r="24" spans="1:6" x14ac:dyDescent="0.25">
      <c r="A24" s="20"/>
      <c r="B24" s="20"/>
      <c r="C24" t="s">
        <v>100</v>
      </c>
      <c r="D24" s="66">
        <v>1</v>
      </c>
      <c r="E24" s="66"/>
      <c r="F24" s="24">
        <v>2600</v>
      </c>
    </row>
    <row r="25" spans="1:6" x14ac:dyDescent="0.25">
      <c r="A25" s="20"/>
      <c r="B25" s="20"/>
      <c r="C25" t="s">
        <v>105</v>
      </c>
      <c r="D25" s="66">
        <v>1</v>
      </c>
      <c r="E25" s="66"/>
      <c r="F25" s="24">
        <v>2710</v>
      </c>
    </row>
    <row r="26" spans="1:6" x14ac:dyDescent="0.25">
      <c r="A26" s="20"/>
      <c r="B26" s="20"/>
      <c r="C26" t="s">
        <v>106</v>
      </c>
      <c r="D26" s="66">
        <v>1</v>
      </c>
      <c r="E26" s="66"/>
      <c r="F26" s="24">
        <v>800</v>
      </c>
    </row>
    <row r="27" spans="1:6" x14ac:dyDescent="0.25">
      <c r="A27" s="20"/>
      <c r="B27" s="20"/>
      <c r="C27" t="s">
        <v>101</v>
      </c>
      <c r="D27" s="66">
        <v>1</v>
      </c>
      <c r="E27" s="66"/>
      <c r="F27" s="24">
        <v>2940</v>
      </c>
    </row>
    <row r="28" spans="1:6" x14ac:dyDescent="0.25">
      <c r="A28" s="20"/>
      <c r="B28" s="20"/>
      <c r="C28" t="s">
        <v>85</v>
      </c>
      <c r="D28" s="66">
        <v>1</v>
      </c>
      <c r="E28" s="66"/>
      <c r="F28" s="24">
        <v>2060</v>
      </c>
    </row>
    <row r="29" spans="1:6" x14ac:dyDescent="0.25">
      <c r="A29" s="20"/>
      <c r="B29" s="20"/>
      <c r="C29" t="s">
        <v>91</v>
      </c>
      <c r="D29" s="66">
        <v>1</v>
      </c>
      <c r="E29" s="66"/>
      <c r="F29" s="24">
        <v>800</v>
      </c>
    </row>
    <row r="30" spans="1:6" x14ac:dyDescent="0.25">
      <c r="A30" s="20"/>
      <c r="B30" s="20"/>
      <c r="C30" t="s">
        <v>107</v>
      </c>
      <c r="D30" s="66">
        <v>1</v>
      </c>
      <c r="E30" s="66"/>
      <c r="F30" s="24">
        <v>800</v>
      </c>
    </row>
    <row r="31" spans="1:6" x14ac:dyDescent="0.25">
      <c r="A31" s="20"/>
      <c r="B31" s="20"/>
      <c r="C31" t="s">
        <v>108</v>
      </c>
      <c r="D31" s="66">
        <v>1</v>
      </c>
      <c r="E31" s="66"/>
      <c r="F31" s="24">
        <v>800</v>
      </c>
    </row>
    <row r="32" spans="1:6" x14ac:dyDescent="0.25">
      <c r="A32" s="20"/>
      <c r="B32" s="20"/>
      <c r="C32" t="s">
        <v>90</v>
      </c>
      <c r="D32" s="66">
        <v>1</v>
      </c>
      <c r="E32" s="66"/>
      <c r="F32" s="24">
        <v>2200</v>
      </c>
    </row>
    <row r="33" spans="1:6" x14ac:dyDescent="0.25">
      <c r="A33" s="20"/>
      <c r="B33" s="20"/>
      <c r="C33" t="s">
        <v>86</v>
      </c>
      <c r="D33" s="66">
        <v>1</v>
      </c>
      <c r="E33" s="66"/>
      <c r="F33" s="24">
        <v>800</v>
      </c>
    </row>
    <row r="34" spans="1:6" x14ac:dyDescent="0.25">
      <c r="A34" s="20"/>
      <c r="B34" s="20"/>
      <c r="C34" t="s">
        <v>109</v>
      </c>
      <c r="D34" s="66">
        <v>1</v>
      </c>
      <c r="E34" s="66"/>
      <c r="F34" s="24">
        <v>1580</v>
      </c>
    </row>
    <row r="35" spans="1:6" x14ac:dyDescent="0.25">
      <c r="A35" s="20" t="s">
        <v>23</v>
      </c>
      <c r="B35" s="20"/>
      <c r="C35" s="20"/>
      <c r="D35" s="66">
        <v>33</v>
      </c>
      <c r="E35" s="66"/>
      <c r="F35" s="24">
        <v>77550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theme="5" tint="-0.249977111117893"/>
  </sheetPr>
  <dimension ref="A2:H9"/>
  <sheetViews>
    <sheetView showGridLines="0" view="pageBreakPreview" zoomScale="70" zoomScaleNormal="55" zoomScaleSheetLayoutView="70" workbookViewId="0">
      <selection activeCell="G5" sqref="G5"/>
    </sheetView>
  </sheetViews>
  <sheetFormatPr defaultRowHeight="15" x14ac:dyDescent="0.25"/>
  <cols>
    <col min="1" max="1" width="67" bestFit="1" customWidth="1"/>
    <col min="2" max="2" width="76.28515625" bestFit="1" customWidth="1"/>
    <col min="3" max="3" width="17.42578125" bestFit="1" customWidth="1"/>
    <col min="4" max="4" width="14.85546875" customWidth="1"/>
    <col min="5" max="5" width="17" bestFit="1" customWidth="1"/>
    <col min="6" max="6" width="18.85546875" style="20" bestFit="1" customWidth="1"/>
    <col min="7" max="9" width="18.85546875" bestFit="1" customWidth="1"/>
    <col min="11" max="11" width="9.28515625" bestFit="1" customWidth="1"/>
  </cols>
  <sheetData>
    <row r="2" spans="1:8" x14ac:dyDescent="0.25">
      <c r="A2" s="19" t="s">
        <v>18</v>
      </c>
      <c r="B2" s="62"/>
      <c r="C2" s="62"/>
      <c r="D2" s="62"/>
      <c r="E2" s="63" t="s">
        <v>19</v>
      </c>
      <c r="F2" s="64"/>
      <c r="G2" s="28">
        <v>46082</v>
      </c>
      <c r="H2" s="28">
        <v>46112</v>
      </c>
    </row>
    <row r="3" spans="1:8" ht="45" x14ac:dyDescent="0.25">
      <c r="A3" s="23" t="s">
        <v>0</v>
      </c>
      <c r="B3" s="22" t="s">
        <v>1</v>
      </c>
      <c r="C3" s="23" t="s">
        <v>79</v>
      </c>
      <c r="D3" s="21" t="s">
        <v>153</v>
      </c>
      <c r="E3" s="21" t="s">
        <v>21</v>
      </c>
      <c r="F3" s="20" t="s">
        <v>22</v>
      </c>
    </row>
    <row r="4" spans="1:8" ht="25.9" customHeight="1" x14ac:dyDescent="0.25">
      <c r="A4" s="20" t="s">
        <v>32</v>
      </c>
      <c r="B4" s="20" t="s">
        <v>33</v>
      </c>
      <c r="C4" t="s">
        <v>113</v>
      </c>
      <c r="D4" s="66">
        <v>1</v>
      </c>
      <c r="E4" s="66"/>
      <c r="F4" s="24">
        <v>1700</v>
      </c>
    </row>
    <row r="5" spans="1:8" ht="22.9" customHeight="1" x14ac:dyDescent="0.25">
      <c r="A5" s="20"/>
      <c r="B5" s="20"/>
      <c r="C5" t="s">
        <v>114</v>
      </c>
      <c r="D5" s="66">
        <v>1</v>
      </c>
      <c r="E5" s="66"/>
      <c r="F5" s="24">
        <v>3460</v>
      </c>
    </row>
    <row r="6" spans="1:8" x14ac:dyDescent="0.25">
      <c r="A6" s="20"/>
      <c r="B6" s="20"/>
      <c r="C6" t="s">
        <v>112</v>
      </c>
      <c r="D6" s="66">
        <v>2</v>
      </c>
      <c r="E6" s="66"/>
      <c r="F6" s="24">
        <v>3370</v>
      </c>
    </row>
    <row r="7" spans="1:8" x14ac:dyDescent="0.25">
      <c r="A7" s="20"/>
      <c r="B7" s="20"/>
      <c r="C7" t="s">
        <v>111</v>
      </c>
      <c r="D7" s="66">
        <v>1</v>
      </c>
      <c r="E7" s="66"/>
      <c r="F7" s="24">
        <v>2830</v>
      </c>
    </row>
    <row r="8" spans="1:8" x14ac:dyDescent="0.25">
      <c r="A8" s="20"/>
      <c r="B8" s="20"/>
      <c r="C8" t="s">
        <v>152</v>
      </c>
      <c r="D8" s="66"/>
      <c r="E8" s="66"/>
      <c r="F8" s="24">
        <v>0</v>
      </c>
    </row>
    <row r="9" spans="1:8" x14ac:dyDescent="0.25">
      <c r="A9" s="20" t="s">
        <v>23</v>
      </c>
      <c r="B9" s="20"/>
      <c r="C9" s="20"/>
      <c r="D9" s="66">
        <v>5</v>
      </c>
      <c r="E9" s="66"/>
      <c r="F9" s="24">
        <v>11360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3326-DB61-4824-A3F6-AD4D97172BCD}">
  <sheetPr>
    <tabColor theme="5" tint="-0.249977111117893"/>
  </sheetPr>
  <dimension ref="A2:H42"/>
  <sheetViews>
    <sheetView showGridLines="0" view="pageBreakPreview" topLeftCell="A26" zoomScale="60" zoomScaleNormal="55" workbookViewId="0">
      <selection activeCell="G8" sqref="G8"/>
    </sheetView>
  </sheetViews>
  <sheetFormatPr defaultRowHeight="15" x14ac:dyDescent="0.25"/>
  <cols>
    <col min="1" max="1" width="67" bestFit="1" customWidth="1"/>
    <col min="2" max="2" width="66.140625" bestFit="1" customWidth="1"/>
    <col min="3" max="3" width="59.42578125" bestFit="1" customWidth="1"/>
    <col min="4" max="4" width="22.5703125" customWidth="1"/>
    <col min="5" max="5" width="18.7109375" bestFit="1" customWidth="1"/>
    <col min="6" max="6" width="20.42578125" style="20" bestFit="1" customWidth="1"/>
    <col min="7" max="9" width="20.42578125" bestFit="1" customWidth="1"/>
    <col min="10" max="192" width="48" bestFit="1" customWidth="1"/>
    <col min="193" max="193" width="33.7109375" bestFit="1" customWidth="1"/>
    <col min="194" max="194" width="22.85546875" bestFit="1" customWidth="1"/>
    <col min="195" max="195" width="20.28515625" bestFit="1" customWidth="1"/>
    <col min="196" max="196" width="18.85546875" bestFit="1" customWidth="1"/>
    <col min="197" max="197" width="19.140625" bestFit="1" customWidth="1"/>
  </cols>
  <sheetData>
    <row r="2" spans="1:8" x14ac:dyDescent="0.25">
      <c r="A2" s="19" t="s">
        <v>18</v>
      </c>
      <c r="B2" s="62"/>
      <c r="C2" s="62"/>
      <c r="D2" s="62"/>
      <c r="E2" s="63" t="s">
        <v>19</v>
      </c>
      <c r="F2" s="64"/>
      <c r="G2" s="28">
        <v>46082</v>
      </c>
      <c r="H2" s="28">
        <v>46112</v>
      </c>
    </row>
    <row r="3" spans="1:8" ht="58.5" customHeight="1" x14ac:dyDescent="0.25">
      <c r="A3" s="23" t="s">
        <v>0</v>
      </c>
      <c r="B3" s="22" t="s">
        <v>1</v>
      </c>
      <c r="C3" s="23" t="s">
        <v>79</v>
      </c>
      <c r="D3" s="21" t="s">
        <v>153</v>
      </c>
      <c r="E3" s="21" t="s">
        <v>21</v>
      </c>
      <c r="F3" s="20" t="s">
        <v>22</v>
      </c>
    </row>
    <row r="4" spans="1:8" ht="25.9" customHeight="1" x14ac:dyDescent="0.25">
      <c r="A4" s="20" t="s">
        <v>30</v>
      </c>
      <c r="B4" s="20" t="s">
        <v>31</v>
      </c>
      <c r="C4" t="s">
        <v>118</v>
      </c>
      <c r="D4" s="66">
        <v>1</v>
      </c>
      <c r="E4" s="66"/>
      <c r="F4" s="24">
        <v>4020</v>
      </c>
    </row>
    <row r="5" spans="1:8" ht="22.9" customHeight="1" x14ac:dyDescent="0.25">
      <c r="A5" s="20"/>
      <c r="B5" s="20"/>
      <c r="C5" t="s">
        <v>144</v>
      </c>
      <c r="D5" s="66">
        <v>1</v>
      </c>
      <c r="E5" s="66"/>
      <c r="F5" s="24">
        <v>1540</v>
      </c>
    </row>
    <row r="6" spans="1:8" x14ac:dyDescent="0.25">
      <c r="A6" s="20"/>
      <c r="B6" s="20"/>
      <c r="C6" t="s">
        <v>141</v>
      </c>
      <c r="D6" s="66">
        <v>1</v>
      </c>
      <c r="E6" s="66"/>
      <c r="F6" s="24">
        <v>2530</v>
      </c>
    </row>
    <row r="7" spans="1:8" x14ac:dyDescent="0.25">
      <c r="A7" s="20"/>
      <c r="B7" s="20"/>
      <c r="C7" t="s">
        <v>129</v>
      </c>
      <c r="D7" s="66">
        <v>1</v>
      </c>
      <c r="E7" s="66"/>
      <c r="F7" s="24">
        <v>1430</v>
      </c>
    </row>
    <row r="8" spans="1:8" x14ac:dyDescent="0.25">
      <c r="A8" s="20"/>
      <c r="B8" s="20"/>
      <c r="C8" t="s">
        <v>147</v>
      </c>
      <c r="D8" s="66">
        <v>1</v>
      </c>
      <c r="E8" s="66"/>
      <c r="F8" s="24">
        <v>5860</v>
      </c>
    </row>
    <row r="9" spans="1:8" x14ac:dyDescent="0.25">
      <c r="A9" s="20"/>
      <c r="B9" s="20"/>
      <c r="C9" t="s">
        <v>135</v>
      </c>
      <c r="D9" s="66">
        <v>1</v>
      </c>
      <c r="E9" s="66"/>
      <c r="F9" s="24">
        <v>3410</v>
      </c>
    </row>
    <row r="10" spans="1:8" x14ac:dyDescent="0.25">
      <c r="A10" s="20"/>
      <c r="B10" s="20"/>
      <c r="C10" t="s">
        <v>119</v>
      </c>
      <c r="D10" s="66">
        <v>1</v>
      </c>
      <c r="E10" s="66"/>
      <c r="F10" s="24">
        <v>800</v>
      </c>
    </row>
    <row r="11" spans="1:8" x14ac:dyDescent="0.25">
      <c r="A11" s="20"/>
      <c r="B11" s="20"/>
      <c r="C11" t="s">
        <v>140</v>
      </c>
      <c r="D11" s="66">
        <v>1</v>
      </c>
      <c r="E11" s="66"/>
      <c r="F11" s="24">
        <v>800</v>
      </c>
    </row>
    <row r="12" spans="1:8" x14ac:dyDescent="0.25">
      <c r="A12" s="20"/>
      <c r="B12" s="20"/>
      <c r="C12" t="s">
        <v>146</v>
      </c>
      <c r="D12" s="66">
        <v>1</v>
      </c>
      <c r="E12" s="66"/>
      <c r="F12" s="24">
        <v>5510</v>
      </c>
    </row>
    <row r="13" spans="1:8" x14ac:dyDescent="0.25">
      <c r="A13" s="20"/>
      <c r="B13" s="20"/>
      <c r="C13" t="s">
        <v>148</v>
      </c>
      <c r="D13" s="66">
        <v>4</v>
      </c>
      <c r="E13" s="66"/>
      <c r="F13" s="24">
        <v>3200</v>
      </c>
    </row>
    <row r="14" spans="1:8" x14ac:dyDescent="0.25">
      <c r="A14" s="20"/>
      <c r="B14" s="20"/>
      <c r="C14" t="s">
        <v>149</v>
      </c>
      <c r="D14" s="66">
        <v>1</v>
      </c>
      <c r="E14" s="66"/>
      <c r="F14" s="24">
        <v>2930</v>
      </c>
    </row>
    <row r="15" spans="1:8" x14ac:dyDescent="0.25">
      <c r="A15" s="20"/>
      <c r="B15" s="20"/>
      <c r="C15" t="s">
        <v>142</v>
      </c>
      <c r="D15" s="66">
        <v>1</v>
      </c>
      <c r="E15" s="66"/>
      <c r="F15" s="24">
        <v>1450</v>
      </c>
    </row>
    <row r="16" spans="1:8" x14ac:dyDescent="0.25">
      <c r="A16" s="20"/>
      <c r="B16" s="20"/>
      <c r="C16" t="s">
        <v>124</v>
      </c>
      <c r="D16" s="66">
        <v>1</v>
      </c>
      <c r="E16" s="66"/>
      <c r="F16" s="24">
        <v>1450</v>
      </c>
    </row>
    <row r="17" spans="1:6" x14ac:dyDescent="0.25">
      <c r="A17" s="20"/>
      <c r="B17" s="20"/>
      <c r="C17" t="s">
        <v>117</v>
      </c>
      <c r="D17" s="66">
        <v>1</v>
      </c>
      <c r="E17" s="66"/>
      <c r="F17" s="24">
        <v>1580</v>
      </c>
    </row>
    <row r="18" spans="1:6" x14ac:dyDescent="0.25">
      <c r="A18" s="20"/>
      <c r="B18" s="20"/>
      <c r="C18" t="s">
        <v>128</v>
      </c>
      <c r="D18" s="66">
        <v>1</v>
      </c>
      <c r="E18" s="66"/>
      <c r="F18" s="24">
        <v>1880</v>
      </c>
    </row>
    <row r="19" spans="1:6" x14ac:dyDescent="0.25">
      <c r="A19" s="20"/>
      <c r="B19" s="20"/>
      <c r="C19" t="s">
        <v>127</v>
      </c>
      <c r="D19" s="66">
        <v>1</v>
      </c>
      <c r="E19" s="66"/>
      <c r="F19" s="24">
        <v>2590</v>
      </c>
    </row>
    <row r="20" spans="1:6" x14ac:dyDescent="0.25">
      <c r="A20" s="20"/>
      <c r="B20" s="20"/>
      <c r="C20" t="s">
        <v>131</v>
      </c>
      <c r="D20" s="66">
        <v>1</v>
      </c>
      <c r="E20" s="66"/>
      <c r="F20" s="24">
        <v>800</v>
      </c>
    </row>
    <row r="21" spans="1:6" x14ac:dyDescent="0.25">
      <c r="A21" s="20"/>
      <c r="B21" s="20"/>
      <c r="C21" t="s">
        <v>150</v>
      </c>
      <c r="D21" s="66">
        <v>1</v>
      </c>
      <c r="E21" s="66"/>
      <c r="F21" s="24">
        <v>800</v>
      </c>
    </row>
    <row r="22" spans="1:6" x14ac:dyDescent="0.25">
      <c r="A22" s="20"/>
      <c r="B22" s="20"/>
      <c r="C22" t="s">
        <v>139</v>
      </c>
      <c r="D22" s="66">
        <v>1</v>
      </c>
      <c r="E22" s="66"/>
      <c r="F22" s="24">
        <v>3090</v>
      </c>
    </row>
    <row r="23" spans="1:6" x14ac:dyDescent="0.25">
      <c r="A23" s="20"/>
      <c r="B23" s="20"/>
      <c r="C23" t="s">
        <v>132</v>
      </c>
      <c r="D23" s="66">
        <v>1</v>
      </c>
      <c r="E23" s="66"/>
      <c r="F23" s="24">
        <v>2820</v>
      </c>
    </row>
    <row r="24" spans="1:6" x14ac:dyDescent="0.25">
      <c r="A24" s="20"/>
      <c r="B24" s="20"/>
      <c r="C24" t="s">
        <v>137</v>
      </c>
      <c r="D24" s="66">
        <v>1</v>
      </c>
      <c r="E24" s="66"/>
      <c r="F24" s="24">
        <v>800</v>
      </c>
    </row>
    <row r="25" spans="1:6" x14ac:dyDescent="0.25">
      <c r="A25" s="20"/>
      <c r="B25" s="20"/>
      <c r="C25" t="s">
        <v>133</v>
      </c>
      <c r="D25" s="66">
        <v>2</v>
      </c>
      <c r="E25" s="66"/>
      <c r="F25" s="24">
        <v>4290</v>
      </c>
    </row>
    <row r="26" spans="1:6" x14ac:dyDescent="0.25">
      <c r="A26" s="20"/>
      <c r="B26" s="20"/>
      <c r="C26" t="s">
        <v>126</v>
      </c>
      <c r="D26" s="66">
        <v>2</v>
      </c>
      <c r="E26" s="66"/>
      <c r="F26" s="24">
        <v>5110</v>
      </c>
    </row>
    <row r="27" spans="1:6" x14ac:dyDescent="0.25">
      <c r="A27" s="20"/>
      <c r="B27" s="20"/>
      <c r="C27" t="s">
        <v>84</v>
      </c>
      <c r="D27" s="66">
        <v>1</v>
      </c>
      <c r="E27" s="66"/>
      <c r="F27" s="24">
        <v>1920</v>
      </c>
    </row>
    <row r="28" spans="1:6" x14ac:dyDescent="0.25">
      <c r="A28" s="20"/>
      <c r="B28" s="20"/>
      <c r="C28" t="s">
        <v>143</v>
      </c>
      <c r="D28" s="66">
        <v>1</v>
      </c>
      <c r="E28" s="66"/>
      <c r="F28" s="24">
        <v>800</v>
      </c>
    </row>
    <row r="29" spans="1:6" x14ac:dyDescent="0.25">
      <c r="A29" s="20"/>
      <c r="B29" s="20"/>
      <c r="C29" t="s">
        <v>121</v>
      </c>
      <c r="D29" s="66">
        <v>1</v>
      </c>
      <c r="E29" s="66"/>
      <c r="F29" s="24">
        <v>810</v>
      </c>
    </row>
    <row r="30" spans="1:6" x14ac:dyDescent="0.25">
      <c r="A30" s="20"/>
      <c r="B30" s="20"/>
      <c r="C30" t="s">
        <v>123</v>
      </c>
      <c r="D30" s="66">
        <v>1</v>
      </c>
      <c r="E30" s="66"/>
      <c r="F30" s="24">
        <v>800</v>
      </c>
    </row>
    <row r="31" spans="1:6" x14ac:dyDescent="0.25">
      <c r="A31" s="20"/>
      <c r="B31" s="20"/>
      <c r="C31" t="s">
        <v>120</v>
      </c>
      <c r="D31" s="66">
        <v>1</v>
      </c>
      <c r="E31" s="66"/>
      <c r="F31" s="24">
        <v>1600</v>
      </c>
    </row>
    <row r="32" spans="1:6" x14ac:dyDescent="0.25">
      <c r="A32" s="20"/>
      <c r="B32" s="20"/>
      <c r="C32" t="s">
        <v>122</v>
      </c>
      <c r="D32" s="66">
        <v>1</v>
      </c>
      <c r="E32" s="66"/>
      <c r="F32" s="24">
        <v>3490</v>
      </c>
    </row>
    <row r="33" spans="1:6" x14ac:dyDescent="0.25">
      <c r="A33" s="20"/>
      <c r="B33" s="20"/>
      <c r="C33" t="s">
        <v>151</v>
      </c>
      <c r="D33" s="66">
        <v>1</v>
      </c>
      <c r="E33" s="66"/>
      <c r="F33" s="24">
        <v>4440</v>
      </c>
    </row>
    <row r="34" spans="1:6" x14ac:dyDescent="0.25">
      <c r="A34" s="20"/>
      <c r="B34" s="20"/>
      <c r="C34" t="s">
        <v>116</v>
      </c>
      <c r="D34" s="66">
        <v>1</v>
      </c>
      <c r="E34" s="66"/>
      <c r="F34" s="24">
        <v>800</v>
      </c>
    </row>
    <row r="35" spans="1:6" x14ac:dyDescent="0.25">
      <c r="A35" s="20"/>
      <c r="B35" s="20"/>
      <c r="C35" t="s">
        <v>136</v>
      </c>
      <c r="D35" s="66">
        <v>1</v>
      </c>
      <c r="E35" s="66"/>
      <c r="F35" s="24">
        <v>1670</v>
      </c>
    </row>
    <row r="36" spans="1:6" x14ac:dyDescent="0.25">
      <c r="A36" s="20"/>
      <c r="B36" s="20"/>
      <c r="C36" t="s">
        <v>134</v>
      </c>
      <c r="D36" s="66">
        <v>1</v>
      </c>
      <c r="E36" s="66"/>
      <c r="F36" s="24">
        <v>4040</v>
      </c>
    </row>
    <row r="37" spans="1:6" x14ac:dyDescent="0.25">
      <c r="A37" s="20"/>
      <c r="B37" s="20"/>
      <c r="C37" t="s">
        <v>145</v>
      </c>
      <c r="D37" s="66">
        <v>1</v>
      </c>
      <c r="E37" s="66"/>
      <c r="F37" s="24">
        <v>2370</v>
      </c>
    </row>
    <row r="38" spans="1:6" x14ac:dyDescent="0.25">
      <c r="A38" s="20"/>
      <c r="B38" s="20"/>
      <c r="C38" t="s">
        <v>130</v>
      </c>
      <c r="D38" s="66">
        <v>1</v>
      </c>
      <c r="E38" s="66"/>
      <c r="F38" s="24">
        <v>3340</v>
      </c>
    </row>
    <row r="39" spans="1:6" x14ac:dyDescent="0.25">
      <c r="A39" s="20"/>
      <c r="B39" s="20"/>
      <c r="C39" t="s">
        <v>138</v>
      </c>
      <c r="D39" s="66">
        <v>1</v>
      </c>
      <c r="E39" s="66"/>
      <c r="F39" s="24">
        <v>3420</v>
      </c>
    </row>
    <row r="40" spans="1:6" x14ac:dyDescent="0.25">
      <c r="A40" s="20"/>
      <c r="B40" s="20"/>
      <c r="C40" t="s">
        <v>125</v>
      </c>
      <c r="D40" s="66">
        <v>1</v>
      </c>
      <c r="E40" s="66"/>
      <c r="F40" s="24">
        <v>2170</v>
      </c>
    </row>
    <row r="41" spans="1:6" x14ac:dyDescent="0.25">
      <c r="A41" s="20"/>
      <c r="B41" s="20"/>
      <c r="C41" t="s">
        <v>115</v>
      </c>
      <c r="D41" s="66">
        <v>1</v>
      </c>
      <c r="E41" s="66"/>
      <c r="F41" s="24">
        <v>800</v>
      </c>
    </row>
    <row r="42" spans="1:6" x14ac:dyDescent="0.25">
      <c r="A42" s="20" t="s">
        <v>23</v>
      </c>
      <c r="B42" s="20"/>
      <c r="C42" s="20"/>
      <c r="D42" s="66">
        <v>43</v>
      </c>
      <c r="E42" s="66"/>
      <c r="F42" s="24">
        <v>91160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6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Planilha2</vt:lpstr>
      <vt:lpstr>BANCO DADOS</vt:lpstr>
      <vt:lpstr>BM 02.010</vt:lpstr>
      <vt:lpstr>BM 06.021</vt:lpstr>
      <vt:lpstr>BM 06.059</vt:lpstr>
      <vt:lpstr>'BANCO DADOS'!Area_de_impressao</vt:lpstr>
      <vt:lpstr>'BM 02.010'!Area_de_impressao</vt:lpstr>
      <vt:lpstr>'BM 06.021'!Area_de_impressao</vt:lpstr>
      <vt:lpstr>'BM 06.059'!Area_de_impressao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2026-04-18T13:04:53Z</dcterms:modified>
  <cp:category/>
  <cp:contentStatus/>
</cp:coreProperties>
</file>