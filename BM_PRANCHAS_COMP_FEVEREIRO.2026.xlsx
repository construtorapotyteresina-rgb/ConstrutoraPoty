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B394531C-5662-44F8-AD09-38D563120154}" xr6:coauthVersionLast="47" xr6:coauthVersionMax="47" xr10:uidLastSave="{00000000-0000-0000-0000-000000000000}"/>
  <bookViews>
    <workbookView xWindow="-120" yWindow="-120" windowWidth="20730" windowHeight="11160" tabRatio="712" firstSheet="1" activeTab="2" xr2:uid="{CE15E78E-CC53-471C-935E-B218B6B31BED}"/>
  </bookViews>
  <sheets>
    <sheet name="Planilha2" sheetId="105" state="hidden" r:id="rId1"/>
    <sheet name="BANCO DADOS" sheetId="62" r:id="rId2"/>
    <sheet name="BM 06.059" sheetId="103" r:id="rId3"/>
  </sheets>
  <definedNames>
    <definedName name="_xlnm.Print_Area" localSheetId="1">'BANCO DADOS'!$A$1:$T$43</definedName>
    <definedName name="_xlnm.Print_Area" localSheetId="2">'BM 06.059'!$A$1:$H$74</definedName>
  </definedNames>
  <calcPr calcId="191028" iterate="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62" l="1"/>
  <c r="H11" i="62"/>
  <c r="H12" i="62"/>
  <c r="H13" i="62"/>
  <c r="H14" i="62"/>
  <c r="H15" i="62"/>
  <c r="H16" i="62"/>
  <c r="H17" i="62"/>
  <c r="H18" i="62"/>
  <c r="H19" i="62"/>
  <c r="H20" i="62"/>
  <c r="H21" i="62"/>
  <c r="H22" i="62"/>
  <c r="H23" i="62"/>
  <c r="H24" i="62"/>
  <c r="H25" i="62"/>
  <c r="H26" i="62"/>
  <c r="H27" i="62"/>
  <c r="H28" i="62"/>
  <c r="H29" i="62"/>
  <c r="H30" i="62"/>
  <c r="H31" i="62"/>
  <c r="H32" i="62"/>
  <c r="H33" i="62"/>
  <c r="H34" i="62"/>
  <c r="H35" i="62"/>
  <c r="H36" i="62"/>
  <c r="H37" i="62"/>
  <c r="H38" i="62"/>
  <c r="H39" i="62"/>
  <c r="H40" i="62"/>
  <c r="H41" i="62"/>
  <c r="H42" i="62"/>
  <c r="H10" i="62"/>
  <c r="E32" i="62" l="1"/>
  <c r="G32" i="62" s="1"/>
  <c r="E40" i="62"/>
  <c r="G40" i="62" s="1"/>
  <c r="E41" i="62"/>
  <c r="G41" i="62" s="1"/>
  <c r="E42" i="62"/>
  <c r="G42" i="62" s="1"/>
  <c r="E11" i="62"/>
  <c r="G11" i="62" s="1"/>
  <c r="E12" i="62"/>
  <c r="G12" i="62" s="1"/>
  <c r="E13" i="62"/>
  <c r="G13" i="62" s="1"/>
  <c r="E14" i="62"/>
  <c r="G14" i="62" s="1"/>
  <c r="E15" i="62"/>
  <c r="G15" i="62" s="1"/>
  <c r="E16" i="62"/>
  <c r="G16" i="62" s="1"/>
  <c r="E17" i="62"/>
  <c r="G17" i="62" s="1"/>
  <c r="E18" i="62"/>
  <c r="G18" i="62" s="1"/>
  <c r="E19" i="62"/>
  <c r="G19" i="62" s="1"/>
  <c r="E20" i="62"/>
  <c r="G20" i="62" s="1"/>
  <c r="E21" i="62"/>
  <c r="G21" i="62" s="1"/>
  <c r="E22" i="62"/>
  <c r="G22" i="62" s="1"/>
  <c r="E23" i="62"/>
  <c r="G23" i="62" s="1"/>
  <c r="E24" i="62"/>
  <c r="G24" i="62" s="1"/>
  <c r="E25" i="62"/>
  <c r="G25" i="62" s="1"/>
  <c r="E26" i="62"/>
  <c r="G26" i="62" s="1"/>
  <c r="E27" i="62"/>
  <c r="G27" i="62" s="1"/>
  <c r="E28" i="62"/>
  <c r="G28" i="62" s="1"/>
  <c r="E29" i="62"/>
  <c r="G29" i="62" s="1"/>
  <c r="E30" i="62"/>
  <c r="G30" i="62" s="1"/>
  <c r="E31" i="62"/>
  <c r="G31" i="62" s="1"/>
  <c r="E33" i="62"/>
  <c r="G33" i="62" s="1"/>
  <c r="E34" i="62"/>
  <c r="G34" i="62" s="1"/>
  <c r="E35" i="62"/>
  <c r="G35" i="62" s="1"/>
  <c r="E36" i="62"/>
  <c r="G36" i="62" s="1"/>
  <c r="E37" i="62"/>
  <c r="G37" i="62" s="1"/>
  <c r="E38" i="62"/>
  <c r="G38" i="62" s="1"/>
  <c r="E39" i="62"/>
  <c r="G39" i="62" s="1"/>
  <c r="E10" i="62"/>
  <c r="G10" i="62" s="1"/>
  <c r="G9" i="62"/>
  <c r="N7" i="62"/>
  <c r="T9" i="62" l="1"/>
</calcChain>
</file>

<file path=xl/sharedStrings.xml><?xml version="1.0" encoding="utf-8"?>
<sst xmlns="http://schemas.openxmlformats.org/spreadsheetml/2006/main" count="151" uniqueCount="56">
  <si>
    <t>ATIVO FIXO</t>
  </si>
  <si>
    <t>DESCRIÇÃO DO EQUIPAMENTO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</si>
  <si>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</si>
  <si>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</si>
  <si>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</si>
  <si>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</si>
  <si>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</si>
  <si>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</si>
  <si>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</si>
  <si>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</si>
  <si>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</si>
  <si>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</si>
  <si>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</si>
  <si>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</si>
  <si>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</si>
  <si>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</si>
  <si>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 xml:space="preserve">MOTORISTA / OPERADOR: </t>
  </si>
  <si>
    <t xml:space="preserve">PERIODO </t>
  </si>
  <si>
    <t>Soma de DIAS TRABALHADOS</t>
  </si>
  <si>
    <t>DIAS DISPONIVEIS</t>
  </si>
  <si>
    <t>MANUTENÇÃO.</t>
  </si>
  <si>
    <t>HORA EXTRA.</t>
  </si>
  <si>
    <t>VL. TOTAL BM</t>
  </si>
  <si>
    <t>Total Geral</t>
  </si>
  <si>
    <t>ALUGUEL</t>
  </si>
  <si>
    <t>06.059</t>
  </si>
  <si>
    <t>CAVALO METEOR 6X4 VERMELHO ANO 2023 PL QWB7A30</t>
  </si>
  <si>
    <t>PLANILHA DE BOLETIM DE MEDIÇÃO DAS PRANCHAS</t>
  </si>
  <si>
    <t>ORIGEM</t>
  </si>
  <si>
    <t>DESTINO</t>
  </si>
  <si>
    <t>USINA CENTRAL</t>
  </si>
  <si>
    <t>BARRAS</t>
  </si>
  <si>
    <t>FLORIANO</t>
  </si>
  <si>
    <t>OEIRAS</t>
  </si>
  <si>
    <t>REGENERAÇÃO</t>
  </si>
  <si>
    <t>AMARANTE</t>
  </si>
  <si>
    <t>Rótulos de Linha</t>
  </si>
  <si>
    <t>Soma de KM/HORA INIC</t>
  </si>
  <si>
    <t>Soma de KM/HORA FIM</t>
  </si>
  <si>
    <t>Soma de TOTAL</t>
  </si>
  <si>
    <t>Soma de ALUGUEL</t>
  </si>
  <si>
    <t>Soma de VL TOTAL BM</t>
  </si>
  <si>
    <t>COMPETÊNCIA: FEVEREIRO/2026</t>
  </si>
  <si>
    <t>BM FEVEREIRO 2026</t>
  </si>
  <si>
    <t>POV. MORRO DOS CAVALOS</t>
  </si>
  <si>
    <t>S. JOÃO DO PIAUI</t>
  </si>
  <si>
    <t>CASTELO DO PIAUI</t>
  </si>
  <si>
    <t>CAMPO MAIOR</t>
  </si>
  <si>
    <t>N. S. DOS REMEDIOS</t>
  </si>
  <si>
    <t>NAZARE</t>
  </si>
  <si>
    <t>CONCEIÇÃO DO CANINDÉ</t>
  </si>
  <si>
    <t>S. GONÇALO</t>
  </si>
  <si>
    <t>URUÇUI</t>
  </si>
  <si>
    <t>ANTONIO ALMEIDA</t>
  </si>
  <si>
    <t>S. PEDRO</t>
  </si>
  <si>
    <t>31/02/2026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</si>
</sst>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59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0" fontId="2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pivotButton="1"/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7" fillId="0" borderId="1" xfId="1" applyFont="1" applyBorder="1"/>
    <xf numFmtId="49" fontId="4" fillId="5" borderId="0" xfId="0" applyNumberFormat="1" applyFont="1" applyFill="1" applyAlignment="1">
      <alignment horizontal="center" vertical="center"/>
    </xf>
    <xf numFmtId="43" fontId="0" fillId="0" borderId="0" xfId="1" applyFont="1" applyBorder="1"/>
    <xf numFmtId="14" fontId="2" fillId="6" borderId="1" xfId="0" applyNumberFormat="1" applyFont="1" applyFill="1" applyBorder="1" applyAlignment="1">
      <alignment horizontal="center" vertical="center"/>
    </xf>
    <xf numFmtId="43" fontId="0" fillId="3" borderId="0" xfId="1" applyFont="1" applyFill="1" applyBorder="1"/>
    <xf numFmtId="0" fontId="0" fillId="3" borderId="0" xfId="0" applyFill="1"/>
    <xf numFmtId="43" fontId="0" fillId="0" borderId="0" xfId="0" applyNumberFormat="1"/>
    <xf numFmtId="14" fontId="0" fillId="3" borderId="0" xfId="0" applyNumberFormat="1" applyFill="1"/>
    <xf numFmtId="43" fontId="3" fillId="0" borderId="0" xfId="1" applyFont="1" applyFill="1" applyBorder="1"/>
    <xf numFmtId="43" fontId="7" fillId="0" borderId="0" xfId="1" applyFont="1" applyBorder="1"/>
    <xf numFmtId="41" fontId="0" fillId="3" borderId="1" xfId="1" applyNumberFormat="1" applyFont="1" applyFill="1" applyBorder="1"/>
    <xf numFmtId="3" fontId="0" fillId="3" borderId="1" xfId="1" applyNumberFormat="1" applyFont="1" applyFill="1" applyBorder="1"/>
    <xf numFmtId="49" fontId="2" fillId="7" borderId="0" xfId="0" applyNumberFormat="1" applyFont="1" applyFill="1"/>
    <xf numFmtId="0" fontId="2" fillId="7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41" fontId="0" fillId="0" borderId="0" xfId="0" applyNumberFormat="1"/>
    <xf numFmtId="0" fontId="2" fillId="4" borderId="0" xfId="0" applyFont="1" applyFill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9" fontId="8" fillId="7" borderId="3" xfId="0" applyNumberFormat="1" applyFont="1" applyFill="1" applyBorder="1" applyAlignment="1">
      <alignment horizontal="center" vertical="center"/>
    </xf>
    <xf numFmtId="49" fontId="8" fillId="7" borderId="4" xfId="0" applyNumberFormat="1" applyFont="1" applyFill="1" applyBorder="1" applyAlignment="1">
      <alignment horizontal="center" vertical="center"/>
    </xf>
    <xf numFmtId="49" fontId="8" fillId="7" borderId="5" xfId="0" applyNumberFormat="1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49" fontId="8" fillId="7" borderId="7" xfId="0" applyNumberFormat="1" applyFont="1" applyFill="1" applyBorder="1" applyAlignment="1">
      <alignment horizontal="center" vertical="center"/>
    </xf>
    <xf numFmtId="49" fontId="8" fillId="7" borderId="8" xfId="0" applyNumberFormat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horizontal="center" vertical="center"/>
    </xf>
    <xf numFmtId="49" fontId="8" fillId="7" borderId="9" xfId="0" applyNumberFormat="1" applyFont="1" applyFill="1" applyBorder="1" applyAlignment="1">
      <alignment horizontal="center" vertical="center"/>
    </xf>
    <xf numFmtId="49" fontId="8" fillId="5" borderId="4" xfId="0" applyNumberFormat="1" applyFont="1" applyFill="1" applyBorder="1" applyAlignment="1">
      <alignment horizontal="left" vertic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6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Invisible" pivot="0" table="0" count="0" xr9:uid="{000504F6-A3E7-4C9F-9873-E40093C19AE3}"/>
  </tableStyles>
  <colors>
    <mruColors>
      <color rgb="FFCC3399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9.618744212959" createdVersion="8" refreshedVersion="8" minRefreshableVersion="3" recordCount="34" xr:uid="{92FE2CD7-3C03-4535-9911-CD9500E596F6}">
  <cacheSource type="worksheet">
    <worksheetSource ref="B8:T42" sheet="BANCO DADOS"/>
  </cacheSource>
  <cacheFields count="19">
    <cacheField name="ATIVO FIXO" numFmtId="49">
      <sharedItems count="1">
        <s v="06.059"/>
      </sharedItems>
    </cacheField>
    <cacheField name="DESCRIÇÃO DO EQUIPAMENTO" numFmtId="0">
      <sharedItems count="1">
        <s v="CAVALO METEOR 6X4 VERMELHO ANO 2023 PL QWB7A30"/>
      </sharedItems>
    </cacheField>
    <cacheField name="DATA" numFmtId="14">
      <sharedItems containsSemiMixedTypes="0" containsNonDate="0" containsDate="1" containsString="0" minDate="2026-02-03T00:00:00" maxDate="2026-04-01T00:00:00" count="35">
        <d v="2026-02-03T00:00:00"/>
        <d v="2026-02-04T00:00:00"/>
        <d v="2026-02-05T00:00:00"/>
        <d v="2026-02-06T00:00:00"/>
        <d v="2026-02-08T00:00:00"/>
        <d v="2026-02-11T00:00:00"/>
        <d v="2026-02-12T00:00:00"/>
        <d v="2026-02-16T00:00:00"/>
        <d v="2026-02-23T00:00:00"/>
        <d v="2026-02-24T00:00:00"/>
        <d v="2026-02-25T00:00:00"/>
        <d v="2026-02-26T00:00:00"/>
        <d v="2026-02-28T00:00:00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9T00:00:00" u="1"/>
        <d v="2026-03-10T00:00:00" u="1"/>
        <d v="2026-03-11T00:00:00" u="1"/>
        <d v="2026-03-12T00:00:00" u="1"/>
        <d v="2026-03-13T00:00:00" u="1"/>
        <d v="2026-03-15T00:00:00" u="1"/>
        <d v="2026-03-16T00:00:00" u="1"/>
        <d v="2026-03-19T00:00:00" u="1"/>
        <d v="2026-03-20T00:00:00" u="1"/>
        <d v="2026-03-24T00:00:00" u="1"/>
        <d v="2026-03-25T00:00:00" u="1"/>
        <d v="2026-03-26T00:00:00" u="1"/>
        <d v="2026-03-27T00:00:00" u="1"/>
        <d v="2026-03-28T00:00:00" u="1"/>
        <d v="2026-03-30T00:00:00" u="1"/>
        <d v="2026-03-31T00:00:00" u="1"/>
      </sharedItems>
    </cacheField>
    <cacheField name="KM/HORA INIC" numFmtId="3">
      <sharedItems containsSemiMixedTypes="0" containsString="0" containsNumber="1" containsInteger="1" minValue="240256" maxValue="244767"/>
    </cacheField>
    <cacheField name="KM/HORA FIM" numFmtId="3">
      <sharedItems containsSemiMixedTypes="0" containsString="0" containsNumber="1" containsInteger="1" minValue="240277" maxValue="244871"/>
    </cacheField>
    <cacheField name="TOTAL" numFmtId="41">
      <sharedItems containsSemiMixedTypes="0" containsString="0" containsNumber="1" containsInteger="1" minValue="-186" maxValue="730"/>
    </cacheField>
    <cacheField name="ORIGEM" numFmtId="0">
      <sharedItems/>
    </cacheField>
    <cacheField name="DESTINO" numFmtId="0">
      <sharedItems/>
    </cacheField>
    <cacheField name="VL LOC." numFmtId="43">
      <sharedItems containsNonDate="0" containsString="0" containsBlank="1" count="1">
        <m/>
      </sharedItems>
    </cacheField>
    <cacheField name="DISPONIVEL" numFmtId="0">
      <sharedItems containsNonDate="0" containsString="0" containsBlank="1" count="1">
        <m/>
      </sharedItems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 count="1">
        <m/>
      </sharedItems>
    </cacheField>
    <cacheField name="DATA2" numFmtId="0">
      <sharedItems containsNonDate="0" containsString="0" containsBlank="1" count="1">
        <m/>
      </sharedItems>
    </cacheField>
    <cacheField name="CONS MEDIO" numFmtId="14">
      <sharedItems containsNonDate="0" containsString="0" containsBlank="1" count="1">
        <m/>
      </sharedItems>
    </cacheField>
    <cacheField name="ALUGUEL" numFmtId="43">
      <sharedItems containsString="0" containsBlank="1" containsNumber="1" containsInteger="1" minValue="46150" maxValue="46150"/>
    </cacheField>
    <cacheField name="VL DIARIA" numFmtId="43">
      <sharedItems containsNonDate="0" containsString="0" containsBlank="1" count="1">
        <m/>
      </sharedItems>
    </cacheField>
    <cacheField name="MANUTENÇÃO" numFmtId="43">
      <sharedItems containsNonDate="0" containsString="0" containsBlank="1" count="1">
        <m/>
      </sharedItems>
    </cacheField>
    <cacheField name="HORA EXTRA" numFmtId="43">
      <sharedItems containsNonDate="0" containsString="0" containsBlank="1" count="1">
        <m/>
      </sharedItems>
    </cacheField>
    <cacheField name="VL TOTAL BM" numFmtId="43">
      <sharedItems containsString="0" containsBlank="1" containsNumber="1" containsInteger="1" minValue="46150" maxValue="46150"/>
    </cacheField>
  </cacheFields>
  <extLst>
    <ext xmlns:x14="http://schemas.microsoft.com/office/spreadsheetml/2009/9/main" uri="{725AE2AE-9491-48be-B2B4-4EB974FC3084}">
      <x14:pivotCacheDefinition pivotCacheId="6515754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x v="0"/>
    <n v="240256"/>
    <n v="240277"/>
    <n v="21"/>
    <s v="POV. MORRO DOS CAVALOS"/>
    <s v="S. JOÃO DO PIAUI"/>
    <x v="0"/>
    <x v="0"/>
    <n v="1"/>
    <x v="0"/>
    <x v="0"/>
    <x v="0"/>
    <n v="46150"/>
    <x v="0"/>
    <x v="0"/>
    <x v="0"/>
    <n v="46150"/>
  </r>
  <r>
    <x v="0"/>
    <x v="0"/>
    <x v="1"/>
    <n v="240277"/>
    <n v="241007"/>
    <n v="730"/>
    <s v="S. JOÃO DO PIAUI"/>
    <s v="USINA CENTRAL"/>
    <x v="0"/>
    <x v="0"/>
    <n v="1"/>
    <x v="0"/>
    <x v="0"/>
    <x v="0"/>
    <m/>
    <x v="0"/>
    <x v="0"/>
    <x v="0"/>
    <m/>
  </r>
  <r>
    <x v="0"/>
    <x v="0"/>
    <x v="1"/>
    <n v="241007"/>
    <n v="241196"/>
    <n v="189"/>
    <s v="USINA CENTRAL"/>
    <s v="CASTELO DO PIAUI"/>
    <x v="0"/>
    <x v="0"/>
    <n v="1"/>
    <x v="0"/>
    <x v="0"/>
    <x v="0"/>
    <m/>
    <x v="0"/>
    <x v="0"/>
    <x v="0"/>
    <m/>
  </r>
  <r>
    <x v="0"/>
    <x v="0"/>
    <x v="2"/>
    <n v="241196"/>
    <n v="241305"/>
    <n v="109"/>
    <s v="CASTELO DO PIAUI"/>
    <s v="CAMPO MAIOR"/>
    <x v="0"/>
    <x v="0"/>
    <n v="1"/>
    <x v="0"/>
    <x v="0"/>
    <x v="0"/>
    <m/>
    <x v="0"/>
    <x v="0"/>
    <x v="0"/>
    <m/>
  </r>
  <r>
    <x v="0"/>
    <x v="0"/>
    <x v="2"/>
    <n v="241305"/>
    <n v="241428"/>
    <n v="123"/>
    <s v="CAMPO MAIOR"/>
    <s v="BARRAS"/>
    <x v="0"/>
    <x v="0"/>
    <n v="1"/>
    <x v="0"/>
    <x v="0"/>
    <x v="0"/>
    <m/>
    <x v="0"/>
    <x v="0"/>
    <x v="0"/>
    <m/>
  </r>
  <r>
    <x v="0"/>
    <x v="0"/>
    <x v="2"/>
    <n v="241428"/>
    <n v="241438"/>
    <n v="10"/>
    <s v="BARRAS"/>
    <s v="N. S. DOS REMEDIOS"/>
    <x v="0"/>
    <x v="0"/>
    <n v="1"/>
    <x v="0"/>
    <x v="0"/>
    <x v="0"/>
    <m/>
    <x v="0"/>
    <x v="0"/>
    <x v="0"/>
    <m/>
  </r>
  <r>
    <x v="0"/>
    <x v="0"/>
    <x v="2"/>
    <n v="241438"/>
    <n v="241252"/>
    <n v="-186"/>
    <s v="N. S. DOS REMEDIOS"/>
    <s v="BARRAS"/>
    <x v="0"/>
    <x v="0"/>
    <n v="1"/>
    <x v="0"/>
    <x v="0"/>
    <x v="0"/>
    <m/>
    <x v="0"/>
    <x v="0"/>
    <x v="0"/>
    <m/>
  </r>
  <r>
    <x v="0"/>
    <x v="0"/>
    <x v="2"/>
    <n v="241252"/>
    <n v="241466"/>
    <n v="214"/>
    <s v="BARRAS"/>
    <s v="N. S. DOS REMEDIOS"/>
    <x v="0"/>
    <x v="0"/>
    <n v="1"/>
    <x v="0"/>
    <x v="0"/>
    <x v="0"/>
    <m/>
    <x v="0"/>
    <x v="0"/>
    <x v="0"/>
    <m/>
  </r>
  <r>
    <x v="0"/>
    <x v="0"/>
    <x v="2"/>
    <n v="241466"/>
    <n v="241499"/>
    <n v="33"/>
    <s v="N. S. DOS REMEDIOS"/>
    <s v="BARRAS"/>
    <x v="0"/>
    <x v="0"/>
    <n v="1"/>
    <x v="0"/>
    <x v="0"/>
    <x v="0"/>
    <m/>
    <x v="0"/>
    <x v="0"/>
    <x v="0"/>
    <m/>
  </r>
  <r>
    <x v="0"/>
    <x v="0"/>
    <x v="2"/>
    <n v="241499"/>
    <n v="241533"/>
    <n v="34"/>
    <s v="BARRAS"/>
    <s v="N. S. DOS REMEDIOS"/>
    <x v="0"/>
    <x v="0"/>
    <n v="1"/>
    <x v="0"/>
    <x v="0"/>
    <x v="0"/>
    <m/>
    <x v="0"/>
    <x v="0"/>
    <x v="0"/>
    <m/>
  </r>
  <r>
    <x v="0"/>
    <x v="0"/>
    <x v="2"/>
    <n v="241533"/>
    <n v="241549"/>
    <n v="16"/>
    <s v="N. S. DOS REMEDIOS"/>
    <s v="BARRAS"/>
    <x v="0"/>
    <x v="0"/>
    <n v="1"/>
    <x v="0"/>
    <x v="0"/>
    <x v="0"/>
    <m/>
    <x v="0"/>
    <x v="0"/>
    <x v="0"/>
    <m/>
  </r>
  <r>
    <x v="0"/>
    <x v="0"/>
    <x v="2"/>
    <n v="241549"/>
    <n v="241564"/>
    <n v="15"/>
    <s v="BARRAS"/>
    <s v="N. S. DOS REMEDIOS"/>
    <x v="0"/>
    <x v="0"/>
    <n v="1"/>
    <x v="0"/>
    <x v="0"/>
    <x v="0"/>
    <m/>
    <x v="0"/>
    <x v="0"/>
    <x v="0"/>
    <m/>
  </r>
  <r>
    <x v="0"/>
    <x v="0"/>
    <x v="2"/>
    <n v="241564"/>
    <n v="241579"/>
    <n v="15"/>
    <s v="N. S. DOS REMEDIOS"/>
    <s v="BARRAS"/>
    <x v="0"/>
    <x v="0"/>
    <n v="1"/>
    <x v="0"/>
    <x v="0"/>
    <x v="0"/>
    <m/>
    <x v="0"/>
    <x v="0"/>
    <x v="0"/>
    <m/>
  </r>
  <r>
    <x v="0"/>
    <x v="0"/>
    <x v="2"/>
    <n v="241579"/>
    <n v="241594"/>
    <n v="15"/>
    <s v="BARRAS"/>
    <s v="N. S. DOS REMEDIOS"/>
    <x v="0"/>
    <x v="0"/>
    <n v="1"/>
    <x v="0"/>
    <x v="0"/>
    <x v="0"/>
    <m/>
    <x v="0"/>
    <x v="0"/>
    <x v="0"/>
    <m/>
  </r>
  <r>
    <x v="0"/>
    <x v="0"/>
    <x v="2"/>
    <n v="241594"/>
    <n v="241838"/>
    <n v="244"/>
    <s v="N. S. DOS REMEDIOS"/>
    <s v="USINA CENTRAL"/>
    <x v="0"/>
    <x v="0"/>
    <n v="1"/>
    <x v="0"/>
    <x v="0"/>
    <x v="0"/>
    <m/>
    <x v="0"/>
    <x v="0"/>
    <x v="0"/>
    <m/>
  </r>
  <r>
    <x v="0"/>
    <x v="0"/>
    <x v="3"/>
    <n v="241838"/>
    <n v="242155"/>
    <n v="317"/>
    <s v="USINA CENTRAL"/>
    <s v="NAZARE"/>
    <x v="0"/>
    <x v="0"/>
    <n v="1"/>
    <x v="0"/>
    <x v="0"/>
    <x v="0"/>
    <m/>
    <x v="0"/>
    <x v="0"/>
    <x v="0"/>
    <m/>
  </r>
  <r>
    <x v="0"/>
    <x v="0"/>
    <x v="4"/>
    <n v="242155"/>
    <n v="242448"/>
    <n v="293"/>
    <s v="NAZARE"/>
    <s v="S. JOÃO DO PIAUI"/>
    <x v="0"/>
    <x v="0"/>
    <n v="1"/>
    <x v="0"/>
    <x v="0"/>
    <x v="0"/>
    <m/>
    <x v="0"/>
    <x v="0"/>
    <x v="0"/>
    <m/>
  </r>
  <r>
    <x v="0"/>
    <x v="0"/>
    <x v="5"/>
    <n v="242448"/>
    <n v="242500"/>
    <n v="52"/>
    <s v="S. JOÃO DO PIAUI"/>
    <s v="NAZARE"/>
    <x v="0"/>
    <x v="0"/>
    <n v="1"/>
    <x v="0"/>
    <x v="0"/>
    <x v="0"/>
    <m/>
    <x v="0"/>
    <x v="0"/>
    <x v="0"/>
    <m/>
  </r>
  <r>
    <x v="0"/>
    <x v="0"/>
    <x v="5"/>
    <n v="242500"/>
    <n v="242615"/>
    <n v="115"/>
    <s v="NAZARE"/>
    <s v="AMARANTE"/>
    <x v="0"/>
    <x v="0"/>
    <n v="1"/>
    <x v="0"/>
    <x v="0"/>
    <x v="0"/>
    <m/>
    <x v="0"/>
    <x v="0"/>
    <x v="0"/>
    <m/>
  </r>
  <r>
    <x v="0"/>
    <x v="0"/>
    <x v="5"/>
    <n v="242615"/>
    <n v="242835"/>
    <n v="220"/>
    <s v="AMARANTE"/>
    <s v="S. JOÃO DO PIAUI"/>
    <x v="0"/>
    <x v="0"/>
    <n v="1"/>
    <x v="0"/>
    <x v="0"/>
    <x v="0"/>
    <m/>
    <x v="0"/>
    <x v="0"/>
    <x v="0"/>
    <m/>
  </r>
  <r>
    <x v="0"/>
    <x v="0"/>
    <x v="5"/>
    <n v="242835"/>
    <n v="243020"/>
    <n v="185"/>
    <s v="S. JOÃO DO PIAUI"/>
    <s v="CONCEIÇÃO DO CANINDÉ"/>
    <x v="0"/>
    <x v="0"/>
    <n v="1"/>
    <x v="0"/>
    <x v="0"/>
    <x v="0"/>
    <m/>
    <x v="0"/>
    <x v="0"/>
    <x v="0"/>
    <m/>
  </r>
  <r>
    <x v="0"/>
    <x v="0"/>
    <x v="6"/>
    <n v="243020"/>
    <n v="243360"/>
    <n v="340"/>
    <s v="CONCEIÇÃO DO CANINDÉ"/>
    <s v="AMARANTE"/>
    <x v="0"/>
    <x v="0"/>
    <n v="1"/>
    <x v="0"/>
    <x v="0"/>
    <x v="0"/>
    <m/>
    <x v="0"/>
    <x v="0"/>
    <x v="0"/>
    <m/>
  </r>
  <r>
    <x v="0"/>
    <x v="0"/>
    <x v="7"/>
    <n v="243360"/>
    <n v="243383"/>
    <n v="23"/>
    <s v="AMARANTE"/>
    <s v="REGENERAÇÃO"/>
    <x v="0"/>
    <x v="0"/>
    <n v="1"/>
    <x v="0"/>
    <x v="0"/>
    <x v="0"/>
    <m/>
    <x v="0"/>
    <x v="0"/>
    <x v="0"/>
    <m/>
  </r>
  <r>
    <x v="0"/>
    <x v="0"/>
    <x v="7"/>
    <n v="243383"/>
    <n v="243476"/>
    <n v="93"/>
    <s v="REGENERAÇÃO"/>
    <s v="FLORIANO"/>
    <x v="0"/>
    <x v="0"/>
    <n v="1"/>
    <x v="0"/>
    <x v="0"/>
    <x v="0"/>
    <m/>
    <x v="0"/>
    <x v="0"/>
    <x v="0"/>
    <m/>
  </r>
  <r>
    <x v="0"/>
    <x v="0"/>
    <x v="8"/>
    <n v="243476"/>
    <n v="243585"/>
    <n v="109"/>
    <s v="FLORIANO"/>
    <s v="REGENERAÇÃO"/>
    <x v="0"/>
    <x v="0"/>
    <n v="1"/>
    <x v="0"/>
    <x v="0"/>
    <x v="0"/>
    <m/>
    <x v="0"/>
    <x v="0"/>
    <x v="0"/>
    <m/>
  </r>
  <r>
    <x v="0"/>
    <x v="0"/>
    <x v="8"/>
    <n v="243585"/>
    <n v="243615"/>
    <n v="30"/>
    <s v="REGENERAÇÃO"/>
    <s v="S. GONÇALO"/>
    <x v="0"/>
    <x v="0"/>
    <n v="1"/>
    <x v="0"/>
    <x v="0"/>
    <x v="0"/>
    <m/>
    <x v="0"/>
    <x v="0"/>
    <x v="0"/>
    <m/>
  </r>
  <r>
    <x v="0"/>
    <x v="0"/>
    <x v="9"/>
    <n v="243615"/>
    <n v="243735"/>
    <n v="120"/>
    <s v="S. GONÇALO"/>
    <s v="USINA CENTRAL"/>
    <x v="0"/>
    <x v="0"/>
    <n v="1"/>
    <x v="0"/>
    <x v="0"/>
    <x v="0"/>
    <m/>
    <x v="0"/>
    <x v="0"/>
    <x v="0"/>
    <m/>
  </r>
  <r>
    <x v="0"/>
    <x v="0"/>
    <x v="9"/>
    <n v="243735"/>
    <n v="243969"/>
    <n v="234"/>
    <s v="USINA CENTRAL"/>
    <s v="FLORIANO"/>
    <x v="0"/>
    <x v="0"/>
    <n v="1"/>
    <x v="0"/>
    <x v="0"/>
    <x v="0"/>
    <m/>
    <x v="0"/>
    <x v="0"/>
    <x v="0"/>
    <m/>
  </r>
  <r>
    <x v="0"/>
    <x v="0"/>
    <x v="10"/>
    <n v="243969"/>
    <n v="244181"/>
    <n v="212"/>
    <s v="FLORIANO"/>
    <s v="URUÇUI"/>
    <x v="0"/>
    <x v="0"/>
    <n v="1"/>
    <x v="0"/>
    <x v="0"/>
    <x v="0"/>
    <m/>
    <x v="0"/>
    <x v="0"/>
    <x v="0"/>
    <m/>
  </r>
  <r>
    <x v="0"/>
    <x v="0"/>
    <x v="10"/>
    <n v="244181"/>
    <n v="244204"/>
    <n v="23"/>
    <s v="URUÇUI"/>
    <s v="ANTONIO ALMEIDA"/>
    <x v="0"/>
    <x v="0"/>
    <n v="1"/>
    <x v="0"/>
    <x v="0"/>
    <x v="0"/>
    <m/>
    <x v="0"/>
    <x v="0"/>
    <x v="0"/>
    <m/>
  </r>
  <r>
    <x v="0"/>
    <x v="0"/>
    <x v="11"/>
    <n v="244204"/>
    <n v="244504"/>
    <n v="300"/>
    <s v="ANTONIO ALMEIDA"/>
    <s v="OEIRAS"/>
    <x v="0"/>
    <x v="0"/>
    <n v="1"/>
    <x v="0"/>
    <x v="0"/>
    <x v="0"/>
    <m/>
    <x v="0"/>
    <x v="0"/>
    <x v="0"/>
    <m/>
  </r>
  <r>
    <x v="0"/>
    <x v="0"/>
    <x v="12"/>
    <n v="244504"/>
    <n v="244736"/>
    <n v="232"/>
    <s v="OEIRAS"/>
    <s v="S. GONÇALO"/>
    <x v="0"/>
    <x v="0"/>
    <n v="1"/>
    <x v="0"/>
    <x v="0"/>
    <x v="0"/>
    <m/>
    <x v="0"/>
    <x v="0"/>
    <x v="0"/>
    <m/>
  </r>
  <r>
    <x v="0"/>
    <x v="0"/>
    <x v="12"/>
    <n v="244736"/>
    <n v="244767"/>
    <n v="31"/>
    <s v="S. GONÇALO"/>
    <s v="S. PEDRO"/>
    <x v="0"/>
    <x v="0"/>
    <n v="1"/>
    <x v="0"/>
    <x v="0"/>
    <x v="0"/>
    <m/>
    <x v="0"/>
    <x v="0"/>
    <x v="0"/>
    <m/>
  </r>
  <r>
    <x v="0"/>
    <x v="0"/>
    <x v="12"/>
    <n v="244767"/>
    <n v="244871"/>
    <n v="104"/>
    <s v="S. PEDRO"/>
    <s v="USINA CENTRAL"/>
    <x v="0"/>
    <x v="0"/>
    <n v="1"/>
    <x v="0"/>
    <x v="0"/>
    <x v="0"/>
    <m/>
    <x v="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BB806-88E6-4A66-BF0D-F41DD8C9D67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6" firstHeaderRow="0" firstDataRow="1" firstDataCol="1"/>
  <pivotFields count="19">
    <pivotField axis="axisRow" showAll="0">
      <items count="2">
        <item x="0"/>
        <item t="default"/>
      </items>
    </pivotField>
    <pivotField axis="axisRow" showAll="0">
      <items count="2">
        <item sd="0" x="0"/>
        <item t="default"/>
      </items>
    </pivotField>
    <pivotField axis="axisRow" numFmtId="14" showAll="0">
      <items count="36"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3" showAll="0"/>
    <pivotField dataField="1" numFmtId="3" showAll="0"/>
    <pivotField dataField="1" numFmtId="41"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11">
    <field x="0"/>
    <field x="1"/>
    <field x="2"/>
    <field x="8"/>
    <field x="9"/>
    <field x="11"/>
    <field x="12"/>
    <field x="13"/>
    <field x="15"/>
    <field x="16"/>
    <field x="17"/>
  </rowFields>
  <rowItems count="3">
    <i>
      <x/>
    </i>
    <i r="1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KM/HORA INIC" fld="3" baseField="0" baseItem="0" numFmtId="3"/>
    <dataField name="Soma de KM/HORA FIM" fld="4" baseField="0" baseItem="0" numFmtId="3"/>
    <dataField name="Soma de TOTAL" fld="5" baseField="0" baseItem="0" numFmtId="41"/>
    <dataField name="Soma de DIAS TRABALHADOS" fld="10" baseField="0" baseItem="0"/>
    <dataField name="Soma de ALUGUEL" fld="14" baseField="0" baseItem="0"/>
    <dataField name="Soma de VL TOTAL BM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49CD0-8246-47A3-92B4-AA77AD6AD5A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G5" firstHeaderRow="0" firstDataRow="1" firstDataCol="2"/>
  <pivotFields count="19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numFmtId="3" outline="0" subtotalTop="0" showAll="0" defaultSubtotal="0"/>
    <pivotField compact="0" numFmtId="3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">
    <i>
      <x/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IAS DISPONIVEIS" fld="9" subtotal="count" baseField="0" baseItem="0"/>
    <dataField name="MANUTENÇÃO." fld="16" baseField="0" baseItem="0" numFmtId="44"/>
    <dataField name="HORA EXTRA." fld="17" baseField="6" baseItem="1"/>
    <dataField name="VL. TOTAL BM" fld="18" baseField="6" baseItem="0" numFmtId="44"/>
    <dataField name="Soma de DIAS TRABALHADOS" fld="10" baseField="0" baseItem="0"/>
  </dataFields>
  <formats count="16">
    <format dxfId="15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14">
      <pivotArea outline="0" fieldPosition="0">
        <references count="1">
          <reference field="4294967294" count="1" selected="0">
            <x v="2"/>
          </reference>
        </references>
      </pivotArea>
    </format>
    <format dxfId="13">
      <pivotArea field="1" type="button" dataOnly="0" labelOnly="1" outline="0" axis="axisRow" fieldPosition="1"/>
    </format>
    <format dxfId="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">
      <pivotArea field="1" type="button" dataOnly="0" labelOnly="1" outline="0" axis="axisRow" fieldPosition="1"/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outline="0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075F-4702-4586-9318-FE6C6E4D06F2}">
  <dimension ref="A3:G6"/>
  <sheetViews>
    <sheetView workbookViewId="0">
      <selection activeCell="A11" sqref="A11"/>
    </sheetView>
  </sheetViews>
  <sheetFormatPr defaultRowHeight="15" x14ac:dyDescent="0.25"/>
  <cols>
    <col min="1" max="1" width="55.85546875" bestFit="1" customWidth="1"/>
    <col min="2" max="2" width="22.5703125" bestFit="1" customWidth="1"/>
    <col min="3" max="3" width="22.28515625" bestFit="1" customWidth="1"/>
    <col min="4" max="4" width="14.7109375" bestFit="1" customWidth="1"/>
    <col min="5" max="5" width="27.140625" bestFit="1" customWidth="1"/>
    <col min="6" max="6" width="17.5703125" bestFit="1" customWidth="1"/>
    <col min="7" max="7" width="20.85546875" bestFit="1" customWidth="1"/>
  </cols>
  <sheetData>
    <row r="3" spans="1:7" x14ac:dyDescent="0.25">
      <c r="A3" s="23" t="s">
        <v>36</v>
      </c>
      <c r="B3" t="s">
        <v>37</v>
      </c>
      <c r="C3" t="s">
        <v>38</v>
      </c>
      <c r="D3" t="s">
        <v>39</v>
      </c>
      <c r="E3" t="s">
        <v>18</v>
      </c>
      <c r="F3" t="s">
        <v>40</v>
      </c>
      <c r="G3" t="s">
        <v>41</v>
      </c>
    </row>
    <row r="4" spans="1:7" x14ac:dyDescent="0.25">
      <c r="A4" s="40" t="s">
        <v>25</v>
      </c>
      <c r="B4" s="42">
        <v>8243869</v>
      </c>
      <c r="C4" s="42">
        <v>8248484</v>
      </c>
      <c r="D4" s="43">
        <v>4615</v>
      </c>
      <c r="E4">
        <v>34</v>
      </c>
      <c r="F4">
        <v>46150</v>
      </c>
      <c r="G4">
        <v>46150</v>
      </c>
    </row>
    <row r="5" spans="1:7" x14ac:dyDescent="0.25">
      <c r="A5" s="41" t="s">
        <v>26</v>
      </c>
      <c r="B5" s="42">
        <v>8243869</v>
      </c>
      <c r="C5" s="42">
        <v>8248484</v>
      </c>
      <c r="D5" s="43">
        <v>4615</v>
      </c>
      <c r="E5">
        <v>34</v>
      </c>
      <c r="F5">
        <v>46150</v>
      </c>
      <c r="G5">
        <v>46150</v>
      </c>
    </row>
    <row r="6" spans="1:7" x14ac:dyDescent="0.25">
      <c r="A6" s="40" t="s">
        <v>23</v>
      </c>
      <c r="B6" s="42">
        <v>8243869</v>
      </c>
      <c r="C6" s="42">
        <v>8248484</v>
      </c>
      <c r="D6" s="43">
        <v>4615</v>
      </c>
      <c r="E6">
        <v>34</v>
      </c>
      <c r="F6">
        <v>46150</v>
      </c>
      <c r="G6">
        <v>46150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theme="5" tint="0.39997558519241921"/>
  </sheetPr>
  <dimension ref="B1:T43"/>
  <sheetViews>
    <sheetView topLeftCell="A11" zoomScale="50" zoomScaleNormal="50" workbookViewId="0">
      <selection activeCell="B44" sqref="B44"/>
    </sheetView>
  </sheetViews>
  <sheetFormatPr defaultRowHeight="15" outlineLevelRow="1" x14ac:dyDescent="0.25"/>
  <cols>
    <col min="1" max="1" width="4.42578125" customWidth="1"/>
    <col min="2" max="2" width="15.28515625" style="13" customWidth="1"/>
    <col min="3" max="3" width="74.42578125" customWidth="1"/>
    <col min="4" max="4" width="13.140625" bestFit="1" customWidth="1"/>
    <col min="5" max="5" width="19" style="2" customWidth="1"/>
    <col min="6" max="6" width="21.42578125" style="2" customWidth="1"/>
    <col min="7" max="7" width="17.28515625" style="2" customWidth="1"/>
    <col min="8" max="8" width="34.140625" customWidth="1"/>
    <col min="9" max="9" width="31.5703125" customWidth="1"/>
    <col min="10" max="10" width="14.42578125" customWidth="1"/>
    <col min="11" max="11" width="18.5703125" bestFit="1" customWidth="1"/>
    <col min="12" max="12" width="22.28515625" style="2" customWidth="1"/>
    <col min="13" max="13" width="22.85546875" style="2" customWidth="1"/>
    <col min="14" max="14" width="17" bestFit="1" customWidth="1"/>
    <col min="15" max="15" width="17.140625" customWidth="1"/>
    <col min="16" max="16" width="14.28515625" style="2" bestFit="1" customWidth="1"/>
    <col min="17" max="17" width="14.7109375" style="2" bestFit="1" customWidth="1"/>
    <col min="18" max="18" width="15.140625" style="2" bestFit="1" customWidth="1"/>
    <col min="19" max="19" width="14.7109375" style="2" customWidth="1"/>
    <col min="20" max="20" width="15.7109375" customWidth="1"/>
  </cols>
  <sheetData>
    <row r="1" spans="2:20" ht="14.45" customHeight="1" x14ac:dyDescent="0.25">
      <c r="B1" s="49" t="s">
        <v>27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49" t="s">
        <v>43</v>
      </c>
      <c r="O1" s="50"/>
      <c r="P1" s="50"/>
      <c r="Q1" s="50"/>
      <c r="R1" s="50"/>
      <c r="S1" s="50"/>
      <c r="T1" s="50"/>
    </row>
    <row r="2" spans="2:20" ht="14.45" customHeight="1" x14ac:dyDescent="0.25"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  <c r="N2" s="52"/>
      <c r="O2" s="53"/>
      <c r="P2" s="53"/>
      <c r="Q2" s="53"/>
      <c r="R2" s="53"/>
      <c r="S2" s="53"/>
      <c r="T2" s="53"/>
    </row>
    <row r="3" spans="2:20" ht="14.45" customHeight="1" x14ac:dyDescent="0.25"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7"/>
      <c r="N3" s="55"/>
      <c r="O3" s="56"/>
      <c r="P3" s="56"/>
      <c r="Q3" s="56"/>
      <c r="R3" s="56"/>
      <c r="S3" s="56"/>
      <c r="T3" s="56"/>
    </row>
    <row r="4" spans="2:20" ht="32.25" x14ac:dyDescent="0.25">
      <c r="B4" s="58" t="s">
        <v>42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27"/>
      <c r="O4" s="27"/>
      <c r="P4" s="27"/>
      <c r="Q4" s="27"/>
      <c r="R4" s="27"/>
      <c r="S4" s="27"/>
      <c r="T4" s="27"/>
    </row>
    <row r="6" spans="2:20" x14ac:dyDescent="0.25">
      <c r="D6" s="1"/>
      <c r="E6" s="30"/>
      <c r="F6" s="30"/>
      <c r="G6" s="30"/>
      <c r="H6" s="31"/>
      <c r="I6" s="31"/>
      <c r="J6" s="32"/>
      <c r="K6" s="31"/>
      <c r="L6" s="30"/>
      <c r="M6" s="30"/>
      <c r="N6" s="33"/>
      <c r="O6" s="1"/>
      <c r="P6" s="34"/>
      <c r="Q6" s="28"/>
      <c r="R6" s="28"/>
      <c r="S6" s="35"/>
      <c r="T6" s="32"/>
    </row>
    <row r="7" spans="2:20" x14ac:dyDescent="0.25">
      <c r="B7" s="38" t="s">
        <v>25</v>
      </c>
      <c r="C7" s="39" t="s">
        <v>26</v>
      </c>
      <c r="D7" s="3"/>
      <c r="E7" s="4"/>
      <c r="F7" s="4"/>
      <c r="G7" s="4"/>
      <c r="H7" s="3"/>
      <c r="I7" s="3"/>
      <c r="J7" s="3"/>
      <c r="K7" s="3"/>
      <c r="L7" s="4"/>
      <c r="M7" s="4"/>
      <c r="N7" s="47" t="str">
        <f>N$1</f>
        <v>BM FEVEREIRO 2026</v>
      </c>
      <c r="O7" s="47"/>
      <c r="P7" s="47"/>
      <c r="Q7" s="18" t="s">
        <v>2</v>
      </c>
      <c r="R7" s="48"/>
      <c r="S7" s="48"/>
      <c r="T7" s="48"/>
    </row>
    <row r="8" spans="2:20" x14ac:dyDescent="0.25">
      <c r="B8" s="11" t="s">
        <v>0</v>
      </c>
      <c r="C8" s="5" t="s">
        <v>1</v>
      </c>
      <c r="D8" s="5" t="s">
        <v>3</v>
      </c>
      <c r="E8" s="6" t="s">
        <v>4</v>
      </c>
      <c r="F8" s="6" t="s">
        <v>5</v>
      </c>
      <c r="G8" s="6" t="s">
        <v>6</v>
      </c>
      <c r="H8" s="5" t="s">
        <v>28</v>
      </c>
      <c r="I8" s="5" t="s">
        <v>29</v>
      </c>
      <c r="J8" s="6" t="s">
        <v>7</v>
      </c>
      <c r="K8" s="6" t="s">
        <v>8</v>
      </c>
      <c r="L8" s="6" t="s">
        <v>9</v>
      </c>
      <c r="M8" s="6" t="s">
        <v>10</v>
      </c>
      <c r="N8" s="5" t="s">
        <v>3</v>
      </c>
      <c r="O8" s="5" t="s">
        <v>11</v>
      </c>
      <c r="P8" s="6" t="s">
        <v>24</v>
      </c>
      <c r="Q8" s="6" t="s">
        <v>12</v>
      </c>
      <c r="R8" s="6" t="s">
        <v>13</v>
      </c>
      <c r="S8" s="6" t="s">
        <v>14</v>
      </c>
      <c r="T8" s="6" t="s">
        <v>15</v>
      </c>
    </row>
    <row r="9" spans="2:20" outlineLevel="1" x14ac:dyDescent="0.25">
      <c r="B9" s="12" t="s">
        <v>25</v>
      </c>
      <c r="C9" s="7" t="s">
        <v>26</v>
      </c>
      <c r="D9" s="8">
        <v>46056</v>
      </c>
      <c r="E9" s="37">
        <v>240256</v>
      </c>
      <c r="F9" s="37">
        <v>240277</v>
      </c>
      <c r="G9" s="36">
        <f>F9-E9</f>
        <v>21</v>
      </c>
      <c r="H9" s="15" t="s">
        <v>44</v>
      </c>
      <c r="I9" s="15" t="s">
        <v>45</v>
      </c>
      <c r="J9" s="10"/>
      <c r="K9" s="15"/>
      <c r="L9" s="14">
        <v>1</v>
      </c>
      <c r="M9" s="14"/>
      <c r="N9" s="16"/>
      <c r="O9" s="8"/>
      <c r="P9" s="9">
        <f>SUM(G9:G42)*10</f>
        <v>46150</v>
      </c>
      <c r="Q9" s="9"/>
      <c r="R9" s="9"/>
      <c r="S9" s="26"/>
      <c r="T9" s="10">
        <f>P9</f>
        <v>46150</v>
      </c>
    </row>
    <row r="10" spans="2:20" outlineLevel="1" x14ac:dyDescent="0.25">
      <c r="B10" s="12" t="s">
        <v>25</v>
      </c>
      <c r="C10" s="7" t="s">
        <v>26</v>
      </c>
      <c r="D10" s="8">
        <v>46057</v>
      </c>
      <c r="E10" s="37">
        <f>F9</f>
        <v>240277</v>
      </c>
      <c r="F10" s="37">
        <v>241007</v>
      </c>
      <c r="G10" s="36">
        <f>F10-E10</f>
        <v>730</v>
      </c>
      <c r="H10" s="15" t="str">
        <f>I9</f>
        <v>S. JOÃO DO PIAUI</v>
      </c>
      <c r="I10" s="15" t="s">
        <v>30</v>
      </c>
      <c r="J10" s="10"/>
      <c r="K10" s="15"/>
      <c r="L10" s="14">
        <v>1</v>
      </c>
      <c r="M10" s="14"/>
      <c r="N10" s="15"/>
      <c r="O10" s="8"/>
      <c r="P10" s="17"/>
      <c r="Q10" s="9"/>
      <c r="R10" s="9"/>
      <c r="S10" s="26"/>
      <c r="T10" s="10"/>
    </row>
    <row r="11" spans="2:20" outlineLevel="1" x14ac:dyDescent="0.25">
      <c r="B11" s="12" t="s">
        <v>25</v>
      </c>
      <c r="C11" s="7" t="s">
        <v>26</v>
      </c>
      <c r="D11" s="8">
        <v>46057</v>
      </c>
      <c r="E11" s="37">
        <f t="shared" ref="E11:E42" si="0">F10</f>
        <v>241007</v>
      </c>
      <c r="F11" s="37">
        <v>241196</v>
      </c>
      <c r="G11" s="36">
        <f t="shared" ref="G11:G39" si="1">F11-E11</f>
        <v>189</v>
      </c>
      <c r="H11" s="15" t="str">
        <f t="shared" ref="H11:H42" si="2">I10</f>
        <v>USINA CENTRAL</v>
      </c>
      <c r="I11" s="15" t="s">
        <v>46</v>
      </c>
      <c r="J11" s="10"/>
      <c r="K11" s="15"/>
      <c r="L11" s="14">
        <v>1</v>
      </c>
      <c r="M11" s="14"/>
      <c r="N11" s="15"/>
      <c r="O11" s="8"/>
      <c r="P11" s="17"/>
      <c r="Q11" s="9"/>
      <c r="R11" s="9"/>
      <c r="S11" s="26"/>
      <c r="T11" s="10"/>
    </row>
    <row r="12" spans="2:20" outlineLevel="1" x14ac:dyDescent="0.25">
      <c r="B12" s="12" t="s">
        <v>25</v>
      </c>
      <c r="C12" s="7" t="s">
        <v>26</v>
      </c>
      <c r="D12" s="8">
        <v>46058</v>
      </c>
      <c r="E12" s="37">
        <f t="shared" si="0"/>
        <v>241196</v>
      </c>
      <c r="F12" s="37">
        <v>241305</v>
      </c>
      <c r="G12" s="36">
        <f t="shared" si="1"/>
        <v>109</v>
      </c>
      <c r="H12" s="15" t="str">
        <f t="shared" si="2"/>
        <v>CASTELO DO PIAUI</v>
      </c>
      <c r="I12" s="15" t="s">
        <v>47</v>
      </c>
      <c r="J12" s="10"/>
      <c r="K12" s="15"/>
      <c r="L12" s="14">
        <v>1</v>
      </c>
      <c r="M12" s="14"/>
      <c r="N12" s="15"/>
      <c r="O12" s="8"/>
      <c r="P12" s="17"/>
      <c r="Q12" s="9"/>
      <c r="R12" s="9"/>
      <c r="S12" s="26"/>
      <c r="T12" s="10"/>
    </row>
    <row r="13" spans="2:20" outlineLevel="1" x14ac:dyDescent="0.25">
      <c r="B13" s="12" t="s">
        <v>25</v>
      </c>
      <c r="C13" s="7" t="s">
        <v>26</v>
      </c>
      <c r="D13" s="8">
        <v>46058</v>
      </c>
      <c r="E13" s="37">
        <f t="shared" si="0"/>
        <v>241305</v>
      </c>
      <c r="F13" s="37">
        <v>241428</v>
      </c>
      <c r="G13" s="36">
        <f t="shared" si="1"/>
        <v>123</v>
      </c>
      <c r="H13" s="15" t="str">
        <f t="shared" si="2"/>
        <v>CAMPO MAIOR</v>
      </c>
      <c r="I13" s="15" t="s">
        <v>31</v>
      </c>
      <c r="J13" s="10"/>
      <c r="K13" s="15"/>
      <c r="L13" s="14">
        <v>1</v>
      </c>
      <c r="M13" s="14"/>
      <c r="N13" s="15"/>
      <c r="O13" s="8"/>
      <c r="P13" s="17"/>
      <c r="Q13" s="9"/>
      <c r="R13" s="9"/>
      <c r="S13" s="26"/>
      <c r="T13" s="10"/>
    </row>
    <row r="14" spans="2:20" outlineLevel="1" x14ac:dyDescent="0.25">
      <c r="B14" s="12" t="s">
        <v>25</v>
      </c>
      <c r="C14" s="7" t="s">
        <v>26</v>
      </c>
      <c r="D14" s="8">
        <v>46058</v>
      </c>
      <c r="E14" s="37">
        <f t="shared" si="0"/>
        <v>241428</v>
      </c>
      <c r="F14" s="37">
        <v>241438</v>
      </c>
      <c r="G14" s="36">
        <f t="shared" si="1"/>
        <v>10</v>
      </c>
      <c r="H14" s="15" t="str">
        <f t="shared" si="2"/>
        <v>BARRAS</v>
      </c>
      <c r="I14" s="15" t="s">
        <v>48</v>
      </c>
      <c r="J14" s="10"/>
      <c r="K14" s="15"/>
      <c r="L14" s="14">
        <v>1</v>
      </c>
      <c r="M14" s="14"/>
      <c r="N14" s="15"/>
      <c r="O14" s="8"/>
      <c r="P14" s="17"/>
      <c r="Q14" s="9"/>
      <c r="R14" s="9"/>
      <c r="S14" s="26"/>
      <c r="T14" s="10"/>
    </row>
    <row r="15" spans="2:20" outlineLevel="1" x14ac:dyDescent="0.25">
      <c r="B15" s="12" t="s">
        <v>25</v>
      </c>
      <c r="C15" s="7" t="s">
        <v>26</v>
      </c>
      <c r="D15" s="8">
        <v>46058</v>
      </c>
      <c r="E15" s="37">
        <f t="shared" si="0"/>
        <v>241438</v>
      </c>
      <c r="F15" s="37">
        <v>241252</v>
      </c>
      <c r="G15" s="36">
        <f t="shared" si="1"/>
        <v>-186</v>
      </c>
      <c r="H15" s="15" t="str">
        <f t="shared" si="2"/>
        <v>N. S. DOS REMEDIOS</v>
      </c>
      <c r="I15" s="15" t="s">
        <v>31</v>
      </c>
      <c r="J15" s="10"/>
      <c r="K15" s="15"/>
      <c r="L15" s="14">
        <v>1</v>
      </c>
      <c r="M15" s="14"/>
      <c r="N15" s="15"/>
      <c r="O15" s="8"/>
      <c r="P15" s="17"/>
      <c r="Q15" s="9"/>
      <c r="R15" s="9"/>
      <c r="S15" s="26"/>
      <c r="T15" s="10"/>
    </row>
    <row r="16" spans="2:20" outlineLevel="1" x14ac:dyDescent="0.25">
      <c r="B16" s="12" t="s">
        <v>25</v>
      </c>
      <c r="C16" s="7" t="s">
        <v>26</v>
      </c>
      <c r="D16" s="8">
        <v>46058</v>
      </c>
      <c r="E16" s="37">
        <f t="shared" si="0"/>
        <v>241252</v>
      </c>
      <c r="F16" s="37">
        <v>241466</v>
      </c>
      <c r="G16" s="36">
        <f t="shared" si="1"/>
        <v>214</v>
      </c>
      <c r="H16" s="15" t="str">
        <f t="shared" si="2"/>
        <v>BARRAS</v>
      </c>
      <c r="I16" s="15" t="s">
        <v>48</v>
      </c>
      <c r="J16" s="10"/>
      <c r="K16" s="15"/>
      <c r="L16" s="14">
        <v>1</v>
      </c>
      <c r="M16" s="14"/>
      <c r="N16" s="15"/>
      <c r="O16" s="8"/>
      <c r="P16" s="17"/>
      <c r="Q16" s="9"/>
      <c r="R16" s="9"/>
      <c r="S16" s="26"/>
      <c r="T16" s="10"/>
    </row>
    <row r="17" spans="2:20" outlineLevel="1" x14ac:dyDescent="0.25">
      <c r="B17" s="12" t="s">
        <v>25</v>
      </c>
      <c r="C17" s="7" t="s">
        <v>26</v>
      </c>
      <c r="D17" s="8">
        <v>46058</v>
      </c>
      <c r="E17" s="37">
        <f t="shared" si="0"/>
        <v>241466</v>
      </c>
      <c r="F17" s="37">
        <v>241499</v>
      </c>
      <c r="G17" s="36">
        <f t="shared" si="1"/>
        <v>33</v>
      </c>
      <c r="H17" s="15" t="str">
        <f t="shared" si="2"/>
        <v>N. S. DOS REMEDIOS</v>
      </c>
      <c r="I17" s="15" t="s">
        <v>31</v>
      </c>
      <c r="J17" s="10"/>
      <c r="K17" s="15"/>
      <c r="L17" s="14">
        <v>1</v>
      </c>
      <c r="M17" s="14"/>
      <c r="N17" s="15"/>
      <c r="O17" s="8"/>
      <c r="P17" s="17"/>
      <c r="Q17" s="9"/>
      <c r="R17" s="9"/>
      <c r="S17" s="26"/>
      <c r="T17" s="10"/>
    </row>
    <row r="18" spans="2:20" outlineLevel="1" x14ac:dyDescent="0.25">
      <c r="B18" s="12" t="s">
        <v>25</v>
      </c>
      <c r="C18" s="7" t="s">
        <v>26</v>
      </c>
      <c r="D18" s="8">
        <v>46058</v>
      </c>
      <c r="E18" s="37">
        <f t="shared" si="0"/>
        <v>241499</v>
      </c>
      <c r="F18" s="37">
        <v>241533</v>
      </c>
      <c r="G18" s="36">
        <f t="shared" si="1"/>
        <v>34</v>
      </c>
      <c r="H18" s="15" t="str">
        <f t="shared" si="2"/>
        <v>BARRAS</v>
      </c>
      <c r="I18" s="15" t="s">
        <v>48</v>
      </c>
      <c r="J18" s="10"/>
      <c r="K18" s="15"/>
      <c r="L18" s="14">
        <v>1</v>
      </c>
      <c r="M18" s="14"/>
      <c r="N18" s="15"/>
      <c r="O18" s="8"/>
      <c r="P18" s="17"/>
      <c r="Q18" s="9"/>
      <c r="R18" s="9"/>
      <c r="S18" s="26"/>
      <c r="T18" s="10"/>
    </row>
    <row r="19" spans="2:20" outlineLevel="1" x14ac:dyDescent="0.25">
      <c r="B19" s="12" t="s">
        <v>25</v>
      </c>
      <c r="C19" s="7" t="s">
        <v>26</v>
      </c>
      <c r="D19" s="8">
        <v>46058</v>
      </c>
      <c r="E19" s="37">
        <f t="shared" si="0"/>
        <v>241533</v>
      </c>
      <c r="F19" s="37">
        <v>241549</v>
      </c>
      <c r="G19" s="36">
        <f t="shared" si="1"/>
        <v>16</v>
      </c>
      <c r="H19" s="15" t="str">
        <f t="shared" si="2"/>
        <v>N. S. DOS REMEDIOS</v>
      </c>
      <c r="I19" s="15" t="s">
        <v>31</v>
      </c>
      <c r="J19" s="10"/>
      <c r="K19" s="15"/>
      <c r="L19" s="14">
        <v>1</v>
      </c>
      <c r="M19" s="14"/>
      <c r="N19" s="15"/>
      <c r="O19" s="8"/>
      <c r="P19" s="17"/>
      <c r="Q19" s="9"/>
      <c r="R19" s="9"/>
      <c r="S19" s="26"/>
      <c r="T19" s="10"/>
    </row>
    <row r="20" spans="2:20" outlineLevel="1" x14ac:dyDescent="0.25">
      <c r="B20" s="12" t="s">
        <v>25</v>
      </c>
      <c r="C20" s="7" t="s">
        <v>26</v>
      </c>
      <c r="D20" s="8">
        <v>46058</v>
      </c>
      <c r="E20" s="37">
        <f t="shared" si="0"/>
        <v>241549</v>
      </c>
      <c r="F20" s="37">
        <v>241564</v>
      </c>
      <c r="G20" s="36">
        <f t="shared" si="1"/>
        <v>15</v>
      </c>
      <c r="H20" s="15" t="str">
        <f t="shared" si="2"/>
        <v>BARRAS</v>
      </c>
      <c r="I20" s="15" t="s">
        <v>48</v>
      </c>
      <c r="J20" s="10"/>
      <c r="K20" s="15"/>
      <c r="L20" s="14">
        <v>1</v>
      </c>
      <c r="M20" s="14"/>
      <c r="N20" s="15"/>
      <c r="O20" s="8"/>
      <c r="P20" s="17"/>
      <c r="Q20" s="9"/>
      <c r="R20" s="9"/>
      <c r="S20" s="26"/>
      <c r="T20" s="10"/>
    </row>
    <row r="21" spans="2:20" outlineLevel="1" x14ac:dyDescent="0.25">
      <c r="B21" s="12" t="s">
        <v>25</v>
      </c>
      <c r="C21" s="7" t="s">
        <v>26</v>
      </c>
      <c r="D21" s="8">
        <v>46058</v>
      </c>
      <c r="E21" s="37">
        <f t="shared" si="0"/>
        <v>241564</v>
      </c>
      <c r="F21" s="37">
        <v>241579</v>
      </c>
      <c r="G21" s="36">
        <f t="shared" si="1"/>
        <v>15</v>
      </c>
      <c r="H21" s="15" t="str">
        <f t="shared" si="2"/>
        <v>N. S. DOS REMEDIOS</v>
      </c>
      <c r="I21" s="15" t="s">
        <v>31</v>
      </c>
      <c r="J21" s="10"/>
      <c r="K21" s="15"/>
      <c r="L21" s="14">
        <v>1</v>
      </c>
      <c r="M21" s="14"/>
      <c r="N21" s="15"/>
      <c r="O21" s="8"/>
      <c r="P21" s="17"/>
      <c r="Q21" s="9"/>
      <c r="R21" s="9"/>
      <c r="S21" s="26"/>
      <c r="T21" s="10"/>
    </row>
    <row r="22" spans="2:20" outlineLevel="1" x14ac:dyDescent="0.25">
      <c r="B22" s="12" t="s">
        <v>25</v>
      </c>
      <c r="C22" s="7" t="s">
        <v>26</v>
      </c>
      <c r="D22" s="8">
        <v>46058</v>
      </c>
      <c r="E22" s="37">
        <f t="shared" si="0"/>
        <v>241579</v>
      </c>
      <c r="F22" s="37">
        <v>241594</v>
      </c>
      <c r="G22" s="36">
        <f t="shared" si="1"/>
        <v>15</v>
      </c>
      <c r="H22" s="15" t="str">
        <f t="shared" si="2"/>
        <v>BARRAS</v>
      </c>
      <c r="I22" s="15" t="s">
        <v>48</v>
      </c>
      <c r="J22" s="10"/>
      <c r="K22" s="15"/>
      <c r="L22" s="14">
        <v>1</v>
      </c>
      <c r="M22" s="14"/>
      <c r="N22" s="15"/>
      <c r="O22" s="8"/>
      <c r="P22" s="17"/>
      <c r="Q22" s="9"/>
      <c r="R22" s="9"/>
      <c r="S22" s="26"/>
      <c r="T22" s="10"/>
    </row>
    <row r="23" spans="2:20" outlineLevel="1" x14ac:dyDescent="0.25">
      <c r="B23" s="12" t="s">
        <v>25</v>
      </c>
      <c r="C23" s="7" t="s">
        <v>26</v>
      </c>
      <c r="D23" s="8">
        <v>46058</v>
      </c>
      <c r="E23" s="37">
        <f t="shared" si="0"/>
        <v>241594</v>
      </c>
      <c r="F23" s="37">
        <v>241838</v>
      </c>
      <c r="G23" s="36">
        <f t="shared" si="1"/>
        <v>244</v>
      </c>
      <c r="H23" s="15" t="str">
        <f t="shared" si="2"/>
        <v>N. S. DOS REMEDIOS</v>
      </c>
      <c r="I23" s="15" t="s">
        <v>30</v>
      </c>
      <c r="J23" s="10"/>
      <c r="K23" s="15"/>
      <c r="L23" s="14">
        <v>1</v>
      </c>
      <c r="M23" s="14"/>
      <c r="N23" s="15"/>
      <c r="O23" s="8"/>
      <c r="P23" s="17"/>
      <c r="Q23" s="9"/>
      <c r="R23" s="9"/>
      <c r="S23" s="26"/>
      <c r="T23" s="10"/>
    </row>
    <row r="24" spans="2:20" outlineLevel="1" x14ac:dyDescent="0.25">
      <c r="B24" s="12" t="s">
        <v>25</v>
      </c>
      <c r="C24" s="7" t="s">
        <v>26</v>
      </c>
      <c r="D24" s="8">
        <v>46059</v>
      </c>
      <c r="E24" s="37">
        <f t="shared" si="0"/>
        <v>241838</v>
      </c>
      <c r="F24" s="37">
        <v>242155</v>
      </c>
      <c r="G24" s="36">
        <f t="shared" si="1"/>
        <v>317</v>
      </c>
      <c r="H24" s="15" t="str">
        <f t="shared" si="2"/>
        <v>USINA CENTRAL</v>
      </c>
      <c r="I24" s="15" t="s">
        <v>49</v>
      </c>
      <c r="J24" s="10"/>
      <c r="K24" s="15"/>
      <c r="L24" s="14">
        <v>1</v>
      </c>
      <c r="M24" s="14"/>
      <c r="N24" s="15"/>
      <c r="O24" s="8"/>
      <c r="P24" s="17"/>
      <c r="Q24" s="9"/>
      <c r="R24" s="9"/>
      <c r="S24" s="26"/>
      <c r="T24" s="10"/>
    </row>
    <row r="25" spans="2:20" outlineLevel="1" x14ac:dyDescent="0.25">
      <c r="B25" s="12" t="s">
        <v>25</v>
      </c>
      <c r="C25" s="7" t="s">
        <v>26</v>
      </c>
      <c r="D25" s="8">
        <v>46061</v>
      </c>
      <c r="E25" s="37">
        <f t="shared" si="0"/>
        <v>242155</v>
      </c>
      <c r="F25" s="37">
        <v>242448</v>
      </c>
      <c r="G25" s="36">
        <f t="shared" si="1"/>
        <v>293</v>
      </c>
      <c r="H25" s="15" t="str">
        <f t="shared" si="2"/>
        <v>NAZARE</v>
      </c>
      <c r="I25" s="15" t="s">
        <v>45</v>
      </c>
      <c r="J25" s="10"/>
      <c r="K25" s="15"/>
      <c r="L25" s="14">
        <v>1</v>
      </c>
      <c r="M25" s="14"/>
      <c r="N25" s="15"/>
      <c r="O25" s="8"/>
      <c r="P25" s="17"/>
      <c r="Q25" s="9"/>
      <c r="R25" s="9"/>
      <c r="S25" s="26"/>
      <c r="T25" s="10"/>
    </row>
    <row r="26" spans="2:20" outlineLevel="1" x14ac:dyDescent="0.25">
      <c r="B26" s="12" t="s">
        <v>25</v>
      </c>
      <c r="C26" s="7" t="s">
        <v>26</v>
      </c>
      <c r="D26" s="8">
        <v>46064</v>
      </c>
      <c r="E26" s="37">
        <f t="shared" si="0"/>
        <v>242448</v>
      </c>
      <c r="F26" s="37">
        <v>242500</v>
      </c>
      <c r="G26" s="36">
        <f t="shared" si="1"/>
        <v>52</v>
      </c>
      <c r="H26" s="15" t="str">
        <f t="shared" si="2"/>
        <v>S. JOÃO DO PIAUI</v>
      </c>
      <c r="I26" s="15" t="s">
        <v>49</v>
      </c>
      <c r="J26" s="10"/>
      <c r="K26" s="15"/>
      <c r="L26" s="14">
        <v>1</v>
      </c>
      <c r="M26" s="14"/>
      <c r="N26" s="15"/>
      <c r="O26" s="8"/>
      <c r="P26" s="17"/>
      <c r="Q26" s="9"/>
      <c r="R26" s="9"/>
      <c r="S26" s="26"/>
      <c r="T26" s="10"/>
    </row>
    <row r="27" spans="2:20" outlineLevel="1" x14ac:dyDescent="0.25">
      <c r="B27" s="12" t="s">
        <v>25</v>
      </c>
      <c r="C27" s="7" t="s">
        <v>26</v>
      </c>
      <c r="D27" s="8">
        <v>46064</v>
      </c>
      <c r="E27" s="37">
        <f t="shared" si="0"/>
        <v>242500</v>
      </c>
      <c r="F27" s="37">
        <v>242615</v>
      </c>
      <c r="G27" s="36">
        <f t="shared" si="1"/>
        <v>115</v>
      </c>
      <c r="H27" s="15" t="str">
        <f t="shared" si="2"/>
        <v>NAZARE</v>
      </c>
      <c r="I27" s="15" t="s">
        <v>35</v>
      </c>
      <c r="J27" s="10"/>
      <c r="K27" s="15"/>
      <c r="L27" s="14">
        <v>1</v>
      </c>
      <c r="M27" s="14"/>
      <c r="N27" s="15"/>
      <c r="O27" s="8"/>
      <c r="P27" s="17"/>
      <c r="Q27" s="9"/>
      <c r="R27" s="9"/>
      <c r="S27" s="26"/>
      <c r="T27" s="10"/>
    </row>
    <row r="28" spans="2:20" outlineLevel="1" x14ac:dyDescent="0.25">
      <c r="B28" s="12" t="s">
        <v>25</v>
      </c>
      <c r="C28" s="7" t="s">
        <v>26</v>
      </c>
      <c r="D28" s="8">
        <v>46064</v>
      </c>
      <c r="E28" s="37">
        <f t="shared" si="0"/>
        <v>242615</v>
      </c>
      <c r="F28" s="37">
        <v>242835</v>
      </c>
      <c r="G28" s="36">
        <f t="shared" si="1"/>
        <v>220</v>
      </c>
      <c r="H28" s="15" t="str">
        <f t="shared" si="2"/>
        <v>AMARANTE</v>
      </c>
      <c r="I28" s="15" t="s">
        <v>45</v>
      </c>
      <c r="J28" s="10"/>
      <c r="K28" s="15"/>
      <c r="L28" s="14">
        <v>1</v>
      </c>
      <c r="M28" s="14"/>
      <c r="N28" s="15"/>
      <c r="O28" s="8"/>
      <c r="P28" s="17"/>
      <c r="Q28" s="9"/>
      <c r="R28" s="9"/>
      <c r="S28" s="26"/>
      <c r="T28" s="10"/>
    </row>
    <row r="29" spans="2:20" outlineLevel="1" x14ac:dyDescent="0.25">
      <c r="B29" s="12" t="s">
        <v>25</v>
      </c>
      <c r="C29" s="7" t="s">
        <v>26</v>
      </c>
      <c r="D29" s="8">
        <v>46064</v>
      </c>
      <c r="E29" s="37">
        <f t="shared" si="0"/>
        <v>242835</v>
      </c>
      <c r="F29" s="37">
        <v>243020</v>
      </c>
      <c r="G29" s="36">
        <f t="shared" si="1"/>
        <v>185</v>
      </c>
      <c r="H29" s="15" t="str">
        <f t="shared" si="2"/>
        <v>S. JOÃO DO PIAUI</v>
      </c>
      <c r="I29" s="15" t="s">
        <v>50</v>
      </c>
      <c r="J29" s="10"/>
      <c r="K29" s="15"/>
      <c r="L29" s="14">
        <v>1</v>
      </c>
      <c r="M29" s="14"/>
      <c r="N29" s="15"/>
      <c r="O29" s="8"/>
      <c r="P29" s="17"/>
      <c r="Q29" s="9"/>
      <c r="R29" s="9"/>
      <c r="S29" s="26"/>
      <c r="T29" s="10"/>
    </row>
    <row r="30" spans="2:20" outlineLevel="1" x14ac:dyDescent="0.25">
      <c r="B30" s="12" t="s">
        <v>25</v>
      </c>
      <c r="C30" s="7" t="s">
        <v>26</v>
      </c>
      <c r="D30" s="8">
        <v>46065</v>
      </c>
      <c r="E30" s="37">
        <f t="shared" si="0"/>
        <v>243020</v>
      </c>
      <c r="F30" s="37">
        <v>243360</v>
      </c>
      <c r="G30" s="36">
        <f t="shared" si="1"/>
        <v>340</v>
      </c>
      <c r="H30" s="15" t="str">
        <f t="shared" si="2"/>
        <v>CONCEIÇÃO DO CANINDÉ</v>
      </c>
      <c r="I30" s="15" t="s">
        <v>35</v>
      </c>
      <c r="J30" s="10"/>
      <c r="K30" s="15"/>
      <c r="L30" s="14">
        <v>1</v>
      </c>
      <c r="M30" s="14"/>
      <c r="N30" s="15"/>
      <c r="O30" s="8"/>
      <c r="P30" s="17"/>
      <c r="Q30" s="9"/>
      <c r="R30" s="9"/>
      <c r="S30" s="26"/>
      <c r="T30" s="10"/>
    </row>
    <row r="31" spans="2:20" outlineLevel="1" x14ac:dyDescent="0.25">
      <c r="B31" s="12" t="s">
        <v>25</v>
      </c>
      <c r="C31" s="7" t="s">
        <v>26</v>
      </c>
      <c r="D31" s="8">
        <v>46069</v>
      </c>
      <c r="E31" s="37">
        <f t="shared" si="0"/>
        <v>243360</v>
      </c>
      <c r="F31" s="37">
        <v>243383</v>
      </c>
      <c r="G31" s="36">
        <f t="shared" si="1"/>
        <v>23</v>
      </c>
      <c r="H31" s="15" t="str">
        <f t="shared" si="2"/>
        <v>AMARANTE</v>
      </c>
      <c r="I31" s="15" t="s">
        <v>34</v>
      </c>
      <c r="J31" s="10"/>
      <c r="K31" s="15"/>
      <c r="L31" s="14">
        <v>1</v>
      </c>
      <c r="M31" s="14"/>
      <c r="N31" s="15"/>
      <c r="O31" s="8"/>
      <c r="P31" s="17"/>
      <c r="Q31" s="9"/>
      <c r="R31" s="9"/>
      <c r="S31" s="26"/>
      <c r="T31" s="10"/>
    </row>
    <row r="32" spans="2:20" outlineLevel="1" x14ac:dyDescent="0.25">
      <c r="B32" s="12" t="s">
        <v>25</v>
      </c>
      <c r="C32" s="7" t="s">
        <v>26</v>
      </c>
      <c r="D32" s="8">
        <v>46069</v>
      </c>
      <c r="E32" s="37">
        <f>F31</f>
        <v>243383</v>
      </c>
      <c r="F32" s="37">
        <v>243476</v>
      </c>
      <c r="G32" s="36">
        <f t="shared" si="1"/>
        <v>93</v>
      </c>
      <c r="H32" s="15" t="str">
        <f t="shared" si="2"/>
        <v>REGENERAÇÃO</v>
      </c>
      <c r="I32" s="15" t="s">
        <v>32</v>
      </c>
      <c r="J32" s="10"/>
      <c r="K32" s="15"/>
      <c r="L32" s="14">
        <v>1</v>
      </c>
      <c r="M32" s="14"/>
      <c r="N32" s="15"/>
      <c r="O32" s="8"/>
      <c r="P32" s="17"/>
      <c r="Q32" s="9"/>
      <c r="R32" s="9"/>
      <c r="S32" s="26"/>
      <c r="T32" s="10"/>
    </row>
    <row r="33" spans="2:20" outlineLevel="1" x14ac:dyDescent="0.25">
      <c r="B33" s="12" t="s">
        <v>25</v>
      </c>
      <c r="C33" s="7" t="s">
        <v>26</v>
      </c>
      <c r="D33" s="8">
        <v>46076</v>
      </c>
      <c r="E33" s="37">
        <f t="shared" si="0"/>
        <v>243476</v>
      </c>
      <c r="F33" s="37">
        <v>243585</v>
      </c>
      <c r="G33" s="36">
        <f t="shared" si="1"/>
        <v>109</v>
      </c>
      <c r="H33" s="15" t="str">
        <f t="shared" si="2"/>
        <v>FLORIANO</v>
      </c>
      <c r="I33" s="15" t="s">
        <v>34</v>
      </c>
      <c r="J33" s="10"/>
      <c r="K33" s="15"/>
      <c r="L33" s="14">
        <v>1</v>
      </c>
      <c r="M33" s="14"/>
      <c r="N33" s="15"/>
      <c r="O33" s="8"/>
      <c r="P33" s="17"/>
      <c r="Q33" s="9"/>
      <c r="R33" s="9"/>
      <c r="S33" s="26"/>
      <c r="T33" s="10"/>
    </row>
    <row r="34" spans="2:20" outlineLevel="1" x14ac:dyDescent="0.25">
      <c r="B34" s="12" t="s">
        <v>25</v>
      </c>
      <c r="C34" s="7" t="s">
        <v>26</v>
      </c>
      <c r="D34" s="8">
        <v>46076</v>
      </c>
      <c r="E34" s="37">
        <f t="shared" si="0"/>
        <v>243585</v>
      </c>
      <c r="F34" s="37">
        <v>243615</v>
      </c>
      <c r="G34" s="36">
        <f t="shared" si="1"/>
        <v>30</v>
      </c>
      <c r="H34" s="15" t="str">
        <f t="shared" si="2"/>
        <v>REGENERAÇÃO</v>
      </c>
      <c r="I34" s="15" t="s">
        <v>51</v>
      </c>
      <c r="J34" s="10"/>
      <c r="K34" s="15"/>
      <c r="L34" s="14">
        <v>1</v>
      </c>
      <c r="M34" s="14"/>
      <c r="N34" s="15"/>
      <c r="O34" s="8"/>
      <c r="P34" s="17"/>
      <c r="Q34" s="9"/>
      <c r="R34" s="9"/>
      <c r="S34" s="26"/>
      <c r="T34" s="10"/>
    </row>
    <row r="35" spans="2:20" outlineLevel="1" x14ac:dyDescent="0.25">
      <c r="B35" s="12" t="s">
        <v>25</v>
      </c>
      <c r="C35" s="7" t="s">
        <v>26</v>
      </c>
      <c r="D35" s="8">
        <v>46077</v>
      </c>
      <c r="E35" s="37">
        <f t="shared" si="0"/>
        <v>243615</v>
      </c>
      <c r="F35" s="37">
        <v>243735</v>
      </c>
      <c r="G35" s="36">
        <f t="shared" si="1"/>
        <v>120</v>
      </c>
      <c r="H35" s="15" t="str">
        <f t="shared" si="2"/>
        <v>S. GONÇALO</v>
      </c>
      <c r="I35" s="15" t="s">
        <v>30</v>
      </c>
      <c r="J35" s="10"/>
      <c r="K35" s="15"/>
      <c r="L35" s="14">
        <v>1</v>
      </c>
      <c r="M35" s="14"/>
      <c r="N35" s="15"/>
      <c r="O35" s="8"/>
      <c r="P35" s="17"/>
      <c r="Q35" s="9"/>
      <c r="R35" s="9"/>
      <c r="S35" s="26"/>
      <c r="T35" s="10"/>
    </row>
    <row r="36" spans="2:20" outlineLevel="1" x14ac:dyDescent="0.25">
      <c r="B36" s="12" t="s">
        <v>25</v>
      </c>
      <c r="C36" s="7" t="s">
        <v>26</v>
      </c>
      <c r="D36" s="8">
        <v>46077</v>
      </c>
      <c r="E36" s="37">
        <f t="shared" si="0"/>
        <v>243735</v>
      </c>
      <c r="F36" s="37">
        <v>243969</v>
      </c>
      <c r="G36" s="36">
        <f t="shared" si="1"/>
        <v>234</v>
      </c>
      <c r="H36" s="15" t="str">
        <f t="shared" si="2"/>
        <v>USINA CENTRAL</v>
      </c>
      <c r="I36" s="15" t="s">
        <v>32</v>
      </c>
      <c r="J36" s="10"/>
      <c r="K36" s="15"/>
      <c r="L36" s="14">
        <v>1</v>
      </c>
      <c r="M36" s="14"/>
      <c r="N36" s="15"/>
      <c r="O36" s="8"/>
      <c r="P36" s="17"/>
      <c r="Q36" s="9"/>
      <c r="R36" s="9"/>
      <c r="S36" s="26"/>
      <c r="T36" s="10"/>
    </row>
    <row r="37" spans="2:20" outlineLevel="1" x14ac:dyDescent="0.25">
      <c r="B37" s="12" t="s">
        <v>25</v>
      </c>
      <c r="C37" s="7" t="s">
        <v>26</v>
      </c>
      <c r="D37" s="8">
        <v>46078</v>
      </c>
      <c r="E37" s="37">
        <f t="shared" si="0"/>
        <v>243969</v>
      </c>
      <c r="F37" s="37">
        <v>244181</v>
      </c>
      <c r="G37" s="36">
        <f t="shared" si="1"/>
        <v>212</v>
      </c>
      <c r="H37" s="15" t="str">
        <f t="shared" si="2"/>
        <v>FLORIANO</v>
      </c>
      <c r="I37" s="15" t="s">
        <v>52</v>
      </c>
      <c r="J37" s="10"/>
      <c r="K37" s="15"/>
      <c r="L37" s="14">
        <v>1</v>
      </c>
      <c r="M37" s="14"/>
      <c r="N37" s="15"/>
      <c r="O37" s="8"/>
      <c r="P37" s="17"/>
      <c r="Q37" s="9"/>
      <c r="R37" s="9"/>
      <c r="S37" s="26"/>
      <c r="T37" s="10"/>
    </row>
    <row r="38" spans="2:20" outlineLevel="1" x14ac:dyDescent="0.25">
      <c r="B38" s="12" t="s">
        <v>25</v>
      </c>
      <c r="C38" s="7" t="s">
        <v>26</v>
      </c>
      <c r="D38" s="8">
        <v>46078</v>
      </c>
      <c r="E38" s="37">
        <f t="shared" si="0"/>
        <v>244181</v>
      </c>
      <c r="F38" s="37">
        <v>244204</v>
      </c>
      <c r="G38" s="36">
        <f t="shared" si="1"/>
        <v>23</v>
      </c>
      <c r="H38" s="15" t="str">
        <f t="shared" si="2"/>
        <v>URUÇUI</v>
      </c>
      <c r="I38" s="15" t="s">
        <v>53</v>
      </c>
      <c r="J38" s="10"/>
      <c r="K38" s="15"/>
      <c r="L38" s="14">
        <v>1</v>
      </c>
      <c r="M38" s="14"/>
      <c r="N38" s="15"/>
      <c r="O38" s="8"/>
      <c r="P38" s="17"/>
      <c r="Q38" s="9"/>
      <c r="R38" s="9"/>
      <c r="S38" s="26"/>
      <c r="T38" s="10"/>
    </row>
    <row r="39" spans="2:20" outlineLevel="1" x14ac:dyDescent="0.25">
      <c r="B39" s="12" t="s">
        <v>25</v>
      </c>
      <c r="C39" s="7" t="s">
        <v>26</v>
      </c>
      <c r="D39" s="8">
        <v>46079</v>
      </c>
      <c r="E39" s="37">
        <f t="shared" si="0"/>
        <v>244204</v>
      </c>
      <c r="F39" s="37">
        <v>244504</v>
      </c>
      <c r="G39" s="36">
        <f t="shared" si="1"/>
        <v>300</v>
      </c>
      <c r="H39" s="15" t="str">
        <f t="shared" si="2"/>
        <v>ANTONIO ALMEIDA</v>
      </c>
      <c r="I39" s="15" t="s">
        <v>33</v>
      </c>
      <c r="J39" s="10"/>
      <c r="K39" s="15"/>
      <c r="L39" s="14">
        <v>1</v>
      </c>
      <c r="M39" s="14"/>
      <c r="N39" s="16"/>
      <c r="O39" s="8"/>
      <c r="P39" s="17"/>
      <c r="Q39" s="9"/>
      <c r="R39" s="9"/>
      <c r="S39" s="26"/>
      <c r="T39" s="10"/>
    </row>
    <row r="40" spans="2:20" outlineLevel="1" x14ac:dyDescent="0.25">
      <c r="B40" s="12" t="s">
        <v>25</v>
      </c>
      <c r="C40" s="7" t="s">
        <v>26</v>
      </c>
      <c r="D40" s="8">
        <v>46081</v>
      </c>
      <c r="E40" s="37">
        <f t="shared" si="0"/>
        <v>244504</v>
      </c>
      <c r="F40" s="37">
        <v>244736</v>
      </c>
      <c r="G40" s="36">
        <f t="shared" ref="G40:G42" si="3">F40-E40</f>
        <v>232</v>
      </c>
      <c r="H40" s="15" t="str">
        <f t="shared" si="2"/>
        <v>OEIRAS</v>
      </c>
      <c r="I40" s="15" t="s">
        <v>51</v>
      </c>
      <c r="J40" s="10"/>
      <c r="K40" s="15"/>
      <c r="L40" s="14">
        <v>1</v>
      </c>
      <c r="M40" s="14"/>
      <c r="N40" s="16"/>
      <c r="O40" s="8"/>
      <c r="P40" s="17"/>
      <c r="Q40" s="9"/>
      <c r="R40" s="9"/>
      <c r="S40" s="26"/>
      <c r="T40" s="10"/>
    </row>
    <row r="41" spans="2:20" outlineLevel="1" x14ac:dyDescent="0.25">
      <c r="B41" s="12" t="s">
        <v>25</v>
      </c>
      <c r="C41" s="7" t="s">
        <v>26</v>
      </c>
      <c r="D41" s="8">
        <v>46081</v>
      </c>
      <c r="E41" s="37">
        <f t="shared" si="0"/>
        <v>244736</v>
      </c>
      <c r="F41" s="37">
        <v>244767</v>
      </c>
      <c r="G41" s="36">
        <f t="shared" si="3"/>
        <v>31</v>
      </c>
      <c r="H41" s="15" t="str">
        <f t="shared" si="2"/>
        <v>S. GONÇALO</v>
      </c>
      <c r="I41" s="15" t="s">
        <v>54</v>
      </c>
      <c r="J41" s="10"/>
      <c r="K41" s="15"/>
      <c r="L41" s="14">
        <v>1</v>
      </c>
      <c r="M41" s="14"/>
      <c r="N41" s="16"/>
      <c r="O41" s="8"/>
      <c r="P41" s="17"/>
      <c r="Q41" s="9"/>
      <c r="R41" s="9"/>
      <c r="S41" s="26"/>
      <c r="T41" s="10"/>
    </row>
    <row r="42" spans="2:20" outlineLevel="1" x14ac:dyDescent="0.25">
      <c r="B42" s="12" t="s">
        <v>25</v>
      </c>
      <c r="C42" s="7" t="s">
        <v>26</v>
      </c>
      <c r="D42" s="8">
        <v>46081</v>
      </c>
      <c r="E42" s="37">
        <f t="shared" si="0"/>
        <v>244767</v>
      </c>
      <c r="F42" s="37">
        <v>244871</v>
      </c>
      <c r="G42" s="36">
        <f t="shared" si="3"/>
        <v>104</v>
      </c>
      <c r="H42" s="15" t="str">
        <f t="shared" si="2"/>
        <v>S. PEDRO</v>
      </c>
      <c r="I42" s="15" t="s">
        <v>30</v>
      </c>
      <c r="J42" s="10"/>
      <c r="K42" s="15"/>
      <c r="L42" s="14">
        <v>1</v>
      </c>
      <c r="M42" s="14"/>
      <c r="N42" s="16"/>
      <c r="O42" s="8"/>
      <c r="P42" s="17"/>
      <c r="Q42" s="9"/>
      <c r="R42" s="9"/>
      <c r="S42" s="26"/>
      <c r="T42" s="10"/>
    </row>
    <row r="43" spans="2:20" x14ac:dyDescent="0.25">
      <c r="D43" s="1"/>
      <c r="E43" s="30"/>
      <c r="F43" s="30"/>
      <c r="G43" s="30"/>
      <c r="H43" s="31"/>
      <c r="I43" s="31"/>
      <c r="J43" s="32"/>
      <c r="K43" s="31"/>
      <c r="L43" s="30"/>
      <c r="M43" s="30"/>
      <c r="N43" s="33"/>
      <c r="O43" s="1"/>
      <c r="P43" s="34"/>
      <c r="Q43" s="28"/>
      <c r="R43" s="28"/>
      <c r="S43" s="35"/>
      <c r="T43" s="32"/>
    </row>
  </sheetData>
  <mergeCells count="5">
    <mergeCell ref="N7:P7"/>
    <mergeCell ref="R7:T7"/>
    <mergeCell ref="B1:M3"/>
    <mergeCell ref="N1:T3"/>
    <mergeCell ref="B4:M4"/>
  </mergeCells>
  <phoneticPr fontId="6" type="noConversion"/>
  <pageMargins left="0.23622047244094491" right="0.23622047244094491" top="0.74803149606299213" bottom="0.74803149606299213" header="0.31496062992125984" footer="0.31496062992125984"/>
  <pageSetup paperSize="5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3326-DB61-4824-A3F6-AD4D97172BCD}">
  <sheetPr>
    <tabColor theme="5" tint="-0.249977111117893"/>
  </sheetPr>
  <dimension ref="A2:H42"/>
  <sheetViews>
    <sheetView showGridLines="0" tabSelected="1" view="pageBreakPreview" zoomScale="60" zoomScaleNormal="55" workbookViewId="0">
      <selection activeCell="C4" sqref="C4"/>
    </sheetView>
  </sheetViews>
  <sheetFormatPr defaultRowHeight="15" x14ac:dyDescent="0.25"/>
  <cols>
    <col min="1" max="1" width="67" bestFit="1" customWidth="1"/>
    <col min="2" max="2" width="66.140625" bestFit="1" customWidth="1"/>
    <col min="3" max="3" width="25.85546875" bestFit="1" customWidth="1"/>
    <col min="4" max="4" width="21.5703125" bestFit="1" customWidth="1"/>
    <col min="5" max="5" width="20.140625" bestFit="1" customWidth="1"/>
    <col min="6" max="6" width="20.42578125" style="20" bestFit="1" customWidth="1"/>
    <col min="7" max="8" width="41.5703125" bestFit="1" customWidth="1"/>
    <col min="9" max="9" width="20.42578125" bestFit="1" customWidth="1"/>
    <col min="10" max="192" width="48" bestFit="1" customWidth="1"/>
    <col min="193" max="193" width="33.7109375" bestFit="1" customWidth="1"/>
    <col min="194" max="194" width="22.85546875" bestFit="1" customWidth="1"/>
    <col min="195" max="195" width="20.28515625" bestFit="1" customWidth="1"/>
    <col min="196" max="196" width="18.85546875" bestFit="1" customWidth="1"/>
    <col min="197" max="197" width="19.140625" bestFit="1" customWidth="1"/>
  </cols>
  <sheetData>
    <row r="2" spans="1:8" x14ac:dyDescent="0.25">
      <c r="A2" s="19" t="s">
        <v>16</v>
      </c>
      <c r="B2" s="44"/>
      <c r="C2" s="44"/>
      <c r="D2" s="44"/>
      <c r="E2" s="45" t="s">
        <v>17</v>
      </c>
      <c r="F2" s="46"/>
      <c r="G2" s="29">
        <v>46054</v>
      </c>
      <c r="H2" s="29" t="s">
        <v>55</v>
      </c>
    </row>
    <row r="3" spans="1:8" x14ac:dyDescent="0.25">
      <c r="A3" s="23" t="s">
        <v>0</v>
      </c>
      <c r="B3" s="22" t="s">
        <v>1</v>
      </c>
      <c r="C3" s="21" t="s">
        <v>19</v>
      </c>
      <c r="D3" s="20" t="s">
        <v>20</v>
      </c>
      <c r="E3" s="20" t="s">
        <v>21</v>
      </c>
      <c r="F3" s="20" t="s">
        <v>22</v>
      </c>
      <c r="G3" t="s">
        <v>18</v>
      </c>
    </row>
    <row r="4" spans="1:8" ht="25.9" customHeight="1" x14ac:dyDescent="0.25">
      <c r="A4" s="20" t="s">
        <v>25</v>
      </c>
      <c r="B4" s="20" t="s">
        <v>26</v>
      </c>
      <c r="C4" s="20"/>
      <c r="D4" s="24"/>
      <c r="E4" s="25"/>
      <c r="F4" s="24">
        <v>46150</v>
      </c>
      <c r="G4" s="20">
        <v>34</v>
      </c>
    </row>
    <row r="5" spans="1:8" ht="22.9" customHeight="1" x14ac:dyDescent="0.25">
      <c r="A5" s="20" t="s">
        <v>23</v>
      </c>
      <c r="B5" s="20"/>
      <c r="C5" s="20"/>
      <c r="D5" s="24"/>
      <c r="E5" s="25"/>
      <c r="F5" s="24">
        <v>46150</v>
      </c>
      <c r="G5" s="20">
        <v>34</v>
      </c>
    </row>
    <row r="6" spans="1:8" x14ac:dyDescent="0.25">
      <c r="F6"/>
    </row>
    <row r="7" spans="1:8" x14ac:dyDescent="0.25">
      <c r="F7"/>
    </row>
    <row r="8" spans="1:8" x14ac:dyDescent="0.25">
      <c r="F8"/>
    </row>
    <row r="9" spans="1:8" x14ac:dyDescent="0.25">
      <c r="F9"/>
    </row>
    <row r="10" spans="1:8" x14ac:dyDescent="0.25">
      <c r="F10"/>
    </row>
    <row r="11" spans="1:8" x14ac:dyDescent="0.25">
      <c r="F11"/>
    </row>
    <row r="12" spans="1:8" x14ac:dyDescent="0.25">
      <c r="F12"/>
    </row>
    <row r="13" spans="1:8" x14ac:dyDescent="0.25">
      <c r="F13"/>
    </row>
    <row r="14" spans="1:8" x14ac:dyDescent="0.25">
      <c r="F14"/>
    </row>
    <row r="15" spans="1:8" x14ac:dyDescent="0.25">
      <c r="F15"/>
    </row>
    <row r="16" spans="1:8" x14ac:dyDescent="0.25">
      <c r="F16"/>
    </row>
    <row r="17" spans="6:6" x14ac:dyDescent="0.25">
      <c r="F17"/>
    </row>
    <row r="18" spans="6:6" x14ac:dyDescent="0.25">
      <c r="F18"/>
    </row>
    <row r="19" spans="6:6" x14ac:dyDescent="0.25">
      <c r="F19"/>
    </row>
    <row r="20" spans="6:6" x14ac:dyDescent="0.25">
      <c r="F20"/>
    </row>
    <row r="21" spans="6:6" x14ac:dyDescent="0.25">
      <c r="F21"/>
    </row>
    <row r="22" spans="6:6" x14ac:dyDescent="0.25">
      <c r="F22"/>
    </row>
    <row r="23" spans="6:6" x14ac:dyDescent="0.25">
      <c r="F23"/>
    </row>
    <row r="24" spans="6:6" x14ac:dyDescent="0.25">
      <c r="F24"/>
    </row>
    <row r="25" spans="6:6" x14ac:dyDescent="0.25">
      <c r="F25"/>
    </row>
    <row r="26" spans="6:6" x14ac:dyDescent="0.25">
      <c r="F26"/>
    </row>
    <row r="27" spans="6:6" x14ac:dyDescent="0.25">
      <c r="F27"/>
    </row>
    <row r="28" spans="6:6" x14ac:dyDescent="0.25">
      <c r="F28"/>
    </row>
    <row r="29" spans="6:6" x14ac:dyDescent="0.25">
      <c r="F29"/>
    </row>
    <row r="30" spans="6:6" x14ac:dyDescent="0.25">
      <c r="F30"/>
    </row>
    <row r="31" spans="6:6" x14ac:dyDescent="0.25">
      <c r="F31"/>
    </row>
    <row r="32" spans="6:6" x14ac:dyDescent="0.25">
      <c r="F32"/>
    </row>
    <row r="33" spans="6:6" x14ac:dyDescent="0.25">
      <c r="F33"/>
    </row>
    <row r="34" spans="6:6" x14ac:dyDescent="0.25">
      <c r="F34"/>
    </row>
    <row r="35" spans="6:6" x14ac:dyDescent="0.25">
      <c r="F35"/>
    </row>
    <row r="36" spans="6:6" x14ac:dyDescent="0.25">
      <c r="F36"/>
    </row>
    <row r="37" spans="6:6" x14ac:dyDescent="0.25">
      <c r="F37"/>
    </row>
    <row r="38" spans="6:6" x14ac:dyDescent="0.25">
      <c r="F38"/>
    </row>
    <row r="39" spans="6:6" x14ac:dyDescent="0.25">
      <c r="F39"/>
    </row>
    <row r="40" spans="6:6" x14ac:dyDescent="0.25">
      <c r="F40"/>
    </row>
    <row r="41" spans="6:6" x14ac:dyDescent="0.25">
      <c r="F41"/>
    </row>
    <row r="42" spans="6:6" x14ac:dyDescent="0.25">
      <c r="F42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4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Planilha2</vt:lpstr>
      <vt:lpstr>BANCO DADOS</vt:lpstr>
      <vt:lpstr>BM 06.059</vt:lpstr>
      <vt:lpstr>'BANCO DADOS'!Area_de_impressao</vt:lpstr>
      <vt:lpstr>'BM 06.059'!Area_de_impressao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2026-03-26T16:43:25Z</cp:lastPrinted>
  <dcterms:created xsi:type="dcterms:W3CDTF">2025-01-25T15:20:24Z</dcterms:created>
  <dcterms:modified xsi:type="dcterms:W3CDTF">2026-04-18T11:41:11Z</dcterms:modified>
  <cp:category/>
  <cp:contentStatus/>
</cp:coreProperties>
</file>