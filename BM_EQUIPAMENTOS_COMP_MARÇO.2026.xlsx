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64D492B4-9C09-4C33-97AA-D6893AF230D3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65" i="62" l="1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0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7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<sst xmlns="http://schemas.openxmlformats.org/spreadsheetml/2006/main" count="10414" uniqueCount="362">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</sst>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2558" zoomScale="70" zoomScaleNormal="70" workbookViewId="0">
      <selection activeCell="E2577" sqref="E257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260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348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358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358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358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358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358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358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358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358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358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358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358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358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358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358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358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358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359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359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359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359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359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 t="s">
        <v>16</v>
      </c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 t="s">
        <v>16</v>
      </c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>
        <v>1</v>
      </c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360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ref="G1826" si="531">F1826-E1826</f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359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/>
      <c r="H1828" s="16" t="s">
        <v>359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359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0"/>
        <v>0</v>
      </c>
      <c r="H1843" s="16" t="s">
        <v>359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0"/>
        <v>0</v>
      </c>
      <c r="H1844" s="16" t="s">
        <v>359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0"/>
        <v>0</v>
      </c>
      <c r="H1845" s="16" t="s">
        <v>359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0"/>
        <v>0</v>
      </c>
      <c r="H1846" s="16" t="s">
        <v>359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>
        <v>1</v>
      </c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>
        <v>1</v>
      </c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>
        <v>1</v>
      </c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>
        <v>1</v>
      </c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>
        <v>1</v>
      </c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>
        <v>1</v>
      </c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/>
      <c r="F1866" s="15"/>
      <c r="G1866" s="15">
        <f t="shared" si="541"/>
        <v>0</v>
      </c>
      <c r="H1866" s="16" t="s">
        <v>278</v>
      </c>
      <c r="I1866" s="10">
        <f t="shared" si="540"/>
        <v>903.22580645161293</v>
      </c>
      <c r="J1866" s="16" t="s">
        <v>16</v>
      </c>
      <c r="K1866" s="15">
        <v>1</v>
      </c>
      <c r="L1866" s="15"/>
      <c r="M1866" s="17"/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278</v>
      </c>
      <c r="I1867" s="10">
        <f t="shared" si="540"/>
        <v>903.22580645161293</v>
      </c>
      <c r="J1867" s="16" t="s">
        <v>16</v>
      </c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>
        <v>1</v>
      </c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>
        <v>1</v>
      </c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/>
      <c r="K1873" s="15">
        <v>1</v>
      </c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/>
      <c r="K1875" s="15">
        <v>1</v>
      </c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/>
      <c r="K1876" s="15">
        <v>1</v>
      </c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>
        <v>1</v>
      </c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>
        <v>1</v>
      </c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>
        <v>1</v>
      </c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>
        <v>1</v>
      </c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/>
      <c r="F1934" s="15"/>
      <c r="G1934" s="15">
        <f t="shared" si="558"/>
        <v>0</v>
      </c>
      <c r="H1934" s="16" t="s">
        <v>238</v>
      </c>
      <c r="I1934" s="10">
        <f t="shared" si="557"/>
        <v>464.51612903225805</v>
      </c>
      <c r="J1934" s="16" t="s">
        <v>16</v>
      </c>
      <c r="K1934" s="15"/>
      <c r="L1934" s="15"/>
      <c r="M1934" s="17"/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238</v>
      </c>
      <c r="I1935" s="10">
        <f t="shared" si="557"/>
        <v>464.51612903225805</v>
      </c>
      <c r="J1935" s="16" t="s">
        <v>16</v>
      </c>
      <c r="K1935" s="15"/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238</v>
      </c>
      <c r="I1936" s="10">
        <f t="shared" si="557"/>
        <v>464.51612903225805</v>
      </c>
      <c r="J1936" s="16" t="s">
        <v>16</v>
      </c>
      <c r="K1936" s="15"/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238</v>
      </c>
      <c r="I1937" s="10">
        <f t="shared" si="557"/>
        <v>464.51612903225805</v>
      </c>
      <c r="J1937" s="16" t="s">
        <v>16</v>
      </c>
      <c r="K1937" s="15"/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238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238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238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238</v>
      </c>
      <c r="I1941" s="10">
        <f t="shared" si="557"/>
        <v>464.51612903225805</v>
      </c>
      <c r="J1941" s="16"/>
      <c r="K1941" s="15"/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238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238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238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 t="s">
        <v>16</v>
      </c>
      <c r="K2035" s="15"/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/>
      <c r="F2036" s="15"/>
      <c r="G2036" s="15">
        <f t="shared" si="586"/>
        <v>0</v>
      </c>
      <c r="H2036" s="16" t="s">
        <v>203</v>
      </c>
      <c r="I2036" s="10">
        <f t="shared" si="587"/>
        <v>464.51612903225805</v>
      </c>
      <c r="J2036" s="16" t="s">
        <v>16</v>
      </c>
      <c r="K2036" s="15"/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/>
      <c r="F2037" s="15"/>
      <c r="G2037" s="15">
        <f t="shared" si="586"/>
        <v>0</v>
      </c>
      <c r="H2037" s="16" t="s">
        <v>203</v>
      </c>
      <c r="I2037" s="10">
        <f t="shared" si="587"/>
        <v>464.51612903225805</v>
      </c>
      <c r="J2037" s="16" t="s">
        <v>16</v>
      </c>
      <c r="K2037" s="15"/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/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/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/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/>
      <c r="F2070" s="15"/>
      <c r="G2070" s="15">
        <f t="shared" si="596"/>
        <v>0</v>
      </c>
      <c r="H2070" s="16" t="s">
        <v>336</v>
      </c>
      <c r="I2070" s="10">
        <f t="shared" si="59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/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/>
      <c r="F2107" s="15"/>
      <c r="G2107" s="15">
        <f t="shared" si="604"/>
        <v>0</v>
      </c>
      <c r="H2107" s="16" t="s">
        <v>278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278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278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278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278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278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278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278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278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278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278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278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278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278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278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/>
      <c r="F2174" s="24"/>
      <c r="G2174" s="15">
        <f t="shared" si="623"/>
        <v>0</v>
      </c>
      <c r="H2174" s="16" t="s">
        <v>278</v>
      </c>
      <c r="I2174" s="10">
        <f t="shared" si="622"/>
        <v>464.51612903225805</v>
      </c>
      <c r="J2174" s="16" t="s">
        <v>16</v>
      </c>
      <c r="K2174" s="15"/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278</v>
      </c>
      <c r="I2175" s="10">
        <f t="shared" si="622"/>
        <v>464.51612903225805</v>
      </c>
      <c r="J2175" s="16" t="s">
        <v>16</v>
      </c>
      <c r="K2175" s="15"/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278</v>
      </c>
      <c r="I2176" s="10">
        <f t="shared" si="622"/>
        <v>464.51612903225805</v>
      </c>
      <c r="J2176" s="16" t="s">
        <v>16</v>
      </c>
      <c r="K2176" s="15"/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/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/>
      <c r="F2208" s="22"/>
      <c r="G2208" s="15">
        <f t="shared" si="629"/>
        <v>0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/>
      <c r="F2209" s="22"/>
      <c r="G2209" s="15">
        <f t="shared" si="629"/>
        <v>0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/>
      <c r="F2276" s="15"/>
      <c r="G2276" s="15">
        <f t="shared" si="646"/>
        <v>0</v>
      </c>
      <c r="H2276" s="16" t="s">
        <v>203</v>
      </c>
      <c r="I2276" s="10">
        <f t="shared" si="645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/>
      <c r="F2277" s="15"/>
      <c r="G2277" s="15">
        <f t="shared" si="646"/>
        <v>0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/>
      <c r="K2279" s="15"/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/>
      <c r="K2280" s="15"/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278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262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>
        <f t="shared" si="696"/>
        <v>0</v>
      </c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>
        <f t="shared" si="696"/>
        <v>0</v>
      </c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>
        <f t="shared" ref="G2480:G2495" si="706">F2480-E2480</f>
        <v>0</v>
      </c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/>
      <c r="F2481" s="15"/>
      <c r="G2481" s="15">
        <f t="shared" si="706"/>
        <v>0</v>
      </c>
      <c r="H2481" s="16" t="s">
        <v>278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/>
      <c r="F2482" s="15"/>
      <c r="G2482" s="15">
        <f t="shared" si="706"/>
        <v>0</v>
      </c>
      <c r="H2482" s="16" t="s">
        <v>278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/>
      <c r="F2542" s="15"/>
      <c r="G2542" s="15">
        <f t="shared" si="723"/>
        <v>0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1266.4000000000001</v>
      </c>
      <c r="F2543" s="15">
        <v>1275.0999999999999</v>
      </c>
      <c r="G2543" s="15">
        <f t="shared" si="723"/>
        <v>8.6999999999998181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>
        <v>1275.0999999999999</v>
      </c>
      <c r="F2544" s="15">
        <v>1280.5</v>
      </c>
      <c r="G2544" s="15">
        <f t="shared" si="723"/>
        <v>5.4000000000000909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/>
      <c r="F2547" s="15"/>
      <c r="G2547" s="15">
        <f t="shared" si="723"/>
        <v>0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/>
      <c r="F2548" s="15"/>
      <c r="G2548" s="15">
        <f t="shared" si="723"/>
        <v>0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/>
      <c r="H2567" s="16" t="s">
        <v>261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0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/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1">SUM(R2568+Q2568+I2568)</f>
        <v>464.51612903225805</v>
      </c>
    </row>
    <row r="2569" spans="2:19" outlineLevel="1">
      <c r="B2569" s="13" t="s">
        <v>172</v>
      </c>
      <c r="C2569" s="7" t="str">
        <f t="shared" si="730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/>
      <c r="H2569" s="16" t="s">
        <v>261</v>
      </c>
      <c r="I2569" s="10">
        <f t="shared" ref="I2569:I2593" si="732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1"/>
        <v>464.51612903225805</v>
      </c>
    </row>
    <row r="2570" spans="2:19" outlineLevel="1">
      <c r="B2570" s="13" t="s">
        <v>172</v>
      </c>
      <c r="C2570" s="7" t="str">
        <f t="shared" si="730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/>
      <c r="H2570" s="16" t="s">
        <v>261</v>
      </c>
      <c r="I2570" s="10">
        <f t="shared" si="732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1"/>
        <v>464.51612903225805</v>
      </c>
    </row>
    <row r="2571" spans="2:19" outlineLevel="1">
      <c r="B2571" s="13" t="s">
        <v>172</v>
      </c>
      <c r="C2571" s="7" t="str">
        <f t="shared" si="730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/>
      <c r="H2571" s="16" t="s">
        <v>261</v>
      </c>
      <c r="I2571" s="10">
        <f t="shared" si="732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1"/>
        <v>464.51612903225805</v>
      </c>
    </row>
    <row r="2572" spans="2:19" outlineLevel="1">
      <c r="B2572" s="13" t="s">
        <v>172</v>
      </c>
      <c r="C2572" s="7" t="str">
        <f t="shared" si="730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/>
      <c r="H2572" s="16" t="s">
        <v>261</v>
      </c>
      <c r="I2572" s="10">
        <f t="shared" si="732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1"/>
        <v>464.51612903225805</v>
      </c>
    </row>
    <row r="2573" spans="2:19" outlineLevel="1">
      <c r="B2573" s="13" t="s">
        <v>172</v>
      </c>
      <c r="C2573" s="7" t="str">
        <f t="shared" si="730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/>
      <c r="H2573" s="16" t="s">
        <v>261</v>
      </c>
      <c r="I2573" s="10">
        <f t="shared" si="732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1"/>
        <v>464.51612903225805</v>
      </c>
    </row>
    <row r="2574" spans="2:19" outlineLevel="1">
      <c r="B2574" s="13" t="s">
        <v>172</v>
      </c>
      <c r="C2574" s="7" t="str">
        <f t="shared" si="730"/>
        <v>ROLO COMPACTADOR HAMM HD90 CHASSIS A05138</v>
      </c>
      <c r="D2574" s="8">
        <f t="shared" si="729"/>
        <v>46089</v>
      </c>
      <c r="E2574" s="15"/>
      <c r="F2574" s="15"/>
      <c r="G2574" s="15">
        <f t="shared" ref="G2574:G2597" si="733">F2574-E2574</f>
        <v>0</v>
      </c>
      <c r="H2574" s="16" t="s">
        <v>261</v>
      </c>
      <c r="I2574" s="10">
        <f t="shared" si="732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1"/>
        <v>464.51612903225805</v>
      </c>
    </row>
    <row r="2575" spans="2:19" outlineLevel="1">
      <c r="B2575" s="13" t="s">
        <v>172</v>
      </c>
      <c r="C2575" s="7" t="str">
        <f t="shared" si="730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si="733"/>
        <v>4.4000000000000909</v>
      </c>
      <c r="H2575" s="16" t="s">
        <v>261</v>
      </c>
      <c r="I2575" s="10">
        <f t="shared" si="732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1"/>
        <v>464.51612903225805</v>
      </c>
    </row>
    <row r="2576" spans="2:19" outlineLevel="1">
      <c r="B2576" s="13" t="s">
        <v>172</v>
      </c>
      <c r="C2576" s="7" t="str">
        <f t="shared" si="730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3"/>
        <v>5.2999999999999545</v>
      </c>
      <c r="H2576" s="16" t="s">
        <v>261</v>
      </c>
      <c r="I2576" s="10">
        <f t="shared" si="732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1"/>
        <v>464.51612903225805</v>
      </c>
    </row>
    <row r="2577" spans="2:19" outlineLevel="1">
      <c r="B2577" s="13" t="s">
        <v>172</v>
      </c>
      <c r="C2577" s="7" t="str">
        <f t="shared" si="730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3"/>
        <v>4</v>
      </c>
      <c r="H2577" s="16" t="s">
        <v>261</v>
      </c>
      <c r="I2577" s="10">
        <f t="shared" si="732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1"/>
        <v>464.51612903225805</v>
      </c>
    </row>
    <row r="2578" spans="2:19" outlineLevel="1">
      <c r="B2578" s="13" t="s">
        <v>172</v>
      </c>
      <c r="C2578" s="7" t="str">
        <f t="shared" si="730"/>
        <v>ROLO COMPACTADOR HAMM HD90 CHASSIS A05138</v>
      </c>
      <c r="D2578" s="8">
        <f t="shared" si="729"/>
        <v>46093</v>
      </c>
      <c r="E2578" s="15"/>
      <c r="F2578" s="15"/>
      <c r="G2578" s="15">
        <f t="shared" si="733"/>
        <v>0</v>
      </c>
      <c r="H2578" s="16" t="s">
        <v>261</v>
      </c>
      <c r="I2578" s="10">
        <f t="shared" si="732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1"/>
        <v>464.51612903225805</v>
      </c>
    </row>
    <row r="2579" spans="2:19" outlineLevel="1">
      <c r="B2579" s="13" t="s">
        <v>172</v>
      </c>
      <c r="C2579" s="7" t="str">
        <f t="shared" si="730"/>
        <v>ROLO COMPACTADOR HAMM HD90 CHASSIS A05138</v>
      </c>
      <c r="D2579" s="8">
        <f t="shared" si="729"/>
        <v>46094</v>
      </c>
      <c r="E2579" s="15"/>
      <c r="F2579" s="15"/>
      <c r="G2579" s="15">
        <f t="shared" si="733"/>
        <v>0</v>
      </c>
      <c r="H2579" s="16" t="s">
        <v>261</v>
      </c>
      <c r="I2579" s="10">
        <f t="shared" si="732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4">O2578</f>
        <v>0</v>
      </c>
      <c r="P2579" s="9"/>
      <c r="Q2579" s="9"/>
      <c r="R2579" s="9"/>
      <c r="S2579" s="10">
        <f t="shared" si="731"/>
        <v>464.51612903225805</v>
      </c>
    </row>
    <row r="2580" spans="2:19" outlineLevel="1">
      <c r="B2580" s="13" t="s">
        <v>172</v>
      </c>
      <c r="C2580" s="7" t="str">
        <f t="shared" si="730"/>
        <v>ROLO COMPACTADOR HAMM HD90 CHASSIS A05138</v>
      </c>
      <c r="D2580" s="8">
        <f t="shared" si="729"/>
        <v>46095</v>
      </c>
      <c r="E2580" s="15"/>
      <c r="F2580" s="15"/>
      <c r="G2580" s="15">
        <f t="shared" si="733"/>
        <v>0</v>
      </c>
      <c r="H2580" s="16" t="s">
        <v>261</v>
      </c>
      <c r="I2580" s="10">
        <f t="shared" si="732"/>
        <v>464.51612903225805</v>
      </c>
      <c r="J2580" s="16" t="s">
        <v>16</v>
      </c>
      <c r="K2580" s="15"/>
      <c r="L2580" s="15"/>
      <c r="M2580" s="17"/>
      <c r="N2580" s="9"/>
      <c r="O2580" s="18">
        <f t="shared" si="734"/>
        <v>0</v>
      </c>
      <c r="P2580" s="9"/>
      <c r="Q2580" s="9"/>
      <c r="R2580" s="9"/>
      <c r="S2580" s="10">
        <f t="shared" si="731"/>
        <v>464.51612903225805</v>
      </c>
    </row>
    <row r="2581" spans="2:19" outlineLevel="1">
      <c r="B2581" s="13" t="s">
        <v>172</v>
      </c>
      <c r="C2581" s="7" t="str">
        <f t="shared" si="730"/>
        <v>ROLO COMPACTADOR HAMM HD90 CHASSIS A05138</v>
      </c>
      <c r="D2581" s="8">
        <f t="shared" si="729"/>
        <v>46096</v>
      </c>
      <c r="E2581" s="15"/>
      <c r="F2581" s="15"/>
      <c r="G2581" s="15">
        <f t="shared" si="733"/>
        <v>0</v>
      </c>
      <c r="H2581" s="16" t="s">
        <v>261</v>
      </c>
      <c r="I2581" s="10">
        <f t="shared" si="732"/>
        <v>464.51612903225805</v>
      </c>
      <c r="J2581" s="16" t="s">
        <v>16</v>
      </c>
      <c r="K2581" s="15"/>
      <c r="L2581" s="15"/>
      <c r="M2581" s="17"/>
      <c r="N2581" s="9"/>
      <c r="O2581" s="18">
        <f t="shared" si="734"/>
        <v>0</v>
      </c>
      <c r="P2581" s="9"/>
      <c r="Q2581" s="9"/>
      <c r="R2581" s="9"/>
      <c r="S2581" s="10">
        <f t="shared" si="731"/>
        <v>464.51612903225805</v>
      </c>
    </row>
    <row r="2582" spans="2:19" outlineLevel="1">
      <c r="B2582" s="13" t="s">
        <v>172</v>
      </c>
      <c r="C2582" s="7" t="str">
        <f t="shared" si="730"/>
        <v>ROLO COMPACTADOR HAMM HD90 CHASSIS A05138</v>
      </c>
      <c r="D2582" s="8">
        <f t="shared" si="729"/>
        <v>46097</v>
      </c>
      <c r="E2582" s="15"/>
      <c r="F2582" s="15"/>
      <c r="G2582" s="15">
        <f t="shared" si="733"/>
        <v>0</v>
      </c>
      <c r="H2582" s="16" t="s">
        <v>261</v>
      </c>
      <c r="I2582" s="10">
        <f t="shared" si="732"/>
        <v>464.51612903225805</v>
      </c>
      <c r="J2582" s="16" t="s">
        <v>16</v>
      </c>
      <c r="K2582" s="15"/>
      <c r="L2582" s="15"/>
      <c r="M2582" s="17"/>
      <c r="N2582" s="9"/>
      <c r="O2582" s="18">
        <f t="shared" si="734"/>
        <v>0</v>
      </c>
      <c r="P2582" s="9"/>
      <c r="Q2582" s="9"/>
      <c r="R2582" s="9"/>
      <c r="S2582" s="10">
        <f t="shared" si="731"/>
        <v>464.51612903225805</v>
      </c>
    </row>
    <row r="2583" spans="2:19" outlineLevel="1">
      <c r="B2583" s="13" t="s">
        <v>172</v>
      </c>
      <c r="C2583" s="7" t="str">
        <f t="shared" si="730"/>
        <v>ROLO COMPACTADOR HAMM HD90 CHASSIS A05138</v>
      </c>
      <c r="D2583" s="8">
        <f t="shared" si="729"/>
        <v>46098</v>
      </c>
      <c r="E2583" s="15"/>
      <c r="F2583" s="15"/>
      <c r="G2583" s="15">
        <f t="shared" si="733"/>
        <v>0</v>
      </c>
      <c r="H2583" s="16" t="s">
        <v>261</v>
      </c>
      <c r="I2583" s="10">
        <f t="shared" si="732"/>
        <v>464.51612903225805</v>
      </c>
      <c r="J2583" s="16" t="s">
        <v>16</v>
      </c>
      <c r="K2583" s="15"/>
      <c r="L2583" s="15"/>
      <c r="M2583" s="17"/>
      <c r="N2583" s="9"/>
      <c r="O2583" s="18">
        <f t="shared" si="734"/>
        <v>0</v>
      </c>
      <c r="P2583" s="9"/>
      <c r="Q2583" s="9"/>
      <c r="R2583" s="9"/>
      <c r="S2583" s="10">
        <f t="shared" si="731"/>
        <v>464.51612903225805</v>
      </c>
    </row>
    <row r="2584" spans="2:19" outlineLevel="1">
      <c r="B2584" s="13" t="s">
        <v>172</v>
      </c>
      <c r="C2584" s="7" t="str">
        <f t="shared" si="730"/>
        <v>ROLO COMPACTADOR HAMM HD90 CHASSIS A05138</v>
      </c>
      <c r="D2584" s="8">
        <f t="shared" si="729"/>
        <v>46099</v>
      </c>
      <c r="E2584" s="15"/>
      <c r="F2584" s="15"/>
      <c r="G2584" s="15">
        <f t="shared" si="733"/>
        <v>0</v>
      </c>
      <c r="H2584" s="16" t="s">
        <v>261</v>
      </c>
      <c r="I2584" s="10">
        <f t="shared" si="732"/>
        <v>464.51612903225805</v>
      </c>
      <c r="J2584" s="16" t="s">
        <v>16</v>
      </c>
      <c r="K2584" s="15"/>
      <c r="L2584" s="15"/>
      <c r="M2584" s="17"/>
      <c r="N2584" s="9"/>
      <c r="O2584" s="18">
        <f t="shared" si="734"/>
        <v>0</v>
      </c>
      <c r="P2584" s="9"/>
      <c r="Q2584" s="9"/>
      <c r="R2584" s="9"/>
      <c r="S2584" s="10">
        <f t="shared" si="731"/>
        <v>464.51612903225805</v>
      </c>
    </row>
    <row r="2585" spans="2:19" outlineLevel="1">
      <c r="B2585" s="13" t="s">
        <v>172</v>
      </c>
      <c r="C2585" s="7" t="str">
        <f t="shared" si="730"/>
        <v>ROLO COMPACTADOR HAMM HD90 CHASSIS A05138</v>
      </c>
      <c r="D2585" s="8">
        <f t="shared" si="729"/>
        <v>46100</v>
      </c>
      <c r="E2585" s="15"/>
      <c r="F2585" s="15"/>
      <c r="G2585" s="15">
        <f t="shared" si="733"/>
        <v>0</v>
      </c>
      <c r="H2585" s="16" t="s">
        <v>261</v>
      </c>
      <c r="I2585" s="10">
        <f t="shared" si="732"/>
        <v>464.51612903225805</v>
      </c>
      <c r="J2585" s="16" t="s">
        <v>16</v>
      </c>
      <c r="K2585" s="15"/>
      <c r="L2585" s="15"/>
      <c r="M2585" s="17"/>
      <c r="N2585" s="9"/>
      <c r="O2585" s="18">
        <f t="shared" si="734"/>
        <v>0</v>
      </c>
      <c r="P2585" s="9"/>
      <c r="Q2585" s="9"/>
      <c r="R2585" s="9"/>
      <c r="S2585" s="10">
        <f t="shared" si="731"/>
        <v>464.51612903225805</v>
      </c>
    </row>
    <row r="2586" spans="2:19" outlineLevel="1">
      <c r="B2586" s="13" t="s">
        <v>172</v>
      </c>
      <c r="C2586" s="7" t="str">
        <f t="shared" si="730"/>
        <v>ROLO COMPACTADOR HAMM HD90 CHASSIS A05138</v>
      </c>
      <c r="D2586" s="8">
        <f t="shared" si="729"/>
        <v>46101</v>
      </c>
      <c r="E2586" s="15"/>
      <c r="F2586" s="15"/>
      <c r="G2586" s="15">
        <f t="shared" si="733"/>
        <v>0</v>
      </c>
      <c r="H2586" s="16" t="s">
        <v>261</v>
      </c>
      <c r="I2586" s="10">
        <f t="shared" si="732"/>
        <v>464.51612903225805</v>
      </c>
      <c r="J2586" s="16" t="s">
        <v>16</v>
      </c>
      <c r="K2586" s="15"/>
      <c r="L2586" s="15"/>
      <c r="M2586" s="17"/>
      <c r="N2586" s="9"/>
      <c r="O2586" s="18">
        <f t="shared" si="734"/>
        <v>0</v>
      </c>
      <c r="P2586" s="9"/>
      <c r="Q2586" s="9"/>
      <c r="R2586" s="9"/>
      <c r="S2586" s="10">
        <f t="shared" si="731"/>
        <v>464.51612903225805</v>
      </c>
    </row>
    <row r="2587" spans="2:19" outlineLevel="1">
      <c r="B2587" s="13" t="s">
        <v>172</v>
      </c>
      <c r="C2587" s="7" t="str">
        <f t="shared" si="730"/>
        <v>ROLO COMPACTADOR HAMM HD90 CHASSIS A05138</v>
      </c>
      <c r="D2587" s="8">
        <f t="shared" si="729"/>
        <v>46102</v>
      </c>
      <c r="E2587" s="15"/>
      <c r="F2587" s="15"/>
      <c r="G2587" s="15">
        <f t="shared" si="733"/>
        <v>0</v>
      </c>
      <c r="H2587" s="16" t="s">
        <v>261</v>
      </c>
      <c r="I2587" s="10">
        <f t="shared" si="732"/>
        <v>464.51612903225805</v>
      </c>
      <c r="J2587" s="16" t="s">
        <v>16</v>
      </c>
      <c r="K2587" s="15"/>
      <c r="L2587" s="15"/>
      <c r="M2587" s="17"/>
      <c r="N2587" s="9"/>
      <c r="O2587" s="18">
        <f t="shared" si="734"/>
        <v>0</v>
      </c>
      <c r="P2587" s="9"/>
      <c r="Q2587" s="9"/>
      <c r="R2587" s="9"/>
      <c r="S2587" s="10">
        <f t="shared" si="731"/>
        <v>464.51612903225805</v>
      </c>
    </row>
    <row r="2588" spans="2:19" outlineLevel="1">
      <c r="B2588" s="13" t="s">
        <v>172</v>
      </c>
      <c r="C2588" s="7" t="str">
        <f t="shared" si="730"/>
        <v>ROLO COMPACTADOR HAMM HD90 CHASSIS A05138</v>
      </c>
      <c r="D2588" s="8">
        <f t="shared" si="729"/>
        <v>46103</v>
      </c>
      <c r="E2588" s="15"/>
      <c r="F2588" s="15"/>
      <c r="G2588" s="15">
        <f t="shared" si="733"/>
        <v>0</v>
      </c>
      <c r="H2588" s="16" t="s">
        <v>261</v>
      </c>
      <c r="I2588" s="10">
        <f t="shared" si="732"/>
        <v>464.51612903225805</v>
      </c>
      <c r="J2588" s="16" t="s">
        <v>16</v>
      </c>
      <c r="K2588" s="15"/>
      <c r="L2588" s="15"/>
      <c r="M2588" s="17"/>
      <c r="N2588" s="9"/>
      <c r="O2588" s="18">
        <f t="shared" si="734"/>
        <v>0</v>
      </c>
      <c r="P2588" s="9"/>
      <c r="Q2588" s="9"/>
      <c r="R2588" s="9"/>
      <c r="S2588" s="10">
        <f t="shared" si="731"/>
        <v>464.51612903225805</v>
      </c>
    </row>
    <row r="2589" spans="2:19" outlineLevel="1">
      <c r="B2589" s="13" t="s">
        <v>172</v>
      </c>
      <c r="C2589" s="7" t="str">
        <f t="shared" si="730"/>
        <v>ROLO COMPACTADOR HAMM HD90 CHASSIS A05138</v>
      </c>
      <c r="D2589" s="8">
        <f t="shared" si="729"/>
        <v>46104</v>
      </c>
      <c r="E2589" s="15"/>
      <c r="F2589" s="15"/>
      <c r="G2589" s="15">
        <f t="shared" si="733"/>
        <v>0</v>
      </c>
      <c r="H2589" s="16" t="s">
        <v>261</v>
      </c>
      <c r="I2589" s="10">
        <f t="shared" si="732"/>
        <v>464.51612903225805</v>
      </c>
      <c r="J2589" s="16" t="s">
        <v>16</v>
      </c>
      <c r="K2589" s="15"/>
      <c r="L2589" s="15"/>
      <c r="M2589" s="17"/>
      <c r="N2589" s="9"/>
      <c r="O2589" s="18">
        <f t="shared" si="734"/>
        <v>0</v>
      </c>
      <c r="P2589" s="9"/>
      <c r="Q2589" s="9"/>
      <c r="R2589" s="9"/>
      <c r="S2589" s="10">
        <f t="shared" si="731"/>
        <v>464.51612903225805</v>
      </c>
    </row>
    <row r="2590" spans="2:19" outlineLevel="1">
      <c r="B2590" s="13" t="s">
        <v>172</v>
      </c>
      <c r="C2590" s="7" t="str">
        <f t="shared" si="730"/>
        <v>ROLO COMPACTADOR HAMM HD90 CHASSIS A05138</v>
      </c>
      <c r="D2590" s="8">
        <f t="shared" si="729"/>
        <v>46105</v>
      </c>
      <c r="E2590" s="15"/>
      <c r="F2590" s="15"/>
      <c r="G2590" s="15">
        <f t="shared" si="733"/>
        <v>0</v>
      </c>
      <c r="H2590" s="16" t="s">
        <v>261</v>
      </c>
      <c r="I2590" s="10">
        <f t="shared" si="732"/>
        <v>464.51612903225805</v>
      </c>
      <c r="J2590" s="16" t="s">
        <v>16</v>
      </c>
      <c r="K2590" s="15"/>
      <c r="L2590" s="15"/>
      <c r="M2590" s="17"/>
      <c r="N2590" s="9"/>
      <c r="O2590" s="18">
        <f t="shared" si="734"/>
        <v>0</v>
      </c>
      <c r="P2590" s="9"/>
      <c r="Q2590" s="9"/>
      <c r="R2590" s="9"/>
      <c r="S2590" s="10">
        <f t="shared" si="731"/>
        <v>464.51612903225805</v>
      </c>
    </row>
    <row r="2591" spans="2:19" outlineLevel="1">
      <c r="B2591" s="13" t="s">
        <v>172</v>
      </c>
      <c r="C2591" s="7" t="str">
        <f t="shared" si="730"/>
        <v>ROLO COMPACTADOR HAMM HD90 CHASSIS A05138</v>
      </c>
      <c r="D2591" s="8">
        <f t="shared" si="729"/>
        <v>46106</v>
      </c>
      <c r="E2591" s="15"/>
      <c r="F2591" s="15"/>
      <c r="G2591" s="15">
        <f t="shared" si="733"/>
        <v>0</v>
      </c>
      <c r="H2591" s="16" t="s">
        <v>261</v>
      </c>
      <c r="I2591" s="10">
        <f t="shared" si="732"/>
        <v>464.51612903225805</v>
      </c>
      <c r="J2591" s="16" t="s">
        <v>16</v>
      </c>
      <c r="K2591" s="15"/>
      <c r="L2591" s="15"/>
      <c r="M2591" s="17"/>
      <c r="N2591" s="9"/>
      <c r="O2591" s="18">
        <f t="shared" si="734"/>
        <v>0</v>
      </c>
      <c r="P2591" s="9"/>
      <c r="Q2591" s="9"/>
      <c r="R2591" s="9"/>
      <c r="S2591" s="10">
        <f t="shared" si="731"/>
        <v>464.51612903225805</v>
      </c>
    </row>
    <row r="2592" spans="2:19" outlineLevel="1">
      <c r="B2592" s="13" t="s">
        <v>172</v>
      </c>
      <c r="C2592" s="7" t="str">
        <f t="shared" si="730"/>
        <v>ROLO COMPACTADOR HAMM HD90 CHASSIS A05138</v>
      </c>
      <c r="D2592" s="8">
        <f t="shared" si="729"/>
        <v>46107</v>
      </c>
      <c r="E2592" s="15"/>
      <c r="F2592" s="15"/>
      <c r="G2592" s="15">
        <f t="shared" si="733"/>
        <v>0</v>
      </c>
      <c r="H2592" s="16" t="s">
        <v>261</v>
      </c>
      <c r="I2592" s="10">
        <f t="shared" si="732"/>
        <v>464.51612903225805</v>
      </c>
      <c r="J2592" s="16" t="s">
        <v>16</v>
      </c>
      <c r="K2592" s="15"/>
      <c r="L2592" s="15"/>
      <c r="M2592" s="17"/>
      <c r="N2592" s="9"/>
      <c r="O2592" s="18">
        <f t="shared" si="734"/>
        <v>0</v>
      </c>
      <c r="P2592" s="9"/>
      <c r="Q2592" s="9"/>
      <c r="R2592" s="9"/>
      <c r="S2592" s="10">
        <f t="shared" si="731"/>
        <v>464.51612903225805</v>
      </c>
    </row>
    <row r="2593" spans="2:19" outlineLevel="1">
      <c r="B2593" s="13" t="s">
        <v>172</v>
      </c>
      <c r="C2593" s="7" t="str">
        <f t="shared" si="730"/>
        <v>ROLO COMPACTADOR HAMM HD90 CHASSIS A05138</v>
      </c>
      <c r="D2593" s="8">
        <f t="shared" si="729"/>
        <v>46108</v>
      </c>
      <c r="E2593" s="15"/>
      <c r="F2593" s="15"/>
      <c r="G2593" s="15">
        <f t="shared" si="733"/>
        <v>0</v>
      </c>
      <c r="H2593" s="16" t="s">
        <v>261</v>
      </c>
      <c r="I2593" s="10">
        <f t="shared" si="732"/>
        <v>464.51612903225805</v>
      </c>
      <c r="J2593" s="16" t="s">
        <v>16</v>
      </c>
      <c r="K2593" s="15"/>
      <c r="L2593" s="15"/>
      <c r="M2593" s="17"/>
      <c r="N2593" s="9"/>
      <c r="O2593" s="18">
        <f t="shared" si="734"/>
        <v>0</v>
      </c>
      <c r="P2593" s="9"/>
      <c r="Q2593" s="9"/>
      <c r="R2593" s="9"/>
      <c r="S2593" s="10">
        <f t="shared" si="731"/>
        <v>464.51612903225805</v>
      </c>
    </row>
    <row r="2594" spans="2:19" outlineLevel="1">
      <c r="B2594" s="13" t="s">
        <v>172</v>
      </c>
      <c r="C2594" s="7" t="str">
        <f t="shared" si="730"/>
        <v>ROLO COMPACTADOR HAMM HD90 CHASSIS A05138</v>
      </c>
      <c r="D2594" s="8">
        <f t="shared" ref="D2594" si="735">D2526</f>
        <v>46109</v>
      </c>
      <c r="E2594" s="15"/>
      <c r="F2594" s="15"/>
      <c r="G2594" s="15">
        <f t="shared" ref="G2594:G2596" si="736">F2594-E2594</f>
        <v>0</v>
      </c>
      <c r="H2594" s="16" t="s">
        <v>261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0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6"/>
        <v>0</v>
      </c>
      <c r="H2595" s="16" t="s">
        <v>261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0"/>
        <v>ROLO COMPACTADOR HAMM HD90 CHASSIS A05138</v>
      </c>
      <c r="D2596" s="8">
        <f t="shared" si="738"/>
        <v>46111</v>
      </c>
      <c r="E2596" s="15"/>
      <c r="F2596" s="15"/>
      <c r="G2596" s="15">
        <f t="shared" si="736"/>
        <v>0</v>
      </c>
      <c r="H2596" s="16" t="s">
        <v>261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0"/>
        <v>ROLO COMPACTADOR HAMM HD90 CHASSIS A05138</v>
      </c>
      <c r="D2597" s="8">
        <f t="shared" si="738"/>
        <v>46112</v>
      </c>
      <c r="E2597" s="15"/>
      <c r="F2597" s="15"/>
      <c r="G2597" s="15">
        <f t="shared" si="733"/>
        <v>0</v>
      </c>
      <c r="H2597" s="16" t="s">
        <v>261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1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/>
      <c r="F2922" s="15"/>
      <c r="G2922" s="15">
        <f t="shared" si="843"/>
        <v>0</v>
      </c>
      <c r="H2922" s="74" t="s">
        <v>357</v>
      </c>
      <c r="I2922" s="10">
        <f t="shared" si="840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/>
      <c r="F2923" s="15"/>
      <c r="G2923" s="15">
        <f t="shared" si="843"/>
        <v>0</v>
      </c>
      <c r="H2923" s="74" t="s">
        <v>357</v>
      </c>
      <c r="I2923" s="10">
        <f t="shared" si="840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2026-03-16T19:58:41Z</dcterms:modified>
  <cp:category/>
  <cp:contentStatus/>
</cp:coreProperties>
</file>