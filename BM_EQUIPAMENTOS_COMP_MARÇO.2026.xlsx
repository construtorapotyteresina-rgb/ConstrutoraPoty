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pivotCache/pivotCacheDefinition61.xml" ContentType="application/vnd.openxmlformats-officedocument.spreadsheetml.pivotCacheDefinition+xml"/>
  <Override PartName="/xl/pivotCache/pivotCacheRecords6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ivotTables/pivotTable6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78B58387-D924-4F21-A102-2EA9A79CDB2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70" sheetId="74" r:id="rId54"/>
    <sheet name="BM 06.056" sheetId="47" r:id="rId55"/>
    <sheet name="BM 06.057" sheetId="61" r:id="rId56"/>
    <sheet name="BM 08.004" sheetId="48" r:id="rId57"/>
    <sheet name="BM 08.005" sheetId="52" r:id="rId58"/>
    <sheet name="BM 08.006" sheetId="49" r:id="rId59"/>
    <sheet name="BM 08.007" sheetId="50" r:id="rId60"/>
    <sheet name="BM 08.014" sheetId="72" r:id="rId61"/>
    <sheet name="BM 06.012" sheetId="69" r:id="rId62"/>
    <sheet name="HORAS-EXTRAS" sheetId="66" r:id="rId63"/>
  </sheets>
  <definedNames>
    <definedName name="_xlnm._FilterDatabase" localSheetId="62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1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4">'BM 06.056'!$A$1:$J$68</definedName>
    <definedName name="_xlnm.Print_Area" localSheetId="55">'BM 06.057'!$A$1:$I$102</definedName>
    <definedName name="_xlnm.Print_Area" localSheetId="53">'BM 06.070'!$A$1:$J$68</definedName>
    <definedName name="_xlnm.Print_Area" localSheetId="56">'BM 08.004'!$A$1:$J$40</definedName>
    <definedName name="_xlnm.Print_Area" localSheetId="57">'BM 08.005'!$A$1:$J$48</definedName>
    <definedName name="_xlnm.Print_Area" localSheetId="58">'BM 08.006'!$A$1:$J$44</definedName>
    <definedName name="_xlnm.Print_Area" localSheetId="59">'BM 08.007'!$A$1:$J$40</definedName>
    <definedName name="_xlnm.Print_Area" localSheetId="60">'BM 08.014'!$A$1:$J$40</definedName>
    <definedName name="_xlnm.Print_Area" localSheetId="62">'HORAS-EXTRAS'!$A$1:$B$36</definedName>
    <definedName name="_xlnm.Print_Titles" localSheetId="62">'HORAS-EXTRAS'!$1:$3</definedName>
  </definedNames>
  <calcPr calcId="191028" iterate="1"/>
  <pivotCaches>
    <pivotCache cacheId="0" r:id="rId64"/>
    <pivotCache cacheId="1" r:id="rId65"/>
    <pivotCache cacheId="2" r:id="rId66"/>
    <pivotCache cacheId="3" r:id="rId67"/>
    <pivotCache cacheId="4" r:id="rId68"/>
    <pivotCache cacheId="5" r:id="rId69"/>
    <pivotCache cacheId="6" r:id="rId70"/>
    <pivotCache cacheId="7" r:id="rId71"/>
    <pivotCache cacheId="8" r:id="rId72"/>
    <pivotCache cacheId="9" r:id="rId73"/>
    <pivotCache cacheId="10" r:id="rId74"/>
    <pivotCache cacheId="11" r:id="rId75"/>
    <pivotCache cacheId="12" r:id="rId76"/>
    <pivotCache cacheId="13" r:id="rId77"/>
    <pivotCache cacheId="14" r:id="rId78"/>
    <pivotCache cacheId="15" r:id="rId79"/>
    <pivotCache cacheId="16" r:id="rId80"/>
    <pivotCache cacheId="17" r:id="rId81"/>
    <pivotCache cacheId="18" r:id="rId82"/>
    <pivotCache cacheId="19" r:id="rId83"/>
    <pivotCache cacheId="20" r:id="rId84"/>
    <pivotCache cacheId="21" r:id="rId85"/>
    <pivotCache cacheId="22" r:id="rId86"/>
    <pivotCache cacheId="23" r:id="rId87"/>
    <pivotCache cacheId="24" r:id="rId88"/>
    <pivotCache cacheId="25" r:id="rId89"/>
    <pivotCache cacheId="26" r:id="rId90"/>
    <pivotCache cacheId="27" r:id="rId91"/>
    <pivotCache cacheId="28" r:id="rId92"/>
    <pivotCache cacheId="29" r:id="rId93"/>
    <pivotCache cacheId="30" r:id="rId94"/>
    <pivotCache cacheId="31" r:id="rId95"/>
    <pivotCache cacheId="32" r:id="rId96"/>
    <pivotCache cacheId="33" r:id="rId97"/>
    <pivotCache cacheId="34" r:id="rId98"/>
    <pivotCache cacheId="35" r:id="rId99"/>
    <pivotCache cacheId="36" r:id="rId100"/>
    <pivotCache cacheId="37" r:id="rId101"/>
    <pivotCache cacheId="38" r:id="rId102"/>
    <pivotCache cacheId="39" r:id="rId103"/>
    <pivotCache cacheId="40" r:id="rId104"/>
    <pivotCache cacheId="41" r:id="rId105"/>
    <pivotCache cacheId="42" r:id="rId106"/>
    <pivotCache cacheId="43" r:id="rId107"/>
    <pivotCache cacheId="44" r:id="rId108"/>
    <pivotCache cacheId="45" r:id="rId109"/>
    <pivotCache cacheId="46" r:id="rId110"/>
    <pivotCache cacheId="47" r:id="rId111"/>
    <pivotCache cacheId="48" r:id="rId112"/>
    <pivotCache cacheId="49" r:id="rId113"/>
    <pivotCache cacheId="50" r:id="rId114"/>
    <pivotCache cacheId="51" r:id="rId115"/>
    <pivotCache cacheId="52" r:id="rId116"/>
    <pivotCache cacheId="53" r:id="rId117"/>
    <pivotCache cacheId="54" r:id="rId118"/>
    <pivotCache cacheId="55" r:id="rId119"/>
    <pivotCache cacheId="56" r:id="rId120"/>
    <pivotCache cacheId="57" r:id="rId121"/>
    <pivotCache cacheId="58" r:id="rId122"/>
    <pivotCache cacheId="59" r:id="rId123"/>
    <pivotCache cacheId="60" r:id="rId1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11" i="62" l="1"/>
  <c r="I2936" i="62"/>
  <c r="I2935" i="62"/>
  <c r="I2934" i="62"/>
  <c r="I2933" i="62"/>
  <c r="I2932" i="62"/>
  <c r="I2931" i="62"/>
  <c r="I2930" i="62"/>
  <c r="I2929" i="62"/>
  <c r="I2928" i="62"/>
  <c r="I2927" i="62"/>
  <c r="I2926" i="62"/>
  <c r="I2937" i="62"/>
  <c r="I2925" i="62"/>
  <c r="I2924" i="62"/>
  <c r="I2923" i="62"/>
  <c r="I2922" i="62"/>
  <c r="I2921" i="62"/>
  <c r="I2920" i="62"/>
  <c r="I2919" i="62"/>
  <c r="I2918" i="62"/>
  <c r="I2917" i="62"/>
  <c r="I2916" i="62"/>
  <c r="I2915" i="62"/>
  <c r="I2914" i="62"/>
  <c r="I2913" i="62"/>
  <c r="I2912" i="62"/>
  <c r="I2911" i="62"/>
  <c r="I2910" i="62"/>
  <c r="I2909" i="62"/>
  <c r="I2908" i="62"/>
  <c r="I2907" i="62"/>
  <c r="P2907" i="62"/>
  <c r="S2907" i="62" s="1"/>
  <c r="P2874" i="62"/>
  <c r="S2908" i="62"/>
  <c r="S2909" i="62"/>
  <c r="S2910" i="62"/>
  <c r="S2911" i="62"/>
  <c r="S2912" i="62"/>
  <c r="S2913" i="62"/>
  <c r="S2914" i="62"/>
  <c r="S2915" i="62"/>
  <c r="S2916" i="62"/>
  <c r="S2917" i="62"/>
  <c r="S2918" i="62"/>
  <c r="S2919" i="62"/>
  <c r="S2920" i="62"/>
  <c r="S2921" i="62"/>
  <c r="S2922" i="62"/>
  <c r="S2923" i="62"/>
  <c r="S2924" i="62"/>
  <c r="S2925" i="62"/>
  <c r="S2926" i="62"/>
  <c r="S2927" i="62"/>
  <c r="S2928" i="62"/>
  <c r="S2929" i="62"/>
  <c r="S2930" i="62"/>
  <c r="S2931" i="62"/>
  <c r="S2932" i="62"/>
  <c r="S2933" i="62"/>
  <c r="S2934" i="62"/>
  <c r="S2935" i="62"/>
  <c r="S2936" i="62"/>
  <c r="S2937" i="62"/>
  <c r="P2909" i="62"/>
  <c r="G2907" i="62"/>
  <c r="I24" i="74"/>
  <c r="I23" i="74"/>
  <c r="I22" i="74"/>
  <c r="I21" i="74"/>
  <c r="I20" i="74"/>
  <c r="I19" i="74"/>
  <c r="I18" i="74"/>
  <c r="I17" i="74"/>
  <c r="I16" i="74"/>
  <c r="I15" i="74"/>
  <c r="I14" i="74"/>
  <c r="I13" i="74"/>
  <c r="I12" i="74"/>
  <c r="I11" i="74"/>
  <c r="I10" i="74"/>
  <c r="G1824" i="62"/>
  <c r="G1825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2579" i="62"/>
  <c r="G2580" i="62"/>
  <c r="G2581" i="62"/>
  <c r="G2582" i="62"/>
  <c r="G2583" i="62"/>
  <c r="G2584" i="62"/>
  <c r="G2585" i="62"/>
  <c r="G2586" i="62"/>
  <c r="G2587" i="62"/>
  <c r="G2588" i="62"/>
  <c r="G2589" i="62"/>
  <c r="G2590" i="62"/>
  <c r="G2591" i="62"/>
  <c r="G2592" i="62"/>
  <c r="G2593" i="62"/>
  <c r="G2594" i="62"/>
  <c r="G2595" i="62"/>
  <c r="G2596" i="62"/>
  <c r="G2597" i="62"/>
  <c r="G2567" i="62"/>
  <c r="G2568" i="62"/>
  <c r="G2569" i="62"/>
  <c r="G2570" i="62"/>
  <c r="G2571" i="62"/>
  <c r="G2572" i="62"/>
  <c r="G2573" i="62"/>
  <c r="G2574" i="62"/>
  <c r="G2465" i="62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I25" i="74" l="1"/>
  <c r="G2020" i="62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G1816" i="62"/>
  <c r="G1817" i="62"/>
  <c r="G1819" i="62"/>
  <c r="G1820" i="62"/>
  <c r="G1821" i="62"/>
  <c r="G1822" i="62"/>
  <c r="G1823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10" i="62"/>
  <c r="P2911" i="62"/>
  <c r="P2912" i="62"/>
  <c r="P2913" i="62"/>
  <c r="P2914" i="62"/>
  <c r="P2915" i="62"/>
  <c r="P2916" i="62"/>
  <c r="P2917" i="62"/>
  <c r="P2918" i="62"/>
  <c r="P2919" i="62"/>
  <c r="P2920" i="62"/>
  <c r="P2921" i="62"/>
  <c r="P2922" i="62"/>
  <c r="P2923" i="62"/>
  <c r="P2924" i="62"/>
  <c r="P2925" i="62"/>
  <c r="P2926" i="62"/>
  <c r="P2927" i="62"/>
  <c r="P2928" i="62"/>
  <c r="P2929" i="62"/>
  <c r="P2930" i="62"/>
  <c r="P2931" i="62"/>
  <c r="P2932" i="62"/>
  <c r="P2933" i="62"/>
  <c r="P2934" i="62"/>
  <c r="P2935" i="62"/>
  <c r="P2936" i="62"/>
  <c r="P2937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C2596" i="62"/>
  <c r="C2595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C2585" i="62"/>
  <c r="C2584" i="62"/>
  <c r="C2583" i="62"/>
  <c r="C2582" i="62"/>
  <c r="C2581" i="62"/>
  <c r="C2580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<sst xmlns="http://schemas.openxmlformats.org/spreadsheetml/2006/main" count="10323" uniqueCount="369">
  <si>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</si>
  <si>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</si>
  <si>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</si>
  <si>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</si>
  <si>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</si>
  <si>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</si>
  <si>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</si>
  <si>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</si>
  <si>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</si>
  <si>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</si>
  <si>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</si>
  <si>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</si>
  <si>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</si>
  <si>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</si>
  <si>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</si>
  <si>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</si>
  <si>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</si>
  <si>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</si>
  <si>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</si>
  <si>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</si>
  <si>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</si>
  <si>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</si>
  <si>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</si>
  <si>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</si>
  <si>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</si>
  <si>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</si>
  <si>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</si>
  <si>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</si>
  <si>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</si>
  <si>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</si>
  <si>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</si>
  <si>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</si>
  <si>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</si>
  <si>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</si>
  <si>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</si>
  <si>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</si>
  <si>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</si>
  <si>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</si>
  <si>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</si>
  <si>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</si>
  <si>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</si>
  <si>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</si>
  <si>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</si>
  <si>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</si>
  <si>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</si>
  <si>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</si>
  <si>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</si>
  <si>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</si>
  <si>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</si>
  <si>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</si>
  <si>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</si>
  <si>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</si>
  <si>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</si>
  <si>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</si>
  <si>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</si>
  <si>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</si>
  <si>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</si>
  <si>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</si>
  <si>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</si>
  <si>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</si>
  <si>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</si>
  <si>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</si>
  <si>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</si>
  <si>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</si>
  <si>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</si>
  <si>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</si>
  <si>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</si>
  <si>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</si>
  <si>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</si>
  <si>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</si>
  <si>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</si>
  <si>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</si>
  <si>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</si>
  <si>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</si>
  <si>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</si>
  <si>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</si>
  <si>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</si>
  <si>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</si>
  <si>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</si>
  <si>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</si>
  <si>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</si>
  <si>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</si>
  <si>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</si>
  <si>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</si>
  <si>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</si>
  <si>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</si>
  <si>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</si>
  <si>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</si>
  <si>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</si>
  <si>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</si>
  <si>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</si>
  <si>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</si>
  <si>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</si>
  <si>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</si>
  <si>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</si>
  <si>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</si>
  <si>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</si>
  <si>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</si>
  <si>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</si>
  <si>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</si>
  <si>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</si>
  <si>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</si>
  <si>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</si>
  <si>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</si>
  <si>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</si>
  <si>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</si>
  <si>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</si>
  <si>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</si>
  <si>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</si>
  <si>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</si>
  <si>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</si>
  <si>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</si>
  <si>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</si>
  <si>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</si>
  <si>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</si>
  <si>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</si>
  <si>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</si>
  <si>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</si>
  <si>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</si>
  <si>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</si>
  <si>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</si>
  <si>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</si>
  <si>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</si>
  <si>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</si>
  <si>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</si>
  <si>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</si>
  <si>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</si>
  <si>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</si>
  <si>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</si>
  <si>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</si>
  <si>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</si>
  <si>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</si>
  <si>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</si>
  <si>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</si>
  <si>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</si>
  <si>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</si>
  <si>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</si>
  <si>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</si>
  <si>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</si>
  <si>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</si>
  <si>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</si>
  <si>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</si>
  <si>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</si>
  <si>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</si>
  <si>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</si>
  <si>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</si>
  <si>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</si>
  <si>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</si>
  <si>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</si>
  <si>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</si>
  <si>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</si>
  <si>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</si>
  <si>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</si>
  <si>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</si>
  <si>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</si>
  <si>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</si>
  <si>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</si>
  <si>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</si>
  <si>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</si>
  <si>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</si>
  <si>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</si>
  <si>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</si>
  <si>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</si>
  <si>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</si>
  <si>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</si>
  <si>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</si>
  <si>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</si>
  <si>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</si>
  <si>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</si>
  <si>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</si>
  <si>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</si>
  <si>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</si>
  <si>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</si>
  <si>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</si>
  <si>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</si>
  <si>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</si>
  <si>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</si>
  <si>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</si>
  <si>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</si>
  <si>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</si>
  <si>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</si>
  <si>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</si>
  <si>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</si>
  <si>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</si>
  <si>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</si>
  <si>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</si>
  <si>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</si>
  <si>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</si>
  <si>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</si>
  <si>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</si>
  <si>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</si>
  <si>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</si>
  <si>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</si>
  <si>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</si>
  <si>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</si>
  <si>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</si>
  <si>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</si>
  <si>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</si>
  <si>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</si>
  <si>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</si>
  <si>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</si>
  <si>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</si>
  <si>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</si>
  <si>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</si>
  <si>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</si>
  <si>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</si>
  <si>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</si>
  <si>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</si>
  <si>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</si>
  <si>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</si>
  <si>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</si>
  <si>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</si>
  <si>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</si>
  <si>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</si>
  <si>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</si>
  <si>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</si>
  <si>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</si>
  <si>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</si>
  <si>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</si>
  <si>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</si>
  <si>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</si>
  <si>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</si>
  <si>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</si>
  <si>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</si>
  <si>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</si>
  <si>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</si>
  <si>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</si>
  <si>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</si>
  <si>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</si>
  <si>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</si>
  <si>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</si>
  <si>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</si>
  <si>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</si>
  <si>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</si>
  <si>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</si>
  <si>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</si>
  <si>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</si>
  <si>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</si>
  <si>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</si>
  <si>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</si>
  <si>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</si>
  <si>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</si>
  <si>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</si>
  <si>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</si>
  <si>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</si>
  <si>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</si>
  <si>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</si>
  <si>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</si>
  <si>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</si>
  <si>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</si>
  <si>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</si>
  <si>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</si>
  <si>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</si>
  <si>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</si>
  <si>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</si>
  <si>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</si>
  <si>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</si>
  <si>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</si>
  <si>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</si>
  <si>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</si>
  <si>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</si>
  <si>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</si>
  <si>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</si>
  <si>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</si>
  <si>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</si>
  <si>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</si>
  <si>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</si>
  <si>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</si>
  <si>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</si>
  <si>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</si>
  <si>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</si>
  <si>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</si>
  <si>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</si>
  <si>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</si>
  <si>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</si>
  <si>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</si>
  <si>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</si>
  <si>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</si>
  <si>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</si>
  <si>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</si>
  <si>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</si>
  <si>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</si>
  <si>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</si>
  <si>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</si>
  <si>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</si>
  <si>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</si>
  <si>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</si>
  <si>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</si>
  <si>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</si>
  <si>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</si>
  <si>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</si>
  <si>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</si>
  <si>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</si>
  <si>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</si>
  <si>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</si>
  <si>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</si>
  <si>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</si>
  <si>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</si>
  <si>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</si>
  <si>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</si>
  <si>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</si>
  <si>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</si>
  <si>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</si>
  <si>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</si>
  <si>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</si>
  <si>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</si>
  <si>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</si>
  <si>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</si>
  <si>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</si>
  <si>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</si>
  <si>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</si>
  <si>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</si>
  <si>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</si>
  <si>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</si>
  <si>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</si>
  <si>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</si>
  <si>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</si>
  <si>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</si>
  <si>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</si>
  <si>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</si>
  <si>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</si>
  <si>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</si>
  <si>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</si>
  <si>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</si>
  <si>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</si>
  <si>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</si>
  <si>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</si>
  <si>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</si>
  <si>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</si>
  <si>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</si>
  <si>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</si>
  <si>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</si>
  <si>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</si>
  <si>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</si>
  <si>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</si>
  <si>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</si>
  <si>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</si>
  <si>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</si>
  <si>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</si>
  <si>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</si>
  <si>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</si>
  <si>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</si>
  <si>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</si>
  <si>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</si>
  <si>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</si>
  <si>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</si>
  <si>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</si>
  <si>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</si>
  <si>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</si>
  <si>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</si>
  <si>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</si>
  <si>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</si>
  <si>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</si>
  <si>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</si>
  <si>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</si>
  <si>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</si>
  <si>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</si>
  <si>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</si>
  <si>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</si>
  <si>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</si>
  <si>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</si>
  <si>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</si>
  <si>
    <t>PEDRO II</t>
  </si>
  <si>
    <t>NOVA SANTA RITA - PI</t>
  </si>
  <si>
    <t>JARDIM DO MULATO</t>
  </si>
  <si>
    <t>PIRIPIRI/BARRAS</t>
  </si>
  <si>
    <t>JARDIM DO MULATO4</t>
  </si>
  <si>
    <t>S. MIGUEL TAPUIO</t>
  </si>
  <si>
    <t>NOVA SANTA 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</si>
</sst>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3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2" fillId="15" borderId="0" xfId="0" applyNumberFormat="1" applyFont="1" applyFill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4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pivotCacheDefinition" Target="pivotCache/pivotCacheDefinition54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pivotCacheDefinition" Target="pivotCache/pivotCacheDefinition5.xml"/><Relationship Id="rId84" Type="http://schemas.openxmlformats.org/officeDocument/2006/relationships/pivotCacheDefinition" Target="pivotCache/pivotCacheDefinition21.xml"/><Relationship Id="rId89" Type="http://schemas.openxmlformats.org/officeDocument/2006/relationships/pivotCacheDefinition" Target="pivotCache/pivotCacheDefinition26.xml"/><Relationship Id="rId112" Type="http://schemas.openxmlformats.org/officeDocument/2006/relationships/pivotCacheDefinition" Target="pivotCache/pivotCacheDefinition49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4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1.xml"/><Relationship Id="rId79" Type="http://schemas.openxmlformats.org/officeDocument/2006/relationships/pivotCacheDefinition" Target="pivotCache/pivotCacheDefinition16.xml"/><Relationship Id="rId102" Type="http://schemas.openxmlformats.org/officeDocument/2006/relationships/pivotCacheDefinition" Target="pivotCache/pivotCacheDefinition39.xml"/><Relationship Id="rId123" Type="http://schemas.openxmlformats.org/officeDocument/2006/relationships/pivotCacheDefinition" Target="pivotCache/pivotCacheDefinition60.xml"/><Relationship Id="rId128" Type="http://schemas.microsoft.com/office/2017/10/relationships/person" Target="persons/person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7.xml"/><Relationship Id="rId95" Type="http://schemas.openxmlformats.org/officeDocument/2006/relationships/pivotCacheDefinition" Target="pivotCache/pivotCacheDefinition32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1.xml"/><Relationship Id="rId69" Type="http://schemas.openxmlformats.org/officeDocument/2006/relationships/pivotCacheDefinition" Target="pivotCache/pivotCacheDefinition6.xml"/><Relationship Id="rId113" Type="http://schemas.openxmlformats.org/officeDocument/2006/relationships/pivotCacheDefinition" Target="pivotCache/pivotCacheDefinition50.xml"/><Relationship Id="rId118" Type="http://schemas.openxmlformats.org/officeDocument/2006/relationships/pivotCacheDefinition" Target="pivotCache/pivotCacheDefinition55.xml"/><Relationship Id="rId80" Type="http://schemas.openxmlformats.org/officeDocument/2006/relationships/pivotCacheDefinition" Target="pivotCache/pivotCacheDefinition17.xml"/><Relationship Id="rId85" Type="http://schemas.openxmlformats.org/officeDocument/2006/relationships/pivotCacheDefinition" Target="pivotCache/pivotCacheDefinition22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0.xml"/><Relationship Id="rId108" Type="http://schemas.openxmlformats.org/officeDocument/2006/relationships/pivotCacheDefinition" Target="pivotCache/pivotCacheDefinition45.xml"/><Relationship Id="rId124" Type="http://schemas.openxmlformats.org/officeDocument/2006/relationships/pivotCacheDefinition" Target="pivotCache/pivotCacheDefinition61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7.xml"/><Relationship Id="rId75" Type="http://schemas.openxmlformats.org/officeDocument/2006/relationships/pivotCacheDefinition" Target="pivotCache/pivotCacheDefinition12.xml"/><Relationship Id="rId91" Type="http://schemas.openxmlformats.org/officeDocument/2006/relationships/pivotCacheDefinition" Target="pivotCache/pivotCacheDefinition28.xml"/><Relationship Id="rId96" Type="http://schemas.openxmlformats.org/officeDocument/2006/relationships/pivotCacheDefinition" Target="pivotCache/pivotCacheDefinition3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1.xml"/><Relationship Id="rId119" Type="http://schemas.openxmlformats.org/officeDocument/2006/relationships/pivotCacheDefinition" Target="pivotCache/pivotCacheDefinition56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2.xml"/><Relationship Id="rId81" Type="http://schemas.openxmlformats.org/officeDocument/2006/relationships/pivotCacheDefinition" Target="pivotCache/pivotCacheDefinition18.xml"/><Relationship Id="rId86" Type="http://schemas.openxmlformats.org/officeDocument/2006/relationships/pivotCacheDefinition" Target="pivotCache/pivotCacheDefinition23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6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3.xml"/><Relationship Id="rId97" Type="http://schemas.openxmlformats.org/officeDocument/2006/relationships/pivotCacheDefinition" Target="pivotCache/pivotCacheDefinition34.xml"/><Relationship Id="rId104" Type="http://schemas.openxmlformats.org/officeDocument/2006/relationships/pivotCacheDefinition" Target="pivotCache/pivotCacheDefinition41.xml"/><Relationship Id="rId120" Type="http://schemas.openxmlformats.org/officeDocument/2006/relationships/pivotCacheDefinition" Target="pivotCache/pivotCacheDefinition57.xml"/><Relationship Id="rId125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8.xml"/><Relationship Id="rId92" Type="http://schemas.openxmlformats.org/officeDocument/2006/relationships/pivotCacheDefinition" Target="pivotCache/pivotCacheDefinition29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3.xml"/><Relationship Id="rId87" Type="http://schemas.openxmlformats.org/officeDocument/2006/relationships/pivotCacheDefinition" Target="pivotCache/pivotCacheDefinition24.xml"/><Relationship Id="rId110" Type="http://schemas.openxmlformats.org/officeDocument/2006/relationships/pivotCacheDefinition" Target="pivotCache/pivotCacheDefinition47.xml"/><Relationship Id="rId115" Type="http://schemas.openxmlformats.org/officeDocument/2006/relationships/pivotCacheDefinition" Target="pivotCache/pivotCacheDefinition52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1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4.xml"/><Relationship Id="rId100" Type="http://schemas.openxmlformats.org/officeDocument/2006/relationships/pivotCacheDefinition" Target="pivotCache/pivotCacheDefinition37.xml"/><Relationship Id="rId105" Type="http://schemas.openxmlformats.org/officeDocument/2006/relationships/pivotCacheDefinition" Target="pivotCache/pivotCacheDefinition42.xml"/><Relationship Id="rId12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9.xml"/><Relationship Id="rId93" Type="http://schemas.openxmlformats.org/officeDocument/2006/relationships/pivotCacheDefinition" Target="pivotCache/pivotCacheDefinition30.xml"/><Relationship Id="rId98" Type="http://schemas.openxmlformats.org/officeDocument/2006/relationships/pivotCacheDefinition" Target="pivotCache/pivotCacheDefinition35.xml"/><Relationship Id="rId121" Type="http://schemas.openxmlformats.org/officeDocument/2006/relationships/pivotCacheDefinition" Target="pivotCache/pivotCacheDefinition5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4.xml"/><Relationship Id="rId116" Type="http://schemas.openxmlformats.org/officeDocument/2006/relationships/pivotCacheDefinition" Target="pivotCache/pivotCacheDefinition5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0.xml"/><Relationship Id="rId88" Type="http://schemas.openxmlformats.org/officeDocument/2006/relationships/pivotCacheDefinition" Target="pivotCache/pivotCacheDefinition25.xml"/><Relationship Id="rId111" Type="http://schemas.openxmlformats.org/officeDocument/2006/relationships/pivotCacheDefinition" Target="pivotCache/pivotCacheDefinition48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3.xml"/><Relationship Id="rId12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0.xml"/><Relationship Id="rId78" Type="http://schemas.openxmlformats.org/officeDocument/2006/relationships/pivotCacheDefinition" Target="pivotCache/pivotCacheDefinition15.xml"/><Relationship Id="rId94" Type="http://schemas.openxmlformats.org/officeDocument/2006/relationships/pivotCacheDefinition" Target="pivotCache/pivotCacheDefinition31.xml"/><Relationship Id="rId99" Type="http://schemas.openxmlformats.org/officeDocument/2006/relationships/pivotCacheDefinition" Target="pivotCache/pivotCacheDefinition36.xml"/><Relationship Id="rId101" Type="http://schemas.openxmlformats.org/officeDocument/2006/relationships/pivotCacheDefinition" Target="pivotCache/pivotCacheDefinition38.xml"/><Relationship Id="rId122" Type="http://schemas.openxmlformats.org/officeDocument/2006/relationships/pivotCacheDefinition" Target="pivotCache/pivotCacheDefinition5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_rels/pivotCacheDefinition6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4.570666898151" createdVersion="8" refreshedVersion="8" minRefreshableVersion="3" recordCount="31" xr:uid="{23A89BB1-ADF3-4310-8FFE-D24517B0515F}">
  <cacheSource type="worksheet">
    <worksheetSource ref="B2906:S2937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169"/>
    </cacheField>
    <cacheField name="KM/HORA FIM" numFmtId="43">
      <sharedItems containsString="0" containsBlank="1" containsNumber="1" containsInteger="1" minValue="127" maxValue="179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0" maxValue="1129.03225806451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1129.03225806451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Cache/pivotCacheRecords6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m/>
    <m/>
    <m/>
    <m/>
    <n v="35000"/>
    <n v="1129.0322580645161"/>
    <m/>
    <m/>
    <n v="1129.0322580645161"/>
  </r>
  <r>
    <x v="0"/>
    <x v="0"/>
    <d v="2026-03-02T00:00:00"/>
    <n v="121"/>
    <n v="127"/>
    <n v="6"/>
    <x v="0"/>
    <n v="0"/>
    <m/>
    <n v="1"/>
    <m/>
    <m/>
    <m/>
    <m/>
    <m/>
    <m/>
    <m/>
    <n v="0"/>
  </r>
  <r>
    <x v="0"/>
    <x v="0"/>
    <d v="2026-03-03T00:00:00"/>
    <n v="127"/>
    <n v="133"/>
    <n v="6"/>
    <x v="0"/>
    <n v="0"/>
    <m/>
    <n v="1"/>
    <m/>
    <m/>
    <m/>
    <m/>
    <n v="0"/>
    <m/>
    <m/>
    <n v="0"/>
  </r>
  <r>
    <x v="0"/>
    <x v="0"/>
    <d v="2026-03-04T00:00:00"/>
    <n v="133"/>
    <n v="136"/>
    <n v="3"/>
    <x v="0"/>
    <n v="0"/>
    <m/>
    <n v="1"/>
    <m/>
    <m/>
    <m/>
    <m/>
    <n v="0"/>
    <m/>
    <m/>
    <n v="0"/>
  </r>
  <r>
    <x v="0"/>
    <x v="0"/>
    <d v="2026-03-05T00:00:00"/>
    <n v="136"/>
    <n v="150"/>
    <n v="14"/>
    <x v="0"/>
    <n v="0"/>
    <m/>
    <n v="1"/>
    <m/>
    <m/>
    <m/>
    <m/>
    <n v="0"/>
    <m/>
    <m/>
    <n v="0"/>
  </r>
  <r>
    <x v="0"/>
    <x v="0"/>
    <d v="2026-03-06T00:00:00"/>
    <n v="150"/>
    <n v="155"/>
    <n v="5"/>
    <x v="0"/>
    <n v="0"/>
    <s v="DISPONIVEL"/>
    <m/>
    <m/>
    <m/>
    <m/>
    <m/>
    <n v="0"/>
    <m/>
    <m/>
    <n v="0"/>
  </r>
  <r>
    <x v="0"/>
    <x v="0"/>
    <d v="2026-03-07T00:00:00"/>
    <m/>
    <m/>
    <n v="0"/>
    <x v="0"/>
    <n v="0"/>
    <s v="DISPONIVEL"/>
    <m/>
    <m/>
    <m/>
    <m/>
    <m/>
    <n v="0"/>
    <m/>
    <m/>
    <n v="0"/>
  </r>
  <r>
    <x v="0"/>
    <x v="0"/>
    <d v="2026-03-08T00:00:00"/>
    <m/>
    <m/>
    <n v="0"/>
    <x v="0"/>
    <n v="0"/>
    <s v="DISPONIVEL"/>
    <m/>
    <m/>
    <m/>
    <m/>
    <m/>
    <n v="0"/>
    <m/>
    <m/>
    <n v="0"/>
  </r>
  <r>
    <x v="0"/>
    <x v="0"/>
    <d v="2026-03-09T00:00:00"/>
    <m/>
    <m/>
    <n v="0"/>
    <x v="0"/>
    <n v="0"/>
    <s v="DISPONIVEL"/>
    <m/>
    <m/>
    <m/>
    <m/>
    <m/>
    <n v="0"/>
    <m/>
    <m/>
    <n v="0"/>
  </r>
  <r>
    <x v="0"/>
    <x v="0"/>
    <d v="2026-03-10T00:00:00"/>
    <m/>
    <m/>
    <n v="0"/>
    <x v="0"/>
    <n v="0"/>
    <s v="DISPONIVEL"/>
    <m/>
    <m/>
    <m/>
    <m/>
    <m/>
    <n v="0"/>
    <m/>
    <m/>
    <n v="0"/>
  </r>
  <r>
    <x v="0"/>
    <x v="0"/>
    <d v="2026-03-11T00:00:00"/>
    <n v="155"/>
    <n v="161"/>
    <n v="6"/>
    <x v="0"/>
    <n v="0"/>
    <m/>
    <n v="1"/>
    <m/>
    <m/>
    <m/>
    <m/>
    <n v="0"/>
    <m/>
    <m/>
    <n v="0"/>
  </r>
  <r>
    <x v="0"/>
    <x v="0"/>
    <d v="2026-03-12T00:00:00"/>
    <n v="161"/>
    <n v="162"/>
    <n v="1"/>
    <x v="0"/>
    <n v="0"/>
    <m/>
    <n v="1"/>
    <m/>
    <m/>
    <m/>
    <m/>
    <n v="0"/>
    <m/>
    <m/>
    <n v="0"/>
  </r>
  <r>
    <x v="0"/>
    <x v="0"/>
    <d v="2026-03-13T00:00:00"/>
    <m/>
    <m/>
    <n v="0"/>
    <x v="0"/>
    <n v="0"/>
    <s v="DISPONIVEL"/>
    <m/>
    <m/>
    <m/>
    <m/>
    <m/>
    <n v="0"/>
    <m/>
    <m/>
    <n v="0"/>
  </r>
  <r>
    <x v="0"/>
    <x v="0"/>
    <d v="2026-03-14T00:00:00"/>
    <m/>
    <m/>
    <n v="0"/>
    <x v="0"/>
    <n v="0"/>
    <s v="DISPONIVEL"/>
    <m/>
    <m/>
    <m/>
    <m/>
    <m/>
    <n v="0"/>
    <m/>
    <m/>
    <n v="0"/>
  </r>
  <r>
    <x v="0"/>
    <x v="0"/>
    <d v="2026-03-15T00:00:00"/>
    <m/>
    <m/>
    <n v="0"/>
    <x v="0"/>
    <n v="0"/>
    <s v="DISPONIVEL"/>
    <m/>
    <m/>
    <m/>
    <m/>
    <m/>
    <n v="0"/>
    <m/>
    <m/>
    <n v="0"/>
  </r>
  <r>
    <x v="0"/>
    <x v="0"/>
    <d v="2026-03-16T00:00:00"/>
    <n v="162"/>
    <n v="169"/>
    <n v="7"/>
    <x v="0"/>
    <n v="0"/>
    <m/>
    <m/>
    <m/>
    <m/>
    <m/>
    <m/>
    <n v="0"/>
    <m/>
    <m/>
    <n v="0"/>
  </r>
  <r>
    <x v="0"/>
    <x v="0"/>
    <d v="2026-03-17T00:00:00"/>
    <n v="169"/>
    <n v="179"/>
    <n v="10"/>
    <x v="0"/>
    <n v="0"/>
    <m/>
    <m/>
    <m/>
    <m/>
    <m/>
    <m/>
    <n v="0"/>
    <m/>
    <m/>
    <n v="0"/>
  </r>
  <r>
    <x v="0"/>
    <x v="0"/>
    <d v="2026-03-18T00:00:00"/>
    <m/>
    <m/>
    <n v="0"/>
    <x v="0"/>
    <n v="0"/>
    <s v="DISPONIVEL"/>
    <m/>
    <m/>
    <m/>
    <m/>
    <m/>
    <n v="0"/>
    <m/>
    <m/>
    <n v="0"/>
  </r>
  <r>
    <x v="0"/>
    <x v="0"/>
    <d v="2026-03-19T00:00:00"/>
    <m/>
    <m/>
    <n v="0"/>
    <x v="0"/>
    <n v="0"/>
    <s v="DISPONIVEL"/>
    <m/>
    <m/>
    <m/>
    <m/>
    <m/>
    <n v="0"/>
    <m/>
    <m/>
    <n v="0"/>
  </r>
  <r>
    <x v="0"/>
    <x v="0"/>
    <d v="2026-03-20T00:00:00"/>
    <m/>
    <m/>
    <n v="0"/>
    <x v="0"/>
    <n v="0"/>
    <s v="DISPONIVEL"/>
    <m/>
    <m/>
    <m/>
    <m/>
    <m/>
    <n v="0"/>
    <m/>
    <m/>
    <n v="0"/>
  </r>
  <r>
    <x v="0"/>
    <x v="0"/>
    <d v="2026-03-21T00:00:00"/>
    <m/>
    <m/>
    <n v="0"/>
    <x v="0"/>
    <n v="0"/>
    <s v="DISPONIVEL"/>
    <m/>
    <m/>
    <m/>
    <m/>
    <m/>
    <n v="0"/>
    <m/>
    <m/>
    <n v="0"/>
  </r>
  <r>
    <x v="0"/>
    <x v="0"/>
    <d v="2026-03-22T00:00:00"/>
    <m/>
    <m/>
    <n v="0"/>
    <x v="0"/>
    <n v="0"/>
    <s v="DISPONIVEL"/>
    <m/>
    <m/>
    <m/>
    <m/>
    <m/>
    <n v="0"/>
    <m/>
    <m/>
    <n v="0"/>
  </r>
  <r>
    <x v="0"/>
    <x v="0"/>
    <d v="2026-03-23T00:00:00"/>
    <m/>
    <m/>
    <n v="0"/>
    <x v="0"/>
    <n v="0"/>
    <s v="DISPONIVEL"/>
    <m/>
    <m/>
    <m/>
    <m/>
    <m/>
    <n v="0"/>
    <m/>
    <m/>
    <n v="0"/>
  </r>
  <r>
    <x v="0"/>
    <x v="0"/>
    <d v="2026-03-24T00:00:00"/>
    <m/>
    <m/>
    <n v="0"/>
    <x v="0"/>
    <n v="0"/>
    <s v="DISPONIVEL"/>
    <m/>
    <m/>
    <m/>
    <m/>
    <m/>
    <n v="0"/>
    <m/>
    <m/>
    <n v="0"/>
  </r>
  <r>
    <x v="0"/>
    <x v="0"/>
    <d v="2026-03-25T00:00:00"/>
    <m/>
    <m/>
    <n v="0"/>
    <x v="0"/>
    <n v="0"/>
    <s v="DISPONIVEL"/>
    <m/>
    <m/>
    <m/>
    <m/>
    <m/>
    <n v="0"/>
    <m/>
    <m/>
    <n v="0"/>
  </r>
  <r>
    <x v="0"/>
    <x v="0"/>
    <d v="2026-03-26T00:00:00"/>
    <m/>
    <m/>
    <n v="0"/>
    <x v="0"/>
    <n v="0"/>
    <s v="DISPONIVEL"/>
    <m/>
    <m/>
    <m/>
    <m/>
    <m/>
    <n v="0"/>
    <m/>
    <m/>
    <n v="0"/>
  </r>
  <r>
    <x v="0"/>
    <x v="0"/>
    <d v="2026-03-27T00:00:00"/>
    <m/>
    <m/>
    <n v="0"/>
    <x v="0"/>
    <n v="0"/>
    <s v="DISPONIVEL"/>
    <m/>
    <m/>
    <m/>
    <m/>
    <m/>
    <n v="0"/>
    <m/>
    <m/>
    <n v="0"/>
  </r>
  <r>
    <x v="0"/>
    <x v="0"/>
    <d v="2026-03-28T00:00:00"/>
    <m/>
    <m/>
    <n v="0"/>
    <x v="0"/>
    <n v="0"/>
    <s v="DISPONIVEL"/>
    <m/>
    <m/>
    <m/>
    <m/>
    <m/>
    <n v="0"/>
    <m/>
    <m/>
    <n v="0"/>
  </r>
  <r>
    <x v="0"/>
    <x v="0"/>
    <d v="2026-03-29T00:00:00"/>
    <m/>
    <m/>
    <n v="0"/>
    <x v="0"/>
    <n v="0"/>
    <s v="DISPONIVEL"/>
    <m/>
    <m/>
    <m/>
    <m/>
    <m/>
    <n v="0"/>
    <m/>
    <m/>
    <n v="0"/>
  </r>
  <r>
    <x v="0"/>
    <x v="0"/>
    <d v="2026-03-30T00:00:00"/>
    <m/>
    <m/>
    <n v="0"/>
    <x v="0"/>
    <n v="0"/>
    <s v="DISPONIVEL"/>
    <m/>
    <m/>
    <m/>
    <m/>
    <m/>
    <n v="0"/>
    <m/>
    <m/>
    <n v="0"/>
  </r>
  <r>
    <x v="0"/>
    <x v="0"/>
    <d v="2026-03-31T00:00:00"/>
    <m/>
    <m/>
    <n v="0"/>
    <x v="0"/>
    <n v="0"/>
    <s v="DISPONIVEL"/>
    <m/>
    <m/>
    <m/>
    <m/>
    <m/>
    <n v="0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1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9">
      <pivotArea outline="0" fieldPosition="0">
        <references count="1">
          <reference field="4294967294" count="1" selected="0">
            <x v="4"/>
          </reference>
        </references>
      </pivotArea>
    </format>
    <format dxfId="1338">
      <pivotArea field="1" type="button" dataOnly="0" labelOnly="1" outline="0" axis="axisRow" fieldPosition="1"/>
    </format>
    <format dxfId="1337">
      <pivotArea field="6" type="button" dataOnly="0" labelOnly="1" outline="0" axis="axisRow" fieldPosition="2"/>
    </format>
    <format dxfId="13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5">
      <pivotArea field="1" type="button" dataOnly="0" labelOnly="1" outline="0" axis="axisRow" fieldPosition="1"/>
    </format>
    <format dxfId="1334">
      <pivotArea field="6" type="button" dataOnly="0" labelOnly="1" outline="0" axis="axisRow" fieldPosition="2"/>
    </format>
    <format dxfId="1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3">
      <pivotArea outline="0" fieldPosition="0">
        <references count="1">
          <reference field="4294967294" count="1" selected="0">
            <x v="4"/>
          </reference>
        </references>
      </pivotArea>
    </format>
    <format dxfId="1322">
      <pivotArea field="1" type="button" dataOnly="0" labelOnly="1" outline="0" axis="axisRow" fieldPosition="1"/>
    </format>
    <format dxfId="1321">
      <pivotArea field="6" type="button" dataOnly="0" labelOnly="1" outline="0" axis="axisRow" fieldPosition="2"/>
    </format>
    <format dxfId="13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9">
      <pivotArea field="1" type="button" dataOnly="0" labelOnly="1" outline="0" axis="axisRow" fieldPosition="1"/>
    </format>
    <format dxfId="1318">
      <pivotArea field="6" type="button" dataOnly="0" labelOnly="1" outline="0" axis="axisRow" fieldPosition="2"/>
    </format>
    <format dxfId="13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7">
      <pivotArea outline="0" fieldPosition="0">
        <references count="1">
          <reference field="4294967294" count="1" selected="0">
            <x v="4"/>
          </reference>
        </references>
      </pivotArea>
    </format>
    <format dxfId="1306">
      <pivotArea field="1" type="button" dataOnly="0" labelOnly="1" outline="0" axis="axisRow" fieldPosition="1"/>
    </format>
    <format dxfId="1305">
      <pivotArea field="6" type="button" dataOnly="0" labelOnly="1" outline="0" axis="axisRow" fieldPosition="2"/>
    </format>
    <format dxfId="13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3">
      <pivotArea field="1" type="button" dataOnly="0" labelOnly="1" outline="0" axis="axisRow" fieldPosition="1"/>
    </format>
    <format dxfId="1302">
      <pivotArea field="6" type="button" dataOnly="0" labelOnly="1" outline="0" axis="axisRow" fieldPosition="2"/>
    </format>
    <format dxfId="13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7">
      <pivotArea dataOnly="0" labelOnly="1" outline="0" fieldPosition="0">
        <references count="1">
          <reference field="0" count="0"/>
        </references>
      </pivotArea>
    </format>
    <format dxfId="12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94">
      <pivotArea dataOnly="0" labelOnly="1" outline="0" fieldPosition="0">
        <references count="1">
          <reference field="0" count="0"/>
        </references>
      </pivotArea>
    </format>
    <format dxfId="129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9">
      <pivotArea outline="0" fieldPosition="0">
        <references count="1">
          <reference field="4294967294" count="1" selected="0">
            <x v="4"/>
          </reference>
        </references>
      </pivotArea>
    </format>
    <format dxfId="1288">
      <pivotArea field="1" type="button" dataOnly="0" labelOnly="1" outline="0" axis="axisRow" fieldPosition="1"/>
    </format>
    <format dxfId="1287">
      <pivotArea field="6" type="button" dataOnly="0" labelOnly="1" outline="0" axis="axisRow" fieldPosition="2"/>
    </format>
    <format dxfId="12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5">
      <pivotArea field="1" type="button" dataOnly="0" labelOnly="1" outline="0" axis="axisRow" fieldPosition="1"/>
    </format>
    <format dxfId="1284">
      <pivotArea field="6" type="button" dataOnly="0" labelOnly="1" outline="0" axis="axisRow" fieldPosition="2"/>
    </format>
    <format dxfId="1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9">
      <pivotArea dataOnly="0" labelOnly="1" outline="0" fieldPosition="0">
        <references count="1">
          <reference field="0" count="0"/>
        </references>
      </pivotArea>
    </format>
    <format dxfId="127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6">
      <pivotArea dataOnly="0" labelOnly="1" outline="0" fieldPosition="0">
        <references count="1">
          <reference field="0" count="0"/>
        </references>
      </pivotArea>
    </format>
    <format dxfId="1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1">
      <pivotArea outline="0" fieldPosition="0">
        <references count="1">
          <reference field="4294967294" count="1" selected="0">
            <x v="4"/>
          </reference>
        </references>
      </pivotArea>
    </format>
    <format dxfId="1270">
      <pivotArea field="1" type="button" dataOnly="0" labelOnly="1" outline="0" axis="axisRow" fieldPosition="1"/>
    </format>
    <format dxfId="1269">
      <pivotArea field="6" type="button" dataOnly="0" labelOnly="1" outline="0" axis="axisRow" fieldPosition="2"/>
    </format>
    <format dxfId="1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7">
      <pivotArea field="1" type="button" dataOnly="0" labelOnly="1" outline="0" axis="axisRow" fieldPosition="1"/>
    </format>
    <format dxfId="1266">
      <pivotArea field="6" type="button" dataOnly="0" labelOnly="1" outline="0" axis="axisRow" fieldPosition="2"/>
    </format>
    <format dxfId="12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1">
      <pivotArea dataOnly="0" labelOnly="1" outline="0" fieldPosition="0">
        <references count="1">
          <reference field="0" count="0"/>
        </references>
      </pivotArea>
    </format>
    <format dxfId="1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8">
      <pivotArea dataOnly="0" labelOnly="1" outline="0" fieldPosition="0">
        <references count="1">
          <reference field="0" count="0"/>
        </references>
      </pivotArea>
    </format>
    <format dxfId="12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3">
      <pivotArea outline="0" fieldPosition="0">
        <references count="1">
          <reference field="4294967294" count="1" selected="0">
            <x v="4"/>
          </reference>
        </references>
      </pivotArea>
    </format>
    <format dxfId="1252">
      <pivotArea field="1" type="button" dataOnly="0" labelOnly="1" outline="0" axis="axisRow" fieldPosition="1"/>
    </format>
    <format dxfId="1251">
      <pivotArea field="6" type="button" dataOnly="0" labelOnly="1" outline="0" axis="axisRow" fieldPosition="2"/>
    </format>
    <format dxfId="12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9">
      <pivotArea field="1" type="button" dataOnly="0" labelOnly="1" outline="0" axis="axisRow" fieldPosition="1"/>
    </format>
    <format dxfId="1248">
      <pivotArea field="6" type="button" dataOnly="0" labelOnly="1" outline="0" axis="axisRow" fieldPosition="2"/>
    </format>
    <format dxfId="1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3">
      <pivotArea dataOnly="0" labelOnly="1" outline="0" fieldPosition="0">
        <references count="1">
          <reference field="0" count="0"/>
        </references>
      </pivotArea>
    </format>
    <format dxfId="12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0">
      <pivotArea dataOnly="0" labelOnly="1" outline="0" fieldPosition="0">
        <references count="1">
          <reference field="0" count="0"/>
        </references>
      </pivotArea>
    </format>
    <format dxfId="1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5">
      <pivotArea outline="0" fieldPosition="0">
        <references count="1">
          <reference field="4294967294" count="1" selected="0">
            <x v="4"/>
          </reference>
        </references>
      </pivotArea>
    </format>
    <format dxfId="1234">
      <pivotArea field="1" type="button" dataOnly="0" labelOnly="1" outline="0" axis="axisRow" fieldPosition="1"/>
    </format>
    <format dxfId="1233">
      <pivotArea field="6" type="button" dataOnly="0" labelOnly="1" outline="0" axis="axisRow" fieldPosition="2"/>
    </format>
    <format dxfId="12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1">
      <pivotArea field="1" type="button" dataOnly="0" labelOnly="1" outline="0" axis="axisRow" fieldPosition="1"/>
    </format>
    <format dxfId="1230">
      <pivotArea field="6" type="button" dataOnly="0" labelOnly="1" outline="0" axis="axisRow" fieldPosition="2"/>
    </format>
    <format dxfId="12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3">
      <pivotArea outline="0" fieldPosition="0">
        <references count="1">
          <reference field="4294967294" count="1" selected="0">
            <x v="4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9">
      <pivotArea field="0" type="button" dataOnly="0" labelOnly="1" outline="0" axis="axisRow" fieldPosition="0"/>
    </format>
    <format dxfId="1218">
      <pivotArea field="1" type="button" dataOnly="0" labelOnly="1" outline="0" axis="axisRow" fieldPosition="1"/>
    </format>
    <format dxfId="1217">
      <pivotArea field="6" type="button" dataOnly="0" labelOnly="1" outline="0" axis="axisRow" fieldPosition="2"/>
    </format>
    <format dxfId="12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5">
      <pivotArea field="0" type="button" dataOnly="0" labelOnly="1" outline="0" axis="axisRow" fieldPosition="0"/>
    </format>
    <format dxfId="1214">
      <pivotArea field="1" type="button" dataOnly="0" labelOnly="1" outline="0" axis="axisRow" fieldPosition="1"/>
    </format>
    <format dxfId="1213">
      <pivotArea field="6" type="button" dataOnly="0" labelOnly="1" outline="0" axis="axisRow" fieldPosition="2"/>
    </format>
    <format dxfId="1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1">
      <pivotArea dataOnly="0" labelOnly="1" outline="0" fieldPosition="0">
        <references count="1">
          <reference field="0" count="0"/>
        </references>
      </pivotArea>
    </format>
    <format dxfId="121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9">
      <pivotArea dataOnly="0" labelOnly="1" outline="0" fieldPosition="0">
        <references count="1">
          <reference field="0" count="0"/>
        </references>
      </pivotArea>
    </format>
    <format dxfId="12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4">
      <pivotArea outline="0" fieldPosition="0">
        <references count="1">
          <reference field="4294967294" count="1" selected="0">
            <x v="4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0">
      <pivotArea field="0" type="button" dataOnly="0" labelOnly="1" outline="0" axis="axisRow" fieldPosition="0"/>
    </format>
    <format dxfId="1199">
      <pivotArea field="1" type="button" dataOnly="0" labelOnly="1" outline="0" axis="axisRow" fieldPosition="1"/>
    </format>
    <format dxfId="1198">
      <pivotArea field="6" type="button" dataOnly="0" labelOnly="1" outline="0" axis="axisRow" fieldPosition="2"/>
    </format>
    <format dxfId="1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6">
      <pivotArea field="0" type="button" dataOnly="0" labelOnly="1" outline="0" axis="axisRow" fieldPosition="0"/>
    </format>
    <format dxfId="1195">
      <pivotArea field="1" type="button" dataOnly="0" labelOnly="1" outline="0" axis="axisRow" fieldPosition="1"/>
    </format>
    <format dxfId="1194">
      <pivotArea field="6" type="button" dataOnly="0" labelOnly="1" outline="0" axis="axisRow" fieldPosition="2"/>
    </format>
    <format dxfId="11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0">
      <pivotArea outline="0" fieldPosition="0">
        <references count="1">
          <reference field="4294967294" count="1" selected="0">
            <x v="4"/>
          </reference>
        </references>
      </pivotArea>
    </format>
    <format dxfId="1189">
      <pivotArea field="1" type="button" dataOnly="0" labelOnly="1" outline="0" axis="axisRow" fieldPosition="1"/>
    </format>
    <format dxfId="1188">
      <pivotArea field="6" type="button" dataOnly="0" labelOnly="1" outline="0" axis="axisRow" fieldPosition="2"/>
    </format>
    <format dxfId="1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6">
      <pivotArea field="1" type="button" dataOnly="0" labelOnly="1" outline="0" axis="axisRow" fieldPosition="1"/>
    </format>
    <format dxfId="1185">
      <pivotArea field="6" type="button" dataOnly="0" labelOnly="1" outline="0" axis="axisRow" fieldPosition="2"/>
    </format>
    <format dxfId="1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0">
      <pivotArea dataOnly="0" labelOnly="1" outline="0" fieldPosition="0">
        <references count="1">
          <reference field="0" count="0"/>
        </references>
      </pivotArea>
    </format>
    <format dxfId="117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6">
      <pivotArea outline="0" fieldPosition="0">
        <references count="1">
          <reference field="4294967294" count="1" selected="0">
            <x v="4"/>
          </reference>
        </references>
      </pivotArea>
    </format>
    <format dxfId="1175">
      <pivotArea field="1" type="button" dataOnly="0" labelOnly="1" outline="0" axis="axisRow" fieldPosition="1"/>
    </format>
    <format dxfId="1174">
      <pivotArea field="6" type="button" dataOnly="0" labelOnly="1" outline="0" axis="axisRow" fieldPosition="2"/>
    </format>
    <format dxfId="11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2">
      <pivotArea field="1" type="button" dataOnly="0" labelOnly="1" outline="0" axis="axisRow" fieldPosition="1"/>
    </format>
    <format dxfId="1171">
      <pivotArea field="6" type="button" dataOnly="0" labelOnly="1" outline="0" axis="axisRow" fieldPosition="2"/>
    </format>
    <format dxfId="11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6">
      <pivotArea dataOnly="0" labelOnly="1" outline="0" fieldPosition="0">
        <references count="1">
          <reference field="0" count="0"/>
        </references>
      </pivotArea>
    </format>
    <format dxfId="1165">
      <pivotArea outline="0" collapsedLevelsAreSubtotals="1" fieldPosition="0"/>
    </format>
    <format dxfId="1164">
      <pivotArea dataOnly="0" labelOnly="1" outline="0" fieldPosition="0">
        <references count="1">
          <reference field="0" count="0"/>
        </references>
      </pivotArea>
    </format>
    <format dxfId="1163">
      <pivotArea dataOnly="0" labelOnly="1" grandRow="1" outline="0" fieldPosition="0"/>
    </format>
    <format dxfId="11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outline="0" collapsedLevelsAreSubtotals="1" fieldPosition="0"/>
    </format>
    <format dxfId="1147">
      <pivotArea dataOnly="0" labelOnly="1" outline="0" fieldPosition="0">
        <references count="1">
          <reference field="0" count="0"/>
        </references>
      </pivotArea>
    </format>
    <format dxfId="1146">
      <pivotArea dataOnly="0" labelOnly="1" grandRow="1" outline="0" fieldPosition="0"/>
    </format>
    <format dxfId="11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6">
      <pivotArea outline="0" fieldPosition="0">
        <references count="1">
          <reference field="4294967294" count="1" selected="0">
            <x v="4"/>
          </reference>
        </references>
      </pivotArea>
    </format>
    <format dxfId="11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field="0" type="button" dataOnly="0" labelOnly="1" outline="0" axis="axisRow" fieldPosition="0"/>
    </format>
    <format dxfId="1130">
      <pivotArea field="1" type="button" dataOnly="0" labelOnly="1" outline="0" axis="axisRow" fieldPosition="1"/>
    </format>
    <format dxfId="1129">
      <pivotArea field="6" type="button" dataOnly="0" labelOnly="1" outline="0" axis="axisRow" fieldPosition="2"/>
    </format>
    <format dxfId="1128">
      <pivotArea dataOnly="0" labelOnly="1" outline="0" fieldPosition="0">
        <references count="1">
          <reference field="0" count="0"/>
        </references>
      </pivotArea>
    </format>
    <format dxfId="1127">
      <pivotArea dataOnly="0" labelOnly="1" grandRow="1" outline="0" fieldPosition="0"/>
    </format>
    <format dxfId="1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3">
      <pivotArea type="all" dataOnly="0" outline="0" fieldPosition="0"/>
    </format>
    <format dxfId="1122">
      <pivotArea outline="0" collapsedLevelsAreSubtotals="1" fieldPosition="0"/>
    </format>
    <format dxfId="1121">
      <pivotArea field="0" type="button" dataOnly="0" labelOnly="1" outline="0" axis="axisRow" fieldPosition="0"/>
    </format>
    <format dxfId="1120">
      <pivotArea field="1" type="button" dataOnly="0" labelOnly="1" outline="0" axis="axisRow" fieldPosition="1"/>
    </format>
    <format dxfId="1119">
      <pivotArea field="6" type="button" dataOnly="0" labelOnly="1" outline="0" axis="axisRow" fieldPosition="2"/>
    </format>
    <format dxfId="1118">
      <pivotArea dataOnly="0" labelOnly="1" outline="0" fieldPosition="0">
        <references count="1">
          <reference field="0" count="0"/>
        </references>
      </pivotArea>
    </format>
    <format dxfId="1117">
      <pivotArea dataOnly="0" labelOnly="1" grandRow="1" outline="0" fieldPosition="0"/>
    </format>
    <format dxfId="11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1">
      <pivotArea outline="0" fieldPosition="0">
        <references count="1">
          <reference field="4294967294" count="1" selected="0">
            <x v="4"/>
          </reference>
        </references>
      </pivotArea>
    </format>
    <format dxfId="11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8">
      <pivotArea type="all" dataOnly="0" outline="0" fieldPosition="0"/>
    </format>
    <format dxfId="1107">
      <pivotArea outline="0" collapsedLevelsAreSubtotals="1" fieldPosition="0"/>
    </format>
    <format dxfId="1106">
      <pivotArea field="0" type="button" dataOnly="0" labelOnly="1" outline="0" axis="axisRow" fieldPosition="0"/>
    </format>
    <format dxfId="1105">
      <pivotArea field="1" type="button" dataOnly="0" labelOnly="1" outline="0" axis="axisRow" fieldPosition="1"/>
    </format>
    <format dxfId="1104">
      <pivotArea field="6" type="button" dataOnly="0" labelOnly="1" outline="0" axis="axisRow" fieldPosition="2"/>
    </format>
    <format dxfId="1103">
      <pivotArea dataOnly="0" labelOnly="1" outline="0" fieldPosition="0">
        <references count="1">
          <reference field="0" count="0"/>
        </references>
      </pivotArea>
    </format>
    <format dxfId="1102">
      <pivotArea dataOnly="0" labelOnly="1" grandRow="1" outline="0" fieldPosition="0"/>
    </format>
    <format dxfId="1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8">
      <pivotArea type="all" dataOnly="0" outline="0" fieldPosition="0"/>
    </format>
    <format dxfId="1097">
      <pivotArea outline="0" collapsedLevelsAreSubtotals="1" fieldPosition="0"/>
    </format>
    <format dxfId="1096">
      <pivotArea field="0" type="button" dataOnly="0" labelOnly="1" outline="0" axis="axisRow" fieldPosition="0"/>
    </format>
    <format dxfId="1095">
      <pivotArea field="1" type="button" dataOnly="0" labelOnly="1" outline="0" axis="axisRow" fieldPosition="1"/>
    </format>
    <format dxfId="1094">
      <pivotArea field="6" type="button" dataOnly="0" labelOnly="1" outline="0" axis="axisRow" fieldPosition="2"/>
    </format>
    <format dxfId="1093">
      <pivotArea dataOnly="0" labelOnly="1" outline="0" fieldPosition="0">
        <references count="1">
          <reference field="0" count="0"/>
        </references>
      </pivotArea>
    </format>
    <format dxfId="1092">
      <pivotArea dataOnly="0" labelOnly="1" grandRow="1" outline="0" fieldPosition="0"/>
    </format>
    <format dxfId="10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6">
      <pivotArea outline="0" fieldPosition="0">
        <references count="1">
          <reference field="4294967294" count="1" selected="0">
            <x v="4"/>
          </reference>
        </references>
      </pivotArea>
    </format>
    <format dxfId="10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3">
      <pivotArea type="all" dataOnly="0" outline="0" fieldPosition="0"/>
    </format>
    <format dxfId="1082">
      <pivotArea outline="0" collapsedLevelsAreSubtotals="1" fieldPosition="0"/>
    </format>
    <format dxfId="1081">
      <pivotArea field="0" type="button" dataOnly="0" labelOnly="1" outline="0" axis="axisRow" fieldPosition="0"/>
    </format>
    <format dxfId="1080">
      <pivotArea field="1" type="button" dataOnly="0" labelOnly="1" outline="0" axis="axisRow" fieldPosition="1"/>
    </format>
    <format dxfId="1079">
      <pivotArea field="6" type="button" dataOnly="0" labelOnly="1" outline="0" axis="axisRow" fieldPosition="2"/>
    </format>
    <format dxfId="1078">
      <pivotArea dataOnly="0" labelOnly="1" outline="0" fieldPosition="0">
        <references count="1">
          <reference field="0" count="0"/>
        </references>
      </pivotArea>
    </format>
    <format dxfId="1077">
      <pivotArea dataOnly="0" labelOnly="1" grandRow="1" outline="0" fieldPosition="0"/>
    </format>
    <format dxfId="10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3">
      <pivotArea type="all" dataOnly="0" outline="0" fieldPosition="0"/>
    </format>
    <format dxfId="1072">
      <pivotArea outline="0" collapsedLevelsAreSubtotals="1" fieldPosition="0"/>
    </format>
    <format dxfId="1071">
      <pivotArea field="0" type="button" dataOnly="0" labelOnly="1" outline="0" axis="axisRow" fieldPosition="0"/>
    </format>
    <format dxfId="1070">
      <pivotArea field="1" type="button" dataOnly="0" labelOnly="1" outline="0" axis="axisRow" fieldPosition="1"/>
    </format>
    <format dxfId="1069">
      <pivotArea field="6" type="button" dataOnly="0" labelOnly="1" outline="0" axis="axisRow" fieldPosition="2"/>
    </format>
    <format dxfId="1068">
      <pivotArea dataOnly="0" labelOnly="1" outline="0" fieldPosition="0">
        <references count="1">
          <reference field="0" count="0"/>
        </references>
      </pivotArea>
    </format>
    <format dxfId="1067">
      <pivotArea dataOnly="0" labelOnly="1" grandRow="1" outline="0" fieldPosition="0"/>
    </format>
    <format dxfId="10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1">
      <pivotArea outline="0" fieldPosition="0">
        <references count="1">
          <reference field="4294967294" count="1" selected="0">
            <x v="4"/>
          </reference>
        </references>
      </pivotArea>
    </format>
    <format dxfId="106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8">
      <pivotArea type="all" dataOnly="0" outline="0" fieldPosition="0"/>
    </format>
    <format dxfId="1057">
      <pivotArea outline="0" collapsedLevelsAreSubtotals="1" fieldPosition="0"/>
    </format>
    <format dxfId="1056">
      <pivotArea field="1" type="button" dataOnly="0" labelOnly="1" outline="0" axis="axisRow" fieldPosition="1"/>
    </format>
    <format dxfId="1055">
      <pivotArea field="6" type="button" dataOnly="0" labelOnly="1" outline="0" axis="axisRow" fieldPosition="2"/>
    </format>
    <format dxfId="1054">
      <pivotArea dataOnly="0" labelOnly="1" outline="0" fieldPosition="0">
        <references count="1">
          <reference field="1" count="0"/>
        </references>
      </pivotArea>
    </format>
    <format dxfId="1053">
      <pivotArea dataOnly="0" labelOnly="1" grandRow="1" outline="0" fieldPosition="0"/>
    </format>
    <format dxfId="105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0">
      <pivotArea type="all" dataOnly="0" outline="0" fieldPosition="0"/>
    </format>
    <format dxfId="1049">
      <pivotArea outline="0" collapsedLevelsAreSubtotals="1" fieldPosition="0"/>
    </format>
    <format dxfId="1048">
      <pivotArea field="1" type="button" dataOnly="0" labelOnly="1" outline="0" axis="axisRow" fieldPosition="1"/>
    </format>
    <format dxfId="1047">
      <pivotArea field="6" type="button" dataOnly="0" labelOnly="1" outline="0" axis="axisRow" fieldPosition="2"/>
    </format>
    <format dxfId="1046">
      <pivotArea dataOnly="0" labelOnly="1" outline="0" fieldPosition="0">
        <references count="1">
          <reference field="1" count="0"/>
        </references>
      </pivotArea>
    </format>
    <format dxfId="1045">
      <pivotArea dataOnly="0" labelOnly="1" grandRow="1" outline="0" fieldPosition="0"/>
    </format>
    <format dxfId="10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0">
      <pivotArea outline="0" fieldPosition="0">
        <references count="1">
          <reference field="4294967294" count="1" selected="0">
            <x v="4"/>
          </reference>
        </references>
      </pivotArea>
    </format>
    <format dxfId="103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7">
      <pivotArea type="all" dataOnly="0" outline="0" fieldPosition="0"/>
    </format>
    <format dxfId="1036">
      <pivotArea outline="0" collapsedLevelsAreSubtotals="1" fieldPosition="0"/>
    </format>
    <format dxfId="1035">
      <pivotArea field="1" type="button" dataOnly="0" labelOnly="1" outline="0" axis="axisRow" fieldPosition="1"/>
    </format>
    <format dxfId="1034">
      <pivotArea field="6" type="button" dataOnly="0" labelOnly="1" outline="0" axis="axisRow" fieldPosition="2"/>
    </format>
    <format dxfId="1033">
      <pivotArea dataOnly="0" labelOnly="1" outline="0" fieldPosition="0">
        <references count="1">
          <reference field="1" count="0"/>
        </references>
      </pivotArea>
    </format>
    <format dxfId="1032">
      <pivotArea dataOnly="0" labelOnly="1" grandRow="1" outline="0" fieldPosition="0"/>
    </format>
    <format dxfId="103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9">
      <pivotArea type="all" dataOnly="0" outline="0" fieldPosition="0"/>
    </format>
    <format dxfId="1028">
      <pivotArea outline="0" collapsedLevelsAreSubtotals="1" fieldPosition="0"/>
    </format>
    <format dxfId="1027">
      <pivotArea field="1" type="button" dataOnly="0" labelOnly="1" outline="0" axis="axisRow" fieldPosition="1"/>
    </format>
    <format dxfId="1026">
      <pivotArea field="6" type="button" dataOnly="0" labelOnly="1" outline="0" axis="axisRow" fieldPosition="2"/>
    </format>
    <format dxfId="1025">
      <pivotArea dataOnly="0" labelOnly="1" outline="0" fieldPosition="0">
        <references count="1">
          <reference field="1" count="0"/>
        </references>
      </pivotArea>
    </format>
    <format dxfId="1024">
      <pivotArea dataOnly="0" labelOnly="1" grandRow="1" outline="0" fieldPosition="0"/>
    </format>
    <format dxfId="10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2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9">
      <pivotArea outline="0" fieldPosition="0">
        <references count="1">
          <reference field="4294967294" count="1" selected="0">
            <x v="4"/>
          </reference>
        </references>
      </pivotArea>
    </format>
    <format dxfId="10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6">
      <pivotArea type="all" dataOnly="0" outline="0" fieldPosition="0"/>
    </format>
    <format dxfId="1015">
      <pivotArea outline="0" collapsedLevelsAreSubtotals="1" fieldPosition="0"/>
    </format>
    <format dxfId="1014">
      <pivotArea field="0" type="button" dataOnly="0" labelOnly="1" outline="0" axis="axisRow" fieldPosition="0"/>
    </format>
    <format dxfId="1013">
      <pivotArea field="1" type="button" dataOnly="0" labelOnly="1" outline="0" axis="axisRow" fieldPosition="1"/>
    </format>
    <format dxfId="1012">
      <pivotArea field="6" type="button" dataOnly="0" labelOnly="1" outline="0" axis="axisRow" fieldPosition="2"/>
    </format>
    <format dxfId="1011">
      <pivotArea dataOnly="0" labelOnly="1" outline="0" fieldPosition="0">
        <references count="1">
          <reference field="0" count="0"/>
        </references>
      </pivotArea>
    </format>
    <format dxfId="1010">
      <pivotArea dataOnly="0" labelOnly="1" grandRow="1" outline="0" fieldPosition="0"/>
    </format>
    <format dxfId="100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6">
      <pivotArea type="all" dataOnly="0" outline="0" fieldPosition="0"/>
    </format>
    <format dxfId="1005">
      <pivotArea outline="0" collapsedLevelsAreSubtotals="1" fieldPosition="0"/>
    </format>
    <format dxfId="1004">
      <pivotArea field="0" type="button" dataOnly="0" labelOnly="1" outline="0" axis="axisRow" fieldPosition="0"/>
    </format>
    <format dxfId="1003">
      <pivotArea field="1" type="button" dataOnly="0" labelOnly="1" outline="0" axis="axisRow" fieldPosition="1"/>
    </format>
    <format dxfId="1002">
      <pivotArea field="6" type="button" dataOnly="0" labelOnly="1" outline="0" axis="axisRow" fieldPosition="2"/>
    </format>
    <format dxfId="1001">
      <pivotArea dataOnly="0" labelOnly="1" outline="0" fieldPosition="0">
        <references count="1">
          <reference field="0" count="0"/>
        </references>
      </pivotArea>
    </format>
    <format dxfId="1000">
      <pivotArea dataOnly="0" labelOnly="1" grandRow="1" outline="0" fieldPosition="0"/>
    </format>
    <format dxfId="9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4">
      <pivotArea outline="0" fieldPosition="0">
        <references count="1">
          <reference field="4294967294" count="1" selected="0">
            <x v="4"/>
          </reference>
        </references>
      </pivotArea>
    </format>
    <format dxfId="99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1">
      <pivotArea type="all" dataOnly="0" outline="0" fieldPosition="0"/>
    </format>
    <format dxfId="990">
      <pivotArea outline="0" collapsedLevelsAreSubtotals="1" fieldPosition="0"/>
    </format>
    <format dxfId="989">
      <pivotArea field="1" type="button" dataOnly="0" labelOnly="1" outline="0" axis="axisRow" fieldPosition="1"/>
    </format>
    <format dxfId="988">
      <pivotArea field="6" type="button" dataOnly="0" labelOnly="1" outline="0" axis="axisRow" fieldPosition="2"/>
    </format>
    <format dxfId="987">
      <pivotArea dataOnly="0" labelOnly="1" outline="0" fieldPosition="0">
        <references count="1">
          <reference field="1" count="0"/>
        </references>
      </pivotArea>
    </format>
    <format dxfId="986">
      <pivotArea dataOnly="0" labelOnly="1" grandRow="1" outline="0" fieldPosition="0"/>
    </format>
    <format dxfId="98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3">
      <pivotArea type="all" dataOnly="0" outline="0" fieldPosition="0"/>
    </format>
    <format dxfId="982">
      <pivotArea outline="0" collapsedLevelsAreSubtotals="1" fieldPosition="0"/>
    </format>
    <format dxfId="981">
      <pivotArea field="1" type="button" dataOnly="0" labelOnly="1" outline="0" axis="axisRow" fieldPosition="1"/>
    </format>
    <format dxfId="980">
      <pivotArea field="6" type="button" dataOnly="0" labelOnly="1" outline="0" axis="axisRow" fieldPosition="2"/>
    </format>
    <format dxfId="979">
      <pivotArea dataOnly="0" labelOnly="1" outline="0" fieldPosition="0">
        <references count="1">
          <reference field="1" count="0"/>
        </references>
      </pivotArea>
    </format>
    <format dxfId="978">
      <pivotArea dataOnly="0" labelOnly="1" grandRow="1" outline="0" fieldPosition="0"/>
    </format>
    <format dxfId="97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3">
      <pivotArea outline="0" fieldPosition="0">
        <references count="1">
          <reference field="4294967294" count="1" selected="0">
            <x v="4"/>
          </reference>
        </references>
      </pivotArea>
    </format>
    <format dxfId="97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0">
      <pivotArea type="all" dataOnly="0" outline="0" fieldPosition="0"/>
    </format>
    <format dxfId="969">
      <pivotArea outline="0" collapsedLevelsAreSubtotals="1" fieldPosition="0"/>
    </format>
    <format dxfId="968">
      <pivotArea field="1" type="button" dataOnly="0" labelOnly="1" outline="0" axis="axisRow" fieldPosition="1"/>
    </format>
    <format dxfId="967">
      <pivotArea field="6" type="button" dataOnly="0" labelOnly="1" outline="0" axis="axisRow" fieldPosition="2"/>
    </format>
    <format dxfId="966">
      <pivotArea dataOnly="0" labelOnly="1" outline="0" fieldPosition="0">
        <references count="1">
          <reference field="1" count="0"/>
        </references>
      </pivotArea>
    </format>
    <format dxfId="965">
      <pivotArea dataOnly="0" labelOnly="1" grandRow="1" outline="0" fieldPosition="0"/>
    </format>
    <format dxfId="96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field="1" type="button" dataOnly="0" labelOnly="1" outline="0" axis="axisRow" fieldPosition="1"/>
    </format>
    <format dxfId="959">
      <pivotArea field="6" type="button" dataOnly="0" labelOnly="1" outline="0" axis="axisRow" fieldPosition="2"/>
    </format>
    <format dxfId="958">
      <pivotArea dataOnly="0" labelOnly="1" outline="0" fieldPosition="0">
        <references count="1">
          <reference field="1" count="0"/>
        </references>
      </pivotArea>
    </format>
    <format dxfId="957">
      <pivotArea dataOnly="0" labelOnly="1" grandRow="1" outline="0" fieldPosition="0"/>
    </format>
    <format dxfId="9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2">
      <pivotArea outline="0" fieldPosition="0">
        <references count="1">
          <reference field="4294967294" count="1" selected="0">
            <x v="4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9">
      <pivotArea type="all" dataOnly="0" outline="0" fieldPosition="0"/>
    </format>
    <format dxfId="948">
      <pivotArea outline="0" collapsedLevelsAreSubtotals="1" fieldPosition="0"/>
    </format>
    <format dxfId="947">
      <pivotArea field="1" type="button" dataOnly="0" labelOnly="1" outline="0" axis="axisRow" fieldPosition="1"/>
    </format>
    <format dxfId="946">
      <pivotArea field="6" type="button" dataOnly="0" labelOnly="1" outline="0" axis="axisRow" fieldPosition="2"/>
    </format>
    <format dxfId="945">
      <pivotArea dataOnly="0" labelOnly="1" outline="0" fieldPosition="0">
        <references count="1">
          <reference field="1" count="0"/>
        </references>
      </pivotArea>
    </format>
    <format dxfId="944">
      <pivotArea dataOnly="0" labelOnly="1" grandRow="1" outline="0" fieldPosition="0"/>
    </format>
    <format dxfId="94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1">
      <pivotArea type="all" dataOnly="0" outline="0" fieldPosition="0"/>
    </format>
    <format dxfId="940">
      <pivotArea outline="0" collapsedLevelsAreSubtotals="1" fieldPosition="0"/>
    </format>
    <format dxfId="939">
      <pivotArea field="1" type="button" dataOnly="0" labelOnly="1" outline="0" axis="axisRow" fieldPosition="1"/>
    </format>
    <format dxfId="938">
      <pivotArea field="6" type="button" dataOnly="0" labelOnly="1" outline="0" axis="axisRow" fieldPosition="2"/>
    </format>
    <format dxfId="937">
      <pivotArea dataOnly="0" labelOnly="1" outline="0" fieldPosition="0">
        <references count="1">
          <reference field="1" count="0"/>
        </references>
      </pivotArea>
    </format>
    <format dxfId="936">
      <pivotArea dataOnly="0" labelOnly="1" grandRow="1" outline="0" fieldPosition="0"/>
    </format>
    <format dxfId="9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1">
      <pivotArea outline="0" fieldPosition="0">
        <references count="1">
          <reference field="4294967294" count="1" selected="0">
            <x v="4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8">
      <pivotArea type="all" dataOnly="0" outline="0" fieldPosition="0"/>
    </format>
    <format dxfId="927">
      <pivotArea outline="0" collapsedLevelsAreSubtotals="1" fieldPosition="0"/>
    </format>
    <format dxfId="926">
      <pivotArea field="1" type="button" dataOnly="0" labelOnly="1" outline="0" axis="axisRow" fieldPosition="1"/>
    </format>
    <format dxfId="925">
      <pivotArea field="6" type="button" dataOnly="0" labelOnly="1" outline="0" axis="axisRow" fieldPosition="2"/>
    </format>
    <format dxfId="924">
      <pivotArea dataOnly="0" labelOnly="1" outline="0" fieldPosition="0">
        <references count="1">
          <reference field="1" count="0"/>
        </references>
      </pivotArea>
    </format>
    <format dxfId="923">
      <pivotArea dataOnly="0" labelOnly="1" grandRow="1" outline="0" fieldPosition="0"/>
    </format>
    <format dxfId="9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0">
      <pivotArea type="all" dataOnly="0" outline="0" fieldPosition="0"/>
    </format>
    <format dxfId="919">
      <pivotArea outline="0" collapsedLevelsAreSubtotals="1" fieldPosition="0"/>
    </format>
    <format dxfId="918">
      <pivotArea field="1" type="button" dataOnly="0" labelOnly="1" outline="0" axis="axisRow" fieldPosition="1"/>
    </format>
    <format dxfId="917">
      <pivotArea field="6" type="button" dataOnly="0" labelOnly="1" outline="0" axis="axisRow" fieldPosition="2"/>
    </format>
    <format dxfId="916">
      <pivotArea dataOnly="0" labelOnly="1" outline="0" fieldPosition="0">
        <references count="1">
          <reference field="1" count="0"/>
        </references>
      </pivotArea>
    </format>
    <format dxfId="915">
      <pivotArea dataOnly="0" labelOnly="1" grandRow="1" outline="0" fieldPosition="0"/>
    </format>
    <format dxfId="91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0">
      <pivotArea outline="0" fieldPosition="0">
        <references count="1">
          <reference field="4294967294" count="1" selected="0">
            <x v="4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7">
      <pivotArea type="all" dataOnly="0" outline="0" fieldPosition="0"/>
    </format>
    <format dxfId="906">
      <pivotArea outline="0" collapsedLevelsAreSubtotals="1" fieldPosition="0"/>
    </format>
    <format dxfId="905">
      <pivotArea field="1" type="button" dataOnly="0" labelOnly="1" outline="0" axis="axisRow" fieldPosition="1"/>
    </format>
    <format dxfId="904">
      <pivotArea field="6" type="button" dataOnly="0" labelOnly="1" outline="0" axis="axisRow" fieldPosition="2"/>
    </format>
    <format dxfId="903">
      <pivotArea dataOnly="0" labelOnly="1" outline="0" fieldPosition="0">
        <references count="1">
          <reference field="1" count="0"/>
        </references>
      </pivotArea>
    </format>
    <format dxfId="902">
      <pivotArea dataOnly="0" labelOnly="1" grandRow="1" outline="0" fieldPosition="0"/>
    </format>
    <format dxfId="9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9">
      <pivotArea type="all" dataOnly="0" outline="0" fieldPosition="0"/>
    </format>
    <format dxfId="898">
      <pivotArea outline="0" collapsedLevelsAreSubtotals="1" fieldPosition="0"/>
    </format>
    <format dxfId="897">
      <pivotArea field="1" type="button" dataOnly="0" labelOnly="1" outline="0" axis="axisRow" fieldPosition="1"/>
    </format>
    <format dxfId="896">
      <pivotArea field="6" type="button" dataOnly="0" labelOnly="1" outline="0" axis="axisRow" fieldPosition="2"/>
    </format>
    <format dxfId="895">
      <pivotArea dataOnly="0" labelOnly="1" outline="0" fieldPosition="0">
        <references count="1">
          <reference field="1" count="0"/>
        </references>
      </pivotArea>
    </format>
    <format dxfId="894">
      <pivotArea dataOnly="0" labelOnly="1" grandRow="1" outline="0" fieldPosition="0"/>
    </format>
    <format dxfId="89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8">
      <pivotArea outline="0" fieldPosition="0">
        <references count="1">
          <reference field="4294967294" count="1" selected="0">
            <x v="4"/>
          </reference>
        </references>
      </pivotArea>
    </format>
    <format dxfId="8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5">
      <pivotArea type="all" dataOnly="0" outline="0" fieldPosition="0"/>
    </format>
    <format dxfId="864">
      <pivotArea field="1" type="button" dataOnly="0" labelOnly="1" outline="0" axis="axisRow" fieldPosition="1"/>
    </format>
    <format dxfId="863">
      <pivotArea field="6" type="button" dataOnly="0" labelOnly="1" outline="0" axis="axisRow" fieldPosition="2"/>
    </format>
    <format dxfId="862">
      <pivotArea dataOnly="0" labelOnly="1" outline="0" fieldPosition="0">
        <references count="1">
          <reference field="1" count="0"/>
        </references>
      </pivotArea>
    </format>
    <format dxfId="86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9">
      <pivotArea type="all" dataOnly="0" outline="0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3">
      <pivotArea outline="0" collapsedLevelsAreSubtotals="1" fieldPosition="0"/>
    </format>
    <format dxfId="852">
      <pivotArea dataOnly="0" labelOnly="1" outline="0" fieldPosition="0">
        <references count="1">
          <reference field="0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1">
      <pivotArea outline="0" fieldPosition="0">
        <references count="1">
          <reference field="4294967294" count="1" selected="0">
            <x v="4"/>
          </reference>
        </references>
      </pivotArea>
    </format>
    <format dxfId="840">
      <pivotArea field="1" type="button" dataOnly="0" labelOnly="1" outline="0" axis="axisRow" fieldPosition="1"/>
    </format>
    <format dxfId="839">
      <pivotArea field="6" type="button" dataOnly="0" labelOnly="1" outline="0" axis="axisRow" fieldPosition="2"/>
    </format>
    <format dxfId="8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7">
      <pivotArea field="1" type="button" dataOnly="0" labelOnly="1" outline="0" axis="axisRow" fieldPosition="1"/>
    </format>
    <format dxfId="836">
      <pivotArea field="6" type="button" dataOnly="0" labelOnly="1" outline="0" axis="axisRow" fieldPosition="2"/>
    </format>
    <format dxfId="8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2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9">
      <pivotArea outline="0" fieldPosition="0">
        <references count="1">
          <reference field="4294967294" count="1" selected="0">
            <x v="4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6">
      <pivotArea type="all" dataOnly="0" outline="0" fieldPosition="0"/>
    </format>
    <format dxfId="825">
      <pivotArea outline="0" collapsedLevelsAreSubtotals="1" fieldPosition="0"/>
    </format>
    <format dxfId="824">
      <pivotArea field="1" type="button" dataOnly="0" labelOnly="1" outline="0" axis="axisRow" fieldPosition="1"/>
    </format>
    <format dxfId="823">
      <pivotArea field="6" type="button" dataOnly="0" labelOnly="1" outline="0" axis="axisRow" fieldPosition="2"/>
    </format>
    <format dxfId="822">
      <pivotArea dataOnly="0" labelOnly="1" outline="0" fieldPosition="0">
        <references count="1">
          <reference field="1" count="0"/>
        </references>
      </pivotArea>
    </format>
    <format dxfId="821">
      <pivotArea dataOnly="0" labelOnly="1" grandRow="1" outline="0" fieldPosition="0"/>
    </format>
    <format dxfId="82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8">
      <pivotArea type="all" dataOnly="0" outline="0" fieldPosition="0"/>
    </format>
    <format dxfId="817">
      <pivotArea outline="0" collapsedLevelsAreSubtotals="1" fieldPosition="0"/>
    </format>
    <format dxfId="816">
      <pivotArea field="1" type="button" dataOnly="0" labelOnly="1" outline="0" axis="axisRow" fieldPosition="1"/>
    </format>
    <format dxfId="815">
      <pivotArea field="6" type="button" dataOnly="0" labelOnly="1" outline="0" axis="axisRow" fieldPosition="2"/>
    </format>
    <format dxfId="814">
      <pivotArea dataOnly="0" labelOnly="1" outline="0" fieldPosition="0">
        <references count="1">
          <reference field="1" count="0"/>
        </references>
      </pivotArea>
    </format>
    <format dxfId="813">
      <pivotArea dataOnly="0" labelOnly="1" grandRow="1" outline="0" fieldPosition="0"/>
    </format>
    <format dxfId="8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1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9">
      <pivotArea outline="0" fieldPosition="0">
        <references count="1">
          <reference field="4294967294" count="1" selected="0">
            <x v="3"/>
          </reference>
        </references>
      </pivotArea>
    </format>
    <format dxfId="808">
      <pivotArea field="1" type="button" dataOnly="0" labelOnly="1" outline="0" axis="axisRow" fieldPosition="1"/>
    </format>
    <format dxfId="807">
      <pivotArea field="6" type="button" dataOnly="0" labelOnly="1" outline="0" axis="axisRow" fieldPosition="2"/>
    </format>
    <format dxfId="80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5">
      <pivotArea field="1" type="button" dataOnly="0" labelOnly="1" outline="0" axis="axisRow" fieldPosition="1"/>
    </format>
    <format dxfId="804">
      <pivotArea field="6" type="button" dataOnly="0" labelOnly="1" outline="0" axis="axisRow" fieldPosition="2"/>
    </format>
    <format dxfId="80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93">
      <pivotArea outline="0" fieldPosition="0">
        <references count="1">
          <reference field="4294967294" count="1" selected="0">
            <x v="4"/>
          </reference>
        </references>
      </pivotArea>
    </format>
    <format dxfId="7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field="0" type="button" dataOnly="0" labelOnly="1" outline="0" axis="axisRow" fieldPosition="0"/>
    </format>
    <format dxfId="787">
      <pivotArea field="1" type="button" dataOnly="0" labelOnly="1" outline="0" axis="axisRow" fieldPosition="1"/>
    </format>
    <format dxfId="786">
      <pivotArea field="6" type="button" dataOnly="0" labelOnly="1" outline="0" axis="axisRow" fieldPosition="2"/>
    </format>
    <format dxfId="785">
      <pivotArea dataOnly="0" labelOnly="1" grandRow="1" outline="0" fieldPosition="0"/>
    </format>
    <format dxfId="7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3">
      <pivotArea type="all" dataOnly="0" outline="0" fieldPosition="0"/>
    </format>
    <format dxfId="782">
      <pivotArea outline="0" collapsedLevelsAreSubtotals="1" fieldPosition="0"/>
    </format>
    <format dxfId="781">
      <pivotArea field="0" type="button" dataOnly="0" labelOnly="1" outline="0" axis="axisRow" fieldPosition="0"/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0" count="0"/>
        </references>
      </pivotArea>
    </format>
    <format dxfId="777">
      <pivotArea dataOnly="0" labelOnly="1" grandRow="1" outline="0" fieldPosition="0"/>
    </format>
    <format dxfId="7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72">
      <pivotArea dataOnly="0" labelOnly="1" outline="0" fieldPosition="0">
        <references count="1">
          <reference field="0" count="0"/>
        </references>
      </pivotArea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outline="0" fieldPosition="0">
        <references count="1">
          <reference field="0" count="0"/>
        </references>
      </pivotArea>
    </format>
    <format dxfId="758">
      <pivotArea dataOnly="0" labelOnly="1" grandRow="1" outline="0" fieldPosition="0"/>
    </format>
    <format dxfId="7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4">
      <pivotArea type="all" dataOnly="0" outline="0" fieldPosition="0"/>
    </format>
    <format dxfId="753">
      <pivotArea outline="0" collapsedLevelsAreSubtotals="1" fieldPosition="0"/>
    </format>
    <format dxfId="752">
      <pivotArea field="0" type="button" dataOnly="0" labelOnly="1" outline="0" axis="axisRow" fieldPosition="0"/>
    </format>
    <format dxfId="751">
      <pivotArea field="1" type="button" dataOnly="0" labelOnly="1" outline="0" axis="axisRow" fieldPosition="1"/>
    </format>
    <format dxfId="750">
      <pivotArea field="6" type="button" dataOnly="0" labelOnly="1" outline="0" axis="axisRow" fieldPosition="2"/>
    </format>
    <format dxfId="749">
      <pivotArea dataOnly="0" labelOnly="1" outline="0" fieldPosition="0">
        <references count="1">
          <reference field="0" count="0"/>
        </references>
      </pivotArea>
    </format>
    <format dxfId="748">
      <pivotArea dataOnly="0" labelOnly="1" grandRow="1" outline="0" fieldPosition="0"/>
    </format>
    <format dxfId="7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2">
      <pivotArea outline="0" fieldPosition="0">
        <references count="1">
          <reference field="4294967294" count="1" selected="0">
            <x v="4"/>
          </reference>
        </references>
      </pivotArea>
    </format>
    <format dxfId="7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9">
      <pivotArea type="all" dataOnly="0" outline="0" fieldPosition="0"/>
    </format>
    <format dxfId="738">
      <pivotArea field="1" type="button" dataOnly="0" labelOnly="1" outline="0" axis="axisRow" fieldPosition="1"/>
    </format>
    <format dxfId="737">
      <pivotArea field="6" type="button" dataOnly="0" labelOnly="1" outline="0" axis="axisRow" fieldPosition="2"/>
    </format>
    <format dxfId="736">
      <pivotArea dataOnly="0" labelOnly="1" outline="0" fieldPosition="0">
        <references count="1">
          <reference field="1" count="0"/>
        </references>
      </pivotArea>
    </format>
    <format dxfId="7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33">
      <pivotArea type="all" dataOnly="0" outline="0" fieldPosition="0"/>
    </format>
    <format dxfId="732">
      <pivotArea outline="0" collapsedLevelsAreSubtotals="1" fieldPosition="0"/>
    </format>
    <format dxfId="731">
      <pivotArea field="1" type="button" dataOnly="0" labelOnly="1" outline="0" axis="axisRow" fieldPosition="1"/>
    </format>
    <format dxfId="730">
      <pivotArea field="6" type="button" dataOnly="0" labelOnly="1" outline="0" axis="axisRow" fieldPosition="2"/>
    </format>
    <format dxfId="729">
      <pivotArea dataOnly="0" labelOnly="1" outline="0" fieldPosition="0">
        <references count="1">
          <reference field="1" count="0"/>
        </references>
      </pivotArea>
    </format>
    <format dxfId="728">
      <pivotArea dataOnly="0" labelOnly="1" grandRow="1" outline="0" fieldPosition="0"/>
    </format>
    <format dxfId="72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5">
      <pivotArea outline="0" collapsedLevelsAreSubtotals="1" fieldPosition="0"/>
    </format>
    <format dxfId="724">
      <pivotArea dataOnly="0" labelOnly="1" outline="0" fieldPosition="0">
        <references count="1">
          <reference field="0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8">
      <pivotArea outline="0" fieldPosition="0">
        <references count="1">
          <reference field="4294967294" count="1" selected="0">
            <x v="4"/>
          </reference>
        </references>
      </pivotArea>
    </format>
    <format dxfId="7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5">
      <pivotArea type="all" dataOnly="0" outline="0" fieldPosition="0"/>
    </format>
    <format dxfId="714">
      <pivotArea field="0" type="button" dataOnly="0" labelOnly="1" outline="0" axis="axisRow" fieldPosition="0"/>
    </format>
    <format dxfId="713">
      <pivotArea field="1" type="button" dataOnly="0" labelOnly="1" outline="0" axis="axisRow" fieldPosition="1"/>
    </format>
    <format dxfId="712">
      <pivotArea field="6" type="button" dataOnly="0" labelOnly="1" outline="0" axis="axisRow" fieldPosition="2"/>
    </format>
    <format dxfId="7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outline="0" collapsedLevelsAreSubtotals="1" fieldPosition="0"/>
    </format>
    <format dxfId="704">
      <pivotArea dataOnly="0" labelOnly="1" outline="0" fieldPosition="0">
        <references count="1">
          <reference field="0" count="0"/>
        </references>
      </pivotArea>
    </format>
    <format dxfId="703">
      <pivotArea dataOnly="0" labelOnly="1" grandRow="1" outline="0" fieldPosition="0"/>
    </format>
    <format dxfId="7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3">
      <pivotArea outline="0" fieldPosition="0">
        <references count="1">
          <reference field="4294967294" count="1" selected="0">
            <x v="4"/>
          </reference>
        </references>
      </pivotArea>
    </format>
    <format dxfId="6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1" type="button" dataOnly="0" labelOnly="1" outline="0" axis="axisRow" fieldPosition="1"/>
    </format>
    <format dxfId="687">
      <pivotArea field="6" type="button" dataOnly="0" labelOnly="1" outline="0" axis="axisRow" fieldPosition="2"/>
    </format>
    <format dxfId="686">
      <pivotArea dataOnly="0" labelOnly="1" outline="0" fieldPosition="0">
        <references count="1">
          <reference field="1" count="0"/>
        </references>
      </pivotArea>
    </format>
    <format dxfId="685">
      <pivotArea dataOnly="0" labelOnly="1" grandRow="1" outline="0" fieldPosition="0"/>
    </format>
    <format dxfId="68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outline="0" collapsedLevelsAreSubtotals="1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1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72">
      <pivotArea outline="0" fieldPosition="0">
        <references count="1">
          <reference field="4294967294" count="1" selected="0">
            <x v="4"/>
          </reference>
        </references>
      </pivotArea>
    </format>
    <format dxfId="6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9">
      <pivotArea type="all" dataOnly="0" outline="0" fieldPosition="0"/>
    </format>
    <format dxfId="668">
      <pivotArea outline="0" collapsedLevelsAreSubtotals="1" fieldPosition="0"/>
    </format>
    <format dxfId="667">
      <pivotArea field="0" type="button" dataOnly="0" labelOnly="1" outline="0" axis="axisRow" fieldPosition="0"/>
    </format>
    <format dxfId="666">
      <pivotArea field="1" type="button" dataOnly="0" labelOnly="1" outline="0" axis="axisRow" fieldPosition="1"/>
    </format>
    <format dxfId="665">
      <pivotArea field="6" type="button" dataOnly="0" labelOnly="1" outline="0" axis="axisRow" fieldPosition="2"/>
    </format>
    <format dxfId="664">
      <pivotArea dataOnly="0" labelOnly="1" outline="0" fieldPosition="0">
        <references count="1">
          <reference field="0" count="0"/>
        </references>
      </pivotArea>
    </format>
    <format dxfId="663">
      <pivotArea dataOnly="0" labelOnly="1" grandRow="1" outline="0" fieldPosition="0"/>
    </format>
    <format dxfId="6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0" type="button" dataOnly="0" labelOnly="1" outline="0" axis="axisRow" fieldPosition="0"/>
    </format>
    <format dxfId="656">
      <pivotArea field="1" type="button" dataOnly="0" labelOnly="1" outline="0" axis="axisRow" fieldPosition="1"/>
    </format>
    <format dxfId="655">
      <pivotArea field="6" type="button" dataOnly="0" labelOnly="1" outline="0" axis="axisRow" fieldPosition="2"/>
    </format>
    <format dxfId="654">
      <pivotArea dataOnly="0" labelOnly="1" outline="0" fieldPosition="0">
        <references count="1">
          <reference field="0" count="0"/>
        </references>
      </pivotArea>
    </format>
    <format dxfId="653">
      <pivotArea dataOnly="0" labelOnly="1" grandRow="1" outline="0" fieldPosition="0"/>
    </format>
    <format dxfId="6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7">
      <pivotArea outline="0" fieldPosition="0">
        <references count="1">
          <reference field="4294967294" count="1" selected="0">
            <x v="4"/>
          </reference>
        </references>
      </pivotArea>
    </format>
    <format dxfId="6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4">
      <pivotArea type="all" dataOnly="0" outline="0" fieldPosition="0"/>
    </format>
    <format dxfId="643">
      <pivotArea outline="0" collapsedLevelsAreSubtotals="1" fieldPosition="0"/>
    </format>
    <format dxfId="642">
      <pivotArea field="0" type="button" dataOnly="0" labelOnly="1" outline="0" axis="axisRow" fieldPosition="0"/>
    </format>
    <format dxfId="641">
      <pivotArea field="1" type="button" dataOnly="0" labelOnly="1" outline="0" axis="axisRow" fieldPosition="1"/>
    </format>
    <format dxfId="640">
      <pivotArea field="6" type="button" dataOnly="0" labelOnly="1" outline="0" axis="axisRow" fieldPosition="2"/>
    </format>
    <format dxfId="639">
      <pivotArea dataOnly="0" labelOnly="1" outline="0" fieldPosition="0">
        <references count="1">
          <reference field="0" count="0"/>
        </references>
      </pivotArea>
    </format>
    <format dxfId="638">
      <pivotArea dataOnly="0" labelOnly="1" grandRow="1" outline="0" fieldPosition="0"/>
    </format>
    <format dxfId="6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field="0" type="button" dataOnly="0" labelOnly="1" outline="0" axis="axisRow" fieldPosition="0"/>
    </format>
    <format dxfId="631">
      <pivotArea field="1" type="button" dataOnly="0" labelOnly="1" outline="0" axis="axisRow" fieldPosition="1"/>
    </format>
    <format dxfId="630">
      <pivotArea field="6" type="button" dataOnly="0" labelOnly="1" outline="0" axis="axisRow" fieldPosition="2"/>
    </format>
    <format dxfId="629">
      <pivotArea dataOnly="0" labelOnly="1" outline="0" fieldPosition="0">
        <references count="1">
          <reference field="0" count="0"/>
        </references>
      </pivotArea>
    </format>
    <format dxfId="628">
      <pivotArea dataOnly="0" labelOnly="1" grandRow="1" outline="0" fieldPosition="0"/>
    </format>
    <format dxfId="6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2">
      <pivotArea outline="0" fieldPosition="0">
        <references count="1">
          <reference field="4294967294" count="1" selected="0">
            <x v="4"/>
          </reference>
        </references>
      </pivotArea>
    </format>
    <format dxfId="6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 axis="axisRow" fieldPosition="1"/>
    </format>
    <format dxfId="615">
      <pivotArea field="6" type="button" dataOnly="0" labelOnly="1" outline="0" axis="axisRow" fieldPosition="2"/>
    </format>
    <format dxfId="614">
      <pivotArea dataOnly="0" labelOnly="1" outline="0" fieldPosition="0">
        <references count="1">
          <reference field="0" count="0"/>
        </references>
      </pivotArea>
    </format>
    <format dxfId="613">
      <pivotArea dataOnly="0" labelOnly="1" grandRow="1" outline="0" fieldPosition="0"/>
    </format>
    <format dxfId="6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9">
      <pivotArea type="all" dataOnly="0" outline="0" fieldPosition="0"/>
    </format>
    <format dxfId="608">
      <pivotArea outline="0" collapsedLevelsAreSubtotals="1" fieldPosition="0"/>
    </format>
    <format dxfId="607">
      <pivotArea field="0" type="button" dataOnly="0" labelOnly="1" outline="0" axis="axisRow" fieldPosition="0"/>
    </format>
    <format dxfId="606">
      <pivotArea field="1" type="button" dataOnly="0" labelOnly="1" outline="0" axis="axisRow" fieldPosition="1"/>
    </format>
    <format dxfId="605">
      <pivotArea field="6" type="button" dataOnly="0" labelOnly="1" outline="0" axis="axisRow" fieldPosition="2"/>
    </format>
    <format dxfId="604">
      <pivotArea dataOnly="0" labelOnly="1" outline="0" fieldPosition="0">
        <references count="1">
          <reference field="0" count="0"/>
        </references>
      </pivotArea>
    </format>
    <format dxfId="603">
      <pivotArea dataOnly="0" labelOnly="1" grandRow="1" outline="0" fieldPosition="0"/>
    </format>
    <format dxfId="60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7">
      <pivotArea outline="0" fieldPosition="0">
        <references count="1">
          <reference field="4294967294" count="1" selected="0">
            <x v="4"/>
          </reference>
        </references>
      </pivotArea>
    </format>
    <format dxfId="5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0" type="button" dataOnly="0" labelOnly="1" outline="0" axis="axisRow" fieldPosition="0"/>
    </format>
    <format dxfId="591">
      <pivotArea field="1" type="button" dataOnly="0" labelOnly="1" outline="0" axis="axisRow" fieldPosition="1"/>
    </format>
    <format dxfId="590">
      <pivotArea field="6" type="button" dataOnly="0" labelOnly="1" outline="0" axis="axisRow" fieldPosition="2"/>
    </format>
    <format dxfId="589">
      <pivotArea dataOnly="0" labelOnly="1" outline="0" fieldPosition="0">
        <references count="1">
          <reference field="0" count="0"/>
        </references>
      </pivotArea>
    </format>
    <format dxfId="588">
      <pivotArea dataOnly="0" labelOnly="1" grandRow="1" outline="0" fieldPosition="0"/>
    </format>
    <format dxfId="5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4">
      <pivotArea type="all" dataOnly="0" outline="0" fieldPosition="0"/>
    </format>
    <format dxfId="583">
      <pivotArea outline="0" collapsedLevelsAreSubtotals="1" fieldPosition="0"/>
    </format>
    <format dxfId="582">
      <pivotArea field="0" type="button" dataOnly="0" labelOnly="1" outline="0" axis="axisRow" fieldPosition="0"/>
    </format>
    <format dxfId="581">
      <pivotArea field="1" type="button" dataOnly="0" labelOnly="1" outline="0" axis="axisRow" fieldPosition="1"/>
    </format>
    <format dxfId="580">
      <pivotArea field="6" type="button" dataOnly="0" labelOnly="1" outline="0" axis="axisRow" fieldPosition="2"/>
    </format>
    <format dxfId="579">
      <pivotArea dataOnly="0" labelOnly="1" outline="0" fieldPosition="0">
        <references count="1">
          <reference field="0" count="0"/>
        </references>
      </pivotArea>
    </format>
    <format dxfId="578">
      <pivotArea dataOnly="0" labelOnly="1" grandRow="1" outline="0" fieldPosition="0"/>
    </format>
    <format dxfId="5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2">
      <pivotArea outline="0" fieldPosition="0">
        <references count="1">
          <reference field="4294967294" count="1" selected="0">
            <x v="4"/>
          </reference>
        </references>
      </pivotArea>
    </format>
    <format dxfId="5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9">
      <pivotArea type="all" dataOnly="0" outline="0" fieldPosition="0"/>
    </format>
    <format dxfId="568">
      <pivotArea outline="0" collapsedLevelsAreSubtotals="1" fieldPosition="0"/>
    </format>
    <format dxfId="567">
      <pivotArea field="0" type="button" dataOnly="0" labelOnly="1" outline="0" axis="axisRow" fieldPosition="0"/>
    </format>
    <format dxfId="566">
      <pivotArea field="1" type="button" dataOnly="0" labelOnly="1" outline="0" axis="axisRow" fieldPosition="1"/>
    </format>
    <format dxfId="565">
      <pivotArea field="6" type="button" dataOnly="0" labelOnly="1" outline="0" axis="axisRow" fieldPosition="2"/>
    </format>
    <format dxfId="564">
      <pivotArea dataOnly="0" labelOnly="1" outline="0" fieldPosition="0">
        <references count="1">
          <reference field="0" count="0"/>
        </references>
      </pivotArea>
    </format>
    <format dxfId="563">
      <pivotArea dataOnly="0" labelOnly="1" grandRow="1" outline="0" fieldPosition="0"/>
    </format>
    <format dxfId="5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9">
      <pivotArea type="all" dataOnly="0" outline="0" fieldPosition="0"/>
    </format>
    <format dxfId="558">
      <pivotArea outline="0" collapsedLevelsAreSubtotals="1" fieldPosition="0"/>
    </format>
    <format dxfId="557">
      <pivotArea field="0" type="button" dataOnly="0" labelOnly="1" outline="0" axis="axisRow" fieldPosition="0"/>
    </format>
    <format dxfId="556">
      <pivotArea field="1" type="button" dataOnly="0" labelOnly="1" outline="0" axis="axisRow" fieldPosition="1"/>
    </format>
    <format dxfId="555">
      <pivotArea field="6" type="button" dataOnly="0" labelOnly="1" outline="0" axis="axisRow" fieldPosition="2"/>
    </format>
    <format dxfId="554">
      <pivotArea dataOnly="0" labelOnly="1" outline="0" fieldPosition="0">
        <references count="1">
          <reference field="0" count="0"/>
        </references>
      </pivotArea>
    </format>
    <format dxfId="553">
      <pivotArea dataOnly="0" labelOnly="1" grandRow="1" outline="0" fieldPosition="0"/>
    </format>
    <format dxfId="5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7">
      <pivotArea outline="0" fieldPosition="0">
        <references count="1">
          <reference field="4294967294" count="1" selected="0">
            <x v="4"/>
          </reference>
        </references>
      </pivotArea>
    </format>
    <format dxfId="5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0" type="button" dataOnly="0" labelOnly="1" outline="0" axis="axisRow" fieldPosition="0"/>
    </format>
    <format dxfId="541">
      <pivotArea field="1" type="button" dataOnly="0" labelOnly="1" outline="0" axis="axisRow" fieldPosition="1"/>
    </format>
    <format dxfId="540">
      <pivotArea field="6" type="button" dataOnly="0" labelOnly="1" outline="0" axis="axisRow" fieldPosition="2"/>
    </format>
    <format dxfId="539">
      <pivotArea dataOnly="0" labelOnly="1" outline="0" fieldPosition="0">
        <references count="1">
          <reference field="0" count="0"/>
        </references>
      </pivotArea>
    </format>
    <format dxfId="538">
      <pivotArea dataOnly="0" labelOnly="1" grandRow="1" outline="0" fieldPosition="0"/>
    </format>
    <format dxfId="5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4">
      <pivotArea type="all" dataOnly="0" outline="0" fieldPosition="0"/>
    </format>
    <format dxfId="533">
      <pivotArea outline="0" collapsedLevelsAreSubtotals="1" fieldPosition="0"/>
    </format>
    <format dxfId="532">
      <pivotArea field="0" type="button" dataOnly="0" labelOnly="1" outline="0" axis="axisRow" fieldPosition="0"/>
    </format>
    <format dxfId="531">
      <pivotArea field="1" type="button" dataOnly="0" labelOnly="1" outline="0" axis="axisRow" fieldPosition="1"/>
    </format>
    <format dxfId="530">
      <pivotArea field="6" type="button" dataOnly="0" labelOnly="1" outline="0" axis="axisRow" fieldPosition="2"/>
    </format>
    <format dxfId="529">
      <pivotArea dataOnly="0" labelOnly="1" outline="0" fieldPosition="0">
        <references count="1">
          <reference field="0" count="0"/>
        </references>
      </pivotArea>
    </format>
    <format dxfId="528">
      <pivotArea dataOnly="0" labelOnly="1" grandRow="1" outline="0" fieldPosition="0"/>
    </format>
    <format dxfId="5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2">
      <pivotArea outline="0" fieldPosition="0">
        <references count="1">
          <reference field="4294967294" count="1" selected="0">
            <x v="4"/>
          </reference>
        </references>
      </pivotArea>
    </format>
    <format dxfId="521">
      <pivotArea field="1" type="button" dataOnly="0" labelOnly="1" outline="0" axis="axisRow" fieldPosition="1"/>
    </format>
    <format dxfId="520">
      <pivotArea field="6" type="button" dataOnly="0" labelOnly="1" outline="0" axis="axisRow" fieldPosition="2"/>
    </format>
    <format dxfId="5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8">
      <pivotArea field="1" type="button" dataOnly="0" labelOnly="1" outline="0" axis="axisRow" fieldPosition="1"/>
    </format>
    <format dxfId="517">
      <pivotArea field="6" type="button" dataOnly="0" labelOnly="1" outline="0" axis="axisRow" fieldPosition="2"/>
    </format>
    <format dxfId="5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3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0">
      <pivotArea outline="0" fieldPosition="0">
        <references count="1">
          <reference field="4294967294" count="1" selected="0">
            <x v="4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7">
      <pivotArea type="all" dataOnly="0" outline="0" fieldPosition="0"/>
    </format>
    <format dxfId="506">
      <pivotArea outline="0" collapsedLevelsAreSubtotals="1" fieldPosition="0"/>
    </format>
    <format dxfId="505">
      <pivotArea field="0" type="button" dataOnly="0" labelOnly="1" outline="0" axis="axisRow" fieldPosition="0"/>
    </format>
    <format dxfId="504">
      <pivotArea field="1" type="button" dataOnly="0" labelOnly="1" outline="0" axis="axisRow" fieldPosition="1"/>
    </format>
    <format dxfId="503">
      <pivotArea field="6" type="button" dataOnly="0" labelOnly="1" outline="0" axis="axisRow" fieldPosition="2"/>
    </format>
    <format dxfId="502">
      <pivotArea dataOnly="0" labelOnly="1" outline="0" fieldPosition="0">
        <references count="1">
          <reference field="0" count="0"/>
        </references>
      </pivotArea>
    </format>
    <format dxfId="501">
      <pivotArea dataOnly="0" labelOnly="1" grandRow="1" outline="0" fieldPosition="0"/>
    </format>
    <format dxfId="5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7">
      <pivotArea type="all" dataOnly="0" outline="0" fieldPosition="0"/>
    </format>
    <format dxfId="496">
      <pivotArea outline="0" collapsedLevelsAreSubtotals="1" fieldPosition="0"/>
    </format>
    <format dxfId="495">
      <pivotArea field="0" type="button" dataOnly="0" labelOnly="1" outline="0" axis="axisRow" fieldPosition="0"/>
    </format>
    <format dxfId="494">
      <pivotArea field="1" type="button" dataOnly="0" labelOnly="1" outline="0" axis="axisRow" fieldPosition="1"/>
    </format>
    <format dxfId="493">
      <pivotArea field="6" type="button" dataOnly="0" labelOnly="1" outline="0" axis="axisRow" fieldPosition="2"/>
    </format>
    <format dxfId="492">
      <pivotArea dataOnly="0" labelOnly="1" outline="0" fieldPosition="0">
        <references count="1">
          <reference field="0" count="0"/>
        </references>
      </pivotArea>
    </format>
    <format dxfId="491">
      <pivotArea dataOnly="0" labelOnly="1" grandRow="1" outline="0" fieldPosition="0"/>
    </format>
    <format dxfId="4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5">
      <pivotArea outline="0" fieldPosition="0">
        <references count="1">
          <reference field="4294967294" count="1" selected="0">
            <x v="4"/>
          </reference>
        </references>
      </pivotArea>
    </format>
    <format dxfId="4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0" type="button" dataOnly="0" labelOnly="1" outline="0" axis="axisRow" fieldPosition="0"/>
    </format>
    <format dxfId="479">
      <pivotArea field="1" type="button" dataOnly="0" labelOnly="1" outline="0" axis="axisRow" fieldPosition="1"/>
    </format>
    <format dxfId="478">
      <pivotArea field="6" type="button" dataOnly="0" labelOnly="1" outline="0" axis="axisRow" fieldPosition="2"/>
    </format>
    <format dxfId="477">
      <pivotArea dataOnly="0" labelOnly="1" outline="0" fieldPosition="0">
        <references count="1">
          <reference field="0" count="0"/>
        </references>
      </pivotArea>
    </format>
    <format dxfId="476">
      <pivotArea dataOnly="0" labelOnly="1" grandRow="1" outline="0" fieldPosition="0"/>
    </format>
    <format dxfId="4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field="0" type="button" dataOnly="0" labelOnly="1" outline="0" axis="axisRow" fieldPosition="0"/>
    </format>
    <format dxfId="469">
      <pivotArea field="1" type="button" dataOnly="0" labelOnly="1" outline="0" axis="axisRow" fieldPosition="1"/>
    </format>
    <format dxfId="468">
      <pivotArea field="6" type="button" dataOnly="0" labelOnly="1" outline="0" axis="axisRow" fieldPosition="2"/>
    </format>
    <format dxfId="467">
      <pivotArea dataOnly="0" labelOnly="1" outline="0" fieldPosition="0">
        <references count="1">
          <reference field="0" count="0"/>
        </references>
      </pivotArea>
    </format>
    <format dxfId="466">
      <pivotArea dataOnly="0" labelOnly="1" grandRow="1" outline="0" fieldPosition="0"/>
    </format>
    <format dxfId="4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60">
      <pivotArea outline="0" fieldPosition="0">
        <references count="1">
          <reference field="4294967294" count="1" selected="0">
            <x v="4"/>
          </reference>
        </references>
      </pivotArea>
    </format>
    <format dxfId="4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0" type="button" dataOnly="0" labelOnly="1" outline="0" axis="axisRow" fieldPosition="0"/>
    </format>
    <format dxfId="454">
      <pivotArea field="1" type="button" dataOnly="0" labelOnly="1" outline="0" axis="axisRow" fieldPosition="1"/>
    </format>
    <format dxfId="453">
      <pivotArea field="6" type="button" dataOnly="0" labelOnly="1" outline="0" axis="axisRow" fieldPosition="2"/>
    </format>
    <format dxfId="452">
      <pivotArea dataOnly="0" labelOnly="1" outline="0" fieldPosition="0">
        <references count="1">
          <reference field="0" count="0"/>
        </references>
      </pivotArea>
    </format>
    <format dxfId="451">
      <pivotArea dataOnly="0" labelOnly="1" grandRow="1" outline="0" fieldPosition="0"/>
    </format>
    <format dxfId="4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7">
      <pivotArea type="all" dataOnly="0" outline="0" fieldPosition="0"/>
    </format>
    <format dxfId="446">
      <pivotArea outline="0" collapsedLevelsAreSubtotals="1" fieldPosition="0"/>
    </format>
    <format dxfId="445">
      <pivotArea field="0" type="button" dataOnly="0" labelOnly="1" outline="0" axis="axisRow" fieldPosition="0"/>
    </format>
    <format dxfId="444">
      <pivotArea field="1" type="button" dataOnly="0" labelOnly="1" outline="0" axis="axisRow" fieldPosition="1"/>
    </format>
    <format dxfId="443">
      <pivotArea field="6" type="button" dataOnly="0" labelOnly="1" outline="0" axis="axisRow" fieldPosition="2"/>
    </format>
    <format dxfId="442">
      <pivotArea dataOnly="0" labelOnly="1" outline="0" fieldPosition="0">
        <references count="1">
          <reference field="0" count="0"/>
        </references>
      </pivotArea>
    </format>
    <format dxfId="441">
      <pivotArea dataOnly="0" labelOnly="1" grandRow="1" outline="0" fieldPosition="0"/>
    </format>
    <format dxfId="4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5">
      <pivotArea outline="0" fieldPosition="0">
        <references count="1">
          <reference field="4294967294" count="1" selected="0">
            <x v="4"/>
          </reference>
        </references>
      </pivotArea>
    </format>
    <format dxfId="4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0" type="button" dataOnly="0" labelOnly="1" outline="0" axis="axisRow" fieldPosition="0"/>
    </format>
    <format dxfId="429">
      <pivotArea field="1" type="button" dataOnly="0" labelOnly="1" outline="0" axis="axisRow" fieldPosition="1"/>
    </format>
    <format dxfId="428">
      <pivotArea field="6" type="button" dataOnly="0" labelOnly="1" outline="0" axis="axisRow" fieldPosition="2"/>
    </format>
    <format dxfId="427">
      <pivotArea dataOnly="0" labelOnly="1" outline="0" fieldPosition="0">
        <references count="1">
          <reference field="0" count="0"/>
        </references>
      </pivotArea>
    </format>
    <format dxfId="426">
      <pivotArea dataOnly="0" labelOnly="1" grandRow="1" outline="0" fieldPosition="0"/>
    </format>
    <format dxfId="4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2">
      <pivotArea type="all" dataOnly="0" outline="0" fieldPosition="0"/>
    </format>
    <format dxfId="421">
      <pivotArea outline="0" collapsedLevelsAreSubtotals="1" fieldPosition="0"/>
    </format>
    <format dxfId="420">
      <pivotArea field="0" type="button" dataOnly="0" labelOnly="1" outline="0" axis="axisRow" fieldPosition="0"/>
    </format>
    <format dxfId="419">
      <pivotArea field="1" type="button" dataOnly="0" labelOnly="1" outline="0" axis="axisRow" fieldPosition="1"/>
    </format>
    <format dxfId="418">
      <pivotArea field="6" type="button" dataOnly="0" labelOnly="1" outline="0" axis="axisRow" fieldPosition="2"/>
    </format>
    <format dxfId="417">
      <pivotArea dataOnly="0" labelOnly="1" outline="0" fieldPosition="0">
        <references count="1">
          <reference field="0" count="0"/>
        </references>
      </pivotArea>
    </format>
    <format dxfId="416">
      <pivotArea dataOnly="0" labelOnly="1" grandRow="1" outline="0" fieldPosition="0"/>
    </format>
    <format dxfId="4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10">
      <pivotArea outline="0" fieldPosition="0">
        <references count="1">
          <reference field="4294967294" count="1" selected="0">
            <x v="4"/>
          </reference>
        </references>
      </pivotArea>
    </format>
    <format dxfId="4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7">
      <pivotArea type="all" dataOnly="0" outline="0" fieldPosition="0"/>
    </format>
    <format dxfId="406">
      <pivotArea outline="0" collapsedLevelsAreSubtotals="1" fieldPosition="0"/>
    </format>
    <format dxfId="405">
      <pivotArea field="0" type="button" dataOnly="0" labelOnly="1" outline="0" axis="axisRow" fieldPosition="0"/>
    </format>
    <format dxfId="404">
      <pivotArea field="1" type="button" dataOnly="0" labelOnly="1" outline="0" axis="axisRow" fieldPosition="1"/>
    </format>
    <format dxfId="403">
      <pivotArea field="6" type="button" dataOnly="0" labelOnly="1" outline="0" axis="axisRow" fieldPosition="2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grandRow="1" outline="0" fieldPosition="0"/>
    </format>
    <format dxfId="4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field="0" type="button" dataOnly="0" labelOnly="1" outline="0" axis="axisRow" fieldPosition="0"/>
    </format>
    <format dxfId="394">
      <pivotArea field="1" type="button" dataOnly="0" labelOnly="1" outline="0" axis="axisRow" fieldPosition="1"/>
    </format>
    <format dxfId="393">
      <pivotArea field="6" type="button" dataOnly="0" labelOnly="1" outline="0" axis="axisRow" fieldPosition="2"/>
    </format>
    <format dxfId="392">
      <pivotArea dataOnly="0" labelOnly="1" outline="0" fieldPosition="0">
        <references count="1">
          <reference field="0" count="0"/>
        </references>
      </pivotArea>
    </format>
    <format dxfId="391">
      <pivotArea dataOnly="0" labelOnly="1" grandRow="1" outline="0" fieldPosition="0"/>
    </format>
    <format dxfId="3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8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5">
      <pivotArea outline="0" fieldPosition="0">
        <references count="1">
          <reference field="4294967294" count="1" selected="0">
            <x v="4"/>
          </reference>
        </references>
      </pivotArea>
    </format>
    <format dxfId="3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2">
      <pivotArea type="all" dataOnly="0" outline="0" fieldPosition="0"/>
    </format>
    <format dxfId="381">
      <pivotArea outline="0" collapsedLevelsAreSubtotals="1" fieldPosition="0"/>
    </format>
    <format dxfId="380">
      <pivotArea field="0" type="button" dataOnly="0" labelOnly="1" outline="0" axis="axisRow" fieldPosition="0"/>
    </format>
    <format dxfId="379">
      <pivotArea field="1" type="button" dataOnly="0" labelOnly="1" outline="0" axis="axisRow" fieldPosition="1"/>
    </format>
    <format dxfId="378">
      <pivotArea field="6" type="button" dataOnly="0" labelOnly="1" outline="0" axis="axisRow" fieldPosition="2"/>
    </format>
    <format dxfId="377">
      <pivotArea dataOnly="0" labelOnly="1" outline="0" fieldPosition="0">
        <references count="1">
          <reference field="0" count="0"/>
        </references>
      </pivotArea>
    </format>
    <format dxfId="376">
      <pivotArea dataOnly="0" labelOnly="1" grandRow="1" outline="0" fieldPosition="0"/>
    </format>
    <format dxfId="3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2">
      <pivotArea type="all" dataOnly="0" outline="0" fieldPosition="0"/>
    </format>
    <format dxfId="371">
      <pivotArea outline="0" collapsedLevelsAreSubtotals="1" fieldPosition="0"/>
    </format>
    <format dxfId="370">
      <pivotArea field="0" type="button" dataOnly="0" labelOnly="1" outline="0" axis="axisRow" fieldPosition="0"/>
    </format>
    <format dxfId="369">
      <pivotArea field="1" type="button" dataOnly="0" labelOnly="1" outline="0" axis="axisRow" fieldPosition="1"/>
    </format>
    <format dxfId="368">
      <pivotArea field="6" type="button" dataOnly="0" labelOnly="1" outline="0" axis="axisRow" fieldPosition="2"/>
    </format>
    <format dxfId="367">
      <pivotArea dataOnly="0" labelOnly="1" outline="0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60">
      <pivotArea outline="0" fieldPosition="0">
        <references count="1">
          <reference field="4294967294" count="1" selected="0">
            <x v="4"/>
          </reference>
        </references>
      </pivotArea>
    </format>
    <format dxfId="3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7">
      <pivotArea type="all" dataOnly="0" outline="0" fieldPosition="0"/>
    </format>
    <format dxfId="356">
      <pivotArea outline="0" collapsedLevelsAreSubtotals="1" fieldPosition="0"/>
    </format>
    <format dxfId="355">
      <pivotArea field="0" type="button" dataOnly="0" labelOnly="1" outline="0" axis="axisRow" fieldPosition="0"/>
    </format>
    <format dxfId="354">
      <pivotArea field="1" type="button" dataOnly="0" labelOnly="1" outline="0" axis="axisRow" fieldPosition="1"/>
    </format>
    <format dxfId="353">
      <pivotArea field="6" type="button" dataOnly="0" labelOnly="1" outline="0" axis="axisRow" fieldPosition="2"/>
    </format>
    <format dxfId="352">
      <pivotArea dataOnly="0" labelOnly="1" outline="0" fieldPosition="0">
        <references count="1">
          <reference field="0" count="0"/>
        </references>
      </pivotArea>
    </format>
    <format dxfId="351">
      <pivotArea dataOnly="0" labelOnly="1" grandRow="1" outline="0" fieldPosition="0"/>
    </format>
    <format dxfId="3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7">
      <pivotArea type="all" dataOnly="0" outline="0" fieldPosition="0"/>
    </format>
    <format dxfId="346">
      <pivotArea outline="0" collapsedLevelsAreSubtotals="1" fieldPosition="0"/>
    </format>
    <format dxfId="345">
      <pivotArea field="0" type="button" dataOnly="0" labelOnly="1" outline="0" axis="axisRow" fieldPosition="0"/>
    </format>
    <format dxfId="344">
      <pivotArea field="1" type="button" dataOnly="0" labelOnly="1" outline="0" axis="axisRow" fieldPosition="1"/>
    </format>
    <format dxfId="343">
      <pivotArea field="6" type="button" dataOnly="0" labelOnly="1" outline="0" axis="axisRow" fieldPosition="2"/>
    </format>
    <format dxfId="342">
      <pivotArea dataOnly="0" labelOnly="1" outline="0" fieldPosition="0">
        <references count="1">
          <reference field="0" count="0"/>
        </references>
      </pivotArea>
    </format>
    <format dxfId="341">
      <pivotArea dataOnly="0" labelOnly="1" grandRow="1" outline="0" fieldPosition="0"/>
    </format>
    <format dxfId="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5">
      <pivotArea outline="0" fieldPosition="0">
        <references count="1">
          <reference field="4294967294" count="1" selected="0">
            <x v="4"/>
          </reference>
        </references>
      </pivotArea>
    </format>
    <format dxfId="3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0" type="button" dataOnly="0" labelOnly="1" outline="0" axis="axisRow" fieldPosition="0"/>
    </format>
    <format dxfId="329">
      <pivotArea field="1" type="button" dataOnly="0" labelOnly="1" outline="0" axis="axisRow" fieldPosition="1"/>
    </format>
    <format dxfId="328">
      <pivotArea field="6" type="button" dataOnly="0" labelOnly="1" outline="0" axis="axisRow" fieldPosition="2"/>
    </format>
    <format dxfId="327">
      <pivotArea dataOnly="0" labelOnly="1" outline="0" fieldPosition="0">
        <references count="1">
          <reference field="0" count="0"/>
        </references>
      </pivotArea>
    </format>
    <format dxfId="326">
      <pivotArea dataOnly="0" labelOnly="1" grandRow="1" outline="0" fieldPosition="0"/>
    </format>
    <format dxfId="3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10">
      <pivotArea outline="0" fieldPosition="0">
        <references count="1">
          <reference field="4294967294" count="1" selected="0">
            <x v="4"/>
          </reference>
        </references>
      </pivotArea>
    </format>
    <format dxfId="3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7">
      <pivotArea type="all" dataOnly="0" outline="0" fieldPosition="0"/>
    </format>
    <format dxfId="306">
      <pivotArea outline="0" collapsedLevelsAreSubtotals="1" fieldPosition="0"/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field="6" type="button" dataOnly="0" labelOnly="1" outline="0" axis="axisRow" fieldPosition="2"/>
    </format>
    <format dxfId="302">
      <pivotArea dataOnly="0" labelOnly="1" outline="0" fieldPosition="0">
        <references count="1">
          <reference field="0" count="0"/>
        </references>
      </pivotArea>
    </format>
    <format dxfId="301">
      <pivotArea dataOnly="0" labelOnly="1" grandRow="1" outline="0" fieldPosition="0"/>
    </format>
    <format dxfId="3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5">
      <pivotArea outline="0" fieldPosition="0">
        <references count="1">
          <reference field="4294967294" count="1" selected="0">
            <x v="4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field="0" type="button" dataOnly="0" labelOnly="1" outline="0" axis="axisRow" fieldPosition="0"/>
    </format>
    <format dxfId="279">
      <pivotArea field="1" type="button" dataOnly="0" labelOnly="1" outline="0" axis="axisRow" fieldPosition="1"/>
    </format>
    <format dxfId="278">
      <pivotArea field="6" type="button" dataOnly="0" labelOnly="1" outline="0" axis="axisRow" fieldPosition="2"/>
    </format>
    <format dxfId="277">
      <pivotArea dataOnly="0" labelOnly="1" outline="0" fieldPosition="0">
        <references count="1">
          <reference field="0" count="0"/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0" type="button" dataOnly="0" labelOnly="1" outline="0" axis="axisRow" fieldPosition="0"/>
    </format>
    <format dxfId="269">
      <pivotArea field="1" type="button" dataOnly="0" labelOnly="1" outline="0" axis="axisRow" fieldPosition="1"/>
    </format>
    <format dxfId="268">
      <pivotArea field="6" type="button" dataOnly="0" labelOnly="1" outline="0" axis="axisRow" fieldPosition="2"/>
    </format>
    <format dxfId="267">
      <pivotArea dataOnly="0" labelOnly="1" outline="0" fieldPosition="0">
        <references count="1">
          <reference field="0" count="0"/>
        </references>
      </pivotArea>
    </format>
    <format dxfId="266">
      <pivotArea dataOnly="0" labelOnly="1" grandRow="1" outline="0" fieldPosition="0"/>
    </format>
    <format dxfId="2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60">
      <pivotArea outline="0" fieldPosition="0">
        <references count="1">
          <reference field="4294967294" count="1" selected="0">
            <x v="4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7">
      <pivotArea type="all" dataOnly="0" outline="0" fieldPosition="0"/>
    </format>
    <format dxfId="256">
      <pivotArea outline="0" collapsedLevelsAreSubtotals="1" fieldPosition="0"/>
    </format>
    <format dxfId="255">
      <pivotArea field="0" type="button" dataOnly="0" labelOnly="1" outline="0" axis="axisRow" fieldPosition="0"/>
    </format>
    <format dxfId="254">
      <pivotArea field="1" type="button" dataOnly="0" labelOnly="1" outline="0" axis="axisRow" fieldPosition="1"/>
    </format>
    <format dxfId="253">
      <pivotArea field="6" type="button" dataOnly="0" labelOnly="1" outline="0" axis="axisRow" fieldPosition="2"/>
    </format>
    <format dxfId="252">
      <pivotArea dataOnly="0" labelOnly="1" outline="0" fieldPosition="0">
        <references count="1">
          <reference field="0" count="0"/>
        </references>
      </pivotArea>
    </format>
    <format dxfId="251">
      <pivotArea dataOnly="0" labelOnly="1" grandRow="1" outline="0" fieldPosition="0"/>
    </format>
    <format dxfId="2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7">
      <pivotArea type="all" dataOnly="0" outline="0" fieldPosition="0"/>
    </format>
    <format dxfId="246">
      <pivotArea outline="0" collapsedLevelsAreSubtotals="1" fieldPosition="0"/>
    </format>
    <format dxfId="245">
      <pivotArea field="0" type="button" dataOnly="0" labelOnly="1" outline="0" axis="axisRow" fieldPosition="0"/>
    </format>
    <format dxfId="244">
      <pivotArea field="1" type="button" dataOnly="0" labelOnly="1" outline="0" axis="axisRow" fieldPosition="1"/>
    </format>
    <format dxfId="243">
      <pivotArea field="6" type="button" dataOnly="0" labelOnly="1" outline="0" axis="axisRow" fieldPosition="2"/>
    </format>
    <format dxfId="242">
      <pivotArea dataOnly="0" labelOnly="1" outline="0" fieldPosition="0">
        <references count="1">
          <reference field="0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5">
      <pivotArea outline="0" fieldPosition="0">
        <references count="1">
          <reference field="4294967294" count="1" selected="0">
            <x v="4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0" type="button" dataOnly="0" labelOnly="1" outline="0" axis="axisRow" fieldPosition="0"/>
    </format>
    <format dxfId="229">
      <pivotArea field="1" type="button" dataOnly="0" labelOnly="1" outline="0" axis="axisRow" fieldPosition="1"/>
    </format>
    <format dxfId="228">
      <pivotArea field="6" type="button" dataOnly="0" labelOnly="1" outline="0" axis="axisRow" fieldPosition="2"/>
    </format>
    <format dxfId="227">
      <pivotArea dataOnly="0" labelOnly="1" outline="0" fieldPosition="0">
        <references count="1">
          <reference field="0" count="0"/>
        </references>
      </pivotArea>
    </format>
    <format dxfId="226">
      <pivotArea dataOnly="0" labelOnly="1" grandRow="1" outline="0" fieldPosition="0"/>
    </format>
    <format dxfId="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2">
      <pivotArea type="all" dataOnly="0" outline="0" fieldPosition="0"/>
    </format>
    <format dxfId="221">
      <pivotArea outline="0" collapsedLevelsAreSubtotals="1" fieldPosition="0"/>
    </format>
    <format dxfId="220">
      <pivotArea field="0" type="button" dataOnly="0" labelOnly="1" outline="0" axis="axisRow" fieldPosition="0"/>
    </format>
    <format dxfId="219">
      <pivotArea field="1" type="button" dataOnly="0" labelOnly="1" outline="0" axis="axisRow" fieldPosition="1"/>
    </format>
    <format dxfId="218">
      <pivotArea field="6" type="button" dataOnly="0" labelOnly="1" outline="0" axis="axisRow" fieldPosition="2"/>
    </format>
    <format dxfId="217">
      <pivotArea dataOnly="0" labelOnly="1" outline="0" fieldPosition="0">
        <references count="1">
          <reference field="0" count="0"/>
        </references>
      </pivotArea>
    </format>
    <format dxfId="216">
      <pivotArea dataOnly="0" labelOnly="1" grandRow="1" outline="0" fieldPosition="0"/>
    </format>
    <format dxfId="2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B20D2D-E652-4DFB-ADE8-E74CF51707FD}" name="Tabela dinâmica1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10">
      <pivotArea outline="0" fieldPosition="0">
        <references count="1">
          <reference field="4294967294" count="1" selected="0">
            <x v="4"/>
          </reference>
        </references>
      </pivotArea>
    </format>
    <format dxfId="209">
      <pivotArea field="1" type="button" dataOnly="0" labelOnly="1" outline="0" axis="axisRow" fieldPosition="1"/>
    </format>
    <format dxfId="208">
      <pivotArea field="6" type="button" dataOnly="0" labelOnly="1" outline="0" axis="axisRow" fieldPosition="2"/>
    </format>
    <format dxfId="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6">
      <pivotArea field="1" type="button" dataOnly="0" labelOnly="1" outline="0" axis="axisRow" fieldPosition="1"/>
    </format>
    <format dxfId="205">
      <pivotArea field="6" type="button" dataOnly="0" labelOnly="1" outline="0" axis="axisRow" fieldPosition="2"/>
    </format>
    <format dxfId="2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200">
      <pivotArea outline="0" collapsedLevelsAreSubtotals="1" fieldPosition="0"/>
    </format>
    <format dxfId="199">
      <pivotArea dataOnly="0" labelOnly="1" outline="0" fieldPosition="0">
        <references count="1">
          <reference field="0" count="0"/>
        </references>
      </pivotArea>
    </format>
    <format dxfId="198">
      <pivotArea dataOnly="0" labelOnly="1" grandRow="1" outline="0" fieldPosition="0"/>
    </format>
    <format dxfId="1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8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8">
      <pivotArea outline="0" fieldPosition="0">
        <references count="1">
          <reference field="4294967294" count="1" selected="0">
            <x v="2"/>
          </reference>
        </references>
      </pivotArea>
    </format>
    <format dxfId="18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2.bin"/><Relationship Id="rId1" Type="http://schemas.openxmlformats.org/officeDocument/2006/relationships/pivotTable" Target="../pivotTables/pivotTable61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505" zoomScale="70" zoomScaleNormal="70" workbookViewId="0">
      <selection activeCell="L547" sqref="L547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6" t="s">
        <v>8</v>
      </c>
      <c r="C1" s="127"/>
      <c r="D1" s="127"/>
      <c r="E1" s="127"/>
      <c r="F1" s="127"/>
      <c r="G1" s="127"/>
      <c r="H1" s="127"/>
      <c r="I1" s="127"/>
      <c r="J1" s="127"/>
      <c r="K1" s="127"/>
      <c r="L1" s="128"/>
      <c r="M1" s="126" t="s">
        <v>260</v>
      </c>
      <c r="N1" s="127"/>
      <c r="O1" s="127"/>
      <c r="P1" s="127"/>
      <c r="Q1" s="127"/>
      <c r="R1" s="127"/>
      <c r="S1" s="128"/>
    </row>
    <row r="2" spans="2:19" ht="14.45" customHeight="1">
      <c r="B2" s="129"/>
      <c r="C2" s="130"/>
      <c r="D2" s="130"/>
      <c r="E2" s="130"/>
      <c r="F2" s="130"/>
      <c r="G2" s="130"/>
      <c r="H2" s="130"/>
      <c r="I2" s="130"/>
      <c r="J2" s="130"/>
      <c r="K2" s="130"/>
      <c r="L2" s="131"/>
      <c r="M2" s="129"/>
      <c r="N2" s="130"/>
      <c r="O2" s="130"/>
      <c r="P2" s="130"/>
      <c r="Q2" s="130"/>
      <c r="R2" s="130"/>
      <c r="S2" s="131"/>
    </row>
    <row r="3" spans="2:19" ht="14.45" customHeight="1"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4"/>
      <c r="M3" s="132"/>
      <c r="N3" s="133"/>
      <c r="O3" s="133"/>
      <c r="P3" s="133"/>
      <c r="Q3" s="133"/>
      <c r="R3" s="133"/>
      <c r="S3" s="134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4" t="str">
        <f>M$1</f>
        <v>BM JANEIRO 2026</v>
      </c>
      <c r="N5" s="124"/>
      <c r="O5" s="124"/>
      <c r="P5" s="19" t="s">
        <v>10</v>
      </c>
      <c r="Q5" s="125"/>
      <c r="R5" s="125"/>
      <c r="S5" s="125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4" t="str">
        <f>M$1</f>
        <v>BM JANEIRO 2026</v>
      </c>
      <c r="N39" s="124"/>
      <c r="O39" s="124"/>
      <c r="P39" s="19" t="s">
        <v>10</v>
      </c>
      <c r="Q39" s="125"/>
      <c r="R39" s="125"/>
      <c r="S39" s="125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4" t="str">
        <f>M$1</f>
        <v>BM JANEIRO 2026</v>
      </c>
      <c r="N73" s="124"/>
      <c r="O73" s="124"/>
      <c r="P73" s="19" t="s">
        <v>10</v>
      </c>
      <c r="Q73" s="125"/>
      <c r="R73" s="125"/>
      <c r="S73" s="125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4" t="str">
        <f>M$1</f>
        <v>BM JANEIRO 2026</v>
      </c>
      <c r="N107" s="124"/>
      <c r="O107" s="124"/>
      <c r="P107" s="19" t="s">
        <v>10</v>
      </c>
      <c r="Q107" s="125"/>
      <c r="R107" s="125"/>
      <c r="S107" s="125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4" t="str">
        <f>M$1</f>
        <v>BM JANEIRO 2026</v>
      </c>
      <c r="N142" s="124"/>
      <c r="O142" s="124"/>
      <c r="P142" s="19" t="s">
        <v>10</v>
      </c>
      <c r="Q142" s="125"/>
      <c r="R142" s="125"/>
      <c r="S142" s="125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4" t="str">
        <f>M$1</f>
        <v>BM JANEIRO 2026</v>
      </c>
      <c r="N176" s="124"/>
      <c r="O176" s="124"/>
      <c r="P176" s="19" t="s">
        <v>10</v>
      </c>
      <c r="Q176" s="125"/>
      <c r="R176" s="125"/>
      <c r="S176" s="125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4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4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4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4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4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4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4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4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4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4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4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4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4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4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4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4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4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4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4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4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4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4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4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4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4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4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4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4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4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4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4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4" t="str">
        <f>M$1</f>
        <v>BM JANEIRO 2026</v>
      </c>
      <c r="N210" s="124"/>
      <c r="O210" s="124"/>
      <c r="P210" s="19" t="s">
        <v>10</v>
      </c>
      <c r="Q210" s="125"/>
      <c r="R210" s="125"/>
      <c r="S210" s="125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4" t="str">
        <f>M$1</f>
        <v>BM JANEIRO 2026</v>
      </c>
      <c r="N245" s="124"/>
      <c r="O245" s="124"/>
      <c r="P245" s="19" t="s">
        <v>10</v>
      </c>
      <c r="Q245" s="125"/>
      <c r="R245" s="125"/>
      <c r="S245" s="125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4" t="str">
        <f>M$1</f>
        <v>BM JANEIRO 2026</v>
      </c>
      <c r="N280" s="124"/>
      <c r="O280" s="124"/>
      <c r="P280" s="19" t="s">
        <v>10</v>
      </c>
      <c r="Q280" s="125"/>
      <c r="R280" s="125"/>
      <c r="S280" s="125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4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4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4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4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4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4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4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4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4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4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4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4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4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4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4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4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4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4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4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4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4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4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4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4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4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4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4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4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4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4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4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4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4" t="str">
        <f>M$1</f>
        <v>BM JANEIRO 2026</v>
      </c>
      <c r="N315" s="124"/>
      <c r="O315" s="124"/>
      <c r="P315" s="19" t="s">
        <v>10</v>
      </c>
      <c r="Q315" s="125"/>
      <c r="R315" s="125"/>
      <c r="S315" s="125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4" t="str">
        <f>M$1</f>
        <v>BM JANEIRO 2026</v>
      </c>
      <c r="N349" s="124"/>
      <c r="O349" s="124"/>
      <c r="P349" s="19" t="s">
        <v>10</v>
      </c>
      <c r="Q349" s="125"/>
      <c r="R349" s="125"/>
      <c r="S349" s="125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4" t="str">
        <f>M$1</f>
        <v>BM JANEIRO 2026</v>
      </c>
      <c r="N383" s="124"/>
      <c r="O383" s="124"/>
      <c r="P383" s="19" t="s">
        <v>10</v>
      </c>
      <c r="Q383" s="125" t="s">
        <v>258</v>
      </c>
      <c r="R383" s="125"/>
      <c r="S383" s="125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4" t="str">
        <f>M$1</f>
        <v>BM JANEIRO 2026</v>
      </c>
      <c r="N417" s="124"/>
      <c r="O417" s="124"/>
      <c r="P417" s="19" t="s">
        <v>10</v>
      </c>
      <c r="Q417" s="125"/>
      <c r="R417" s="125"/>
      <c r="S417" s="125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4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4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4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4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4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4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4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4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4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4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4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4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4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4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4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4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4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4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4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4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4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4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4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4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4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4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4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4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4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4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4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4" t="str">
        <f>M$1</f>
        <v>BM JANEIRO 2026</v>
      </c>
      <c r="N451" s="124"/>
      <c r="O451" s="124"/>
      <c r="P451" s="19" t="s">
        <v>10</v>
      </c>
      <c r="Q451" s="125"/>
      <c r="R451" s="125"/>
      <c r="S451" s="125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4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4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4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4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4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4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4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4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4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4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4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4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4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4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4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4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4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4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4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4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4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4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4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4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4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4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4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4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4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4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4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4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4" t="str">
        <f>M$1</f>
        <v>BM JANEIRO 2026</v>
      </c>
      <c r="N486" s="124"/>
      <c r="O486" s="124"/>
      <c r="P486" s="19" t="s">
        <v>10</v>
      </c>
      <c r="Q486" s="125"/>
      <c r="R486" s="125"/>
      <c r="S486" s="125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4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4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4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4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4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4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4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4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4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4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4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4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4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4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4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4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4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4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4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4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4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4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4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4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4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4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4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4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4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4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4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4" t="str">
        <f>M$1</f>
        <v>BM JANEIRO 2026</v>
      </c>
      <c r="N520" s="124"/>
      <c r="O520" s="124"/>
      <c r="P520" s="19" t="s">
        <v>10</v>
      </c>
      <c r="Q520" s="125"/>
      <c r="R520" s="125"/>
      <c r="S520" s="125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>
        <v>1</v>
      </c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/>
      <c r="K532" s="15">
        <v>1</v>
      </c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>
        <v>1930.6</v>
      </c>
      <c r="F537" s="15">
        <v>1939</v>
      </c>
      <c r="G537" s="15">
        <f t="shared" si="153"/>
        <v>8.4000000000000909</v>
      </c>
      <c r="H537" s="16" t="s">
        <v>348</v>
      </c>
      <c r="I537" s="10">
        <f t="shared" si="154"/>
        <v>496.77419354838707</v>
      </c>
      <c r="J537" s="16"/>
      <c r="K537" s="15">
        <v>1</v>
      </c>
      <c r="L537" s="15">
        <v>20</v>
      </c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>
        <v>1939</v>
      </c>
      <c r="F539" s="15">
        <v>1944.6</v>
      </c>
      <c r="G539" s="15">
        <f t="shared" si="153"/>
        <v>5.5999999999999091</v>
      </c>
      <c r="H539" s="16" t="s">
        <v>366</v>
      </c>
      <c r="I539" s="10">
        <f t="shared" si="154"/>
        <v>496.77419354838707</v>
      </c>
      <c r="J539" s="16"/>
      <c r="K539" s="15"/>
      <c r="L539" s="15">
        <v>20</v>
      </c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>
        <v>1944.6</v>
      </c>
      <c r="F541" s="15">
        <v>1951.7</v>
      </c>
      <c r="G541" s="15">
        <f t="shared" si="153"/>
        <v>7.1000000000001364</v>
      </c>
      <c r="H541" s="16" t="s">
        <v>367</v>
      </c>
      <c r="I541" s="10">
        <f t="shared" si="154"/>
        <v>496.77419354838707</v>
      </c>
      <c r="J541" s="16"/>
      <c r="K541" s="15">
        <v>1</v>
      </c>
      <c r="L541" s="15">
        <v>20</v>
      </c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367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367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>
        <v>1951.7</v>
      </c>
      <c r="F544" s="15">
        <v>1957.2</v>
      </c>
      <c r="G544" s="15">
        <f t="shared" si="153"/>
        <v>5.5</v>
      </c>
      <c r="H544" s="16" t="s">
        <v>367</v>
      </c>
      <c r="I544" s="10">
        <f t="shared" si="154"/>
        <v>496.77419354838707</v>
      </c>
      <c r="J544" s="16"/>
      <c r="K544" s="15">
        <v>1</v>
      </c>
      <c r="L544" s="15">
        <v>20</v>
      </c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367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>
        <v>1957.2</v>
      </c>
      <c r="F546" s="15">
        <v>1961.3</v>
      </c>
      <c r="G546" s="15">
        <f t="shared" si="153"/>
        <v>4.0999999999999091</v>
      </c>
      <c r="H546" s="16" t="s">
        <v>367</v>
      </c>
      <c r="I546" s="10">
        <f t="shared" si="154"/>
        <v>496.77419354838707</v>
      </c>
      <c r="J546" s="16"/>
      <c r="K546" s="15">
        <v>1</v>
      </c>
      <c r="L546" s="15">
        <v>20</v>
      </c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367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367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367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367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367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367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4" t="str">
        <f>M$1</f>
        <v>BM JANEIRO 2026</v>
      </c>
      <c r="N554" s="124"/>
      <c r="O554" s="124"/>
      <c r="P554" s="19" t="s">
        <v>10</v>
      </c>
      <c r="Q554" s="125"/>
      <c r="R554" s="125"/>
      <c r="S554" s="125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4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4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4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4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4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4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4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4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4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4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4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4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4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4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4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4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4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4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4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4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4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4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4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4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4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4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4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4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4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4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4"/>
      <c r="S586" s="10">
        <f t="shared" si="162"/>
        <v>387.09677419354841</v>
      </c>
    </row>
    <row r="587" spans="2:19">
      <c r="D587" s="1"/>
    </row>
    <row r="588" spans="2:19">
      <c r="B588" s="123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4" t="str">
        <f>M$1</f>
        <v>BM JANEIRO 2026</v>
      </c>
      <c r="N588" s="124"/>
      <c r="O588" s="124"/>
      <c r="P588" s="19" t="s">
        <v>10</v>
      </c>
      <c r="Q588" s="125"/>
      <c r="R588" s="125"/>
      <c r="S588" s="125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4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4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4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4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4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4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4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4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4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4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4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4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4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4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4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4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4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4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4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4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4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283</v>
      </c>
      <c r="I611" s="10">
        <f t="shared" si="172"/>
        <v>0</v>
      </c>
      <c r="J611" s="16"/>
      <c r="K611" s="15">
        <v>1</v>
      </c>
      <c r="L611" s="15">
        <v>61.5</v>
      </c>
      <c r="M611" s="17">
        <v>46103</v>
      </c>
      <c r="N611" s="9"/>
      <c r="O611" s="18">
        <f t="shared" si="173"/>
        <v>0</v>
      </c>
      <c r="P611" s="9"/>
      <c r="Q611" s="9"/>
      <c r="R611" s="84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283</v>
      </c>
      <c r="I612" s="10">
        <f t="shared" si="172"/>
        <v>0</v>
      </c>
      <c r="J612" s="16"/>
      <c r="K612" s="15"/>
      <c r="L612" s="15"/>
      <c r="M612" s="17"/>
      <c r="N612" s="9"/>
      <c r="O612" s="18">
        <f t="shared" si="173"/>
        <v>0</v>
      </c>
      <c r="P612" s="9"/>
      <c r="Q612" s="9"/>
      <c r="R612" s="84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283</v>
      </c>
      <c r="I613" s="10">
        <f t="shared" si="172"/>
        <v>0</v>
      </c>
      <c r="J613" s="16"/>
      <c r="K613" s="15"/>
      <c r="L613" s="15"/>
      <c r="M613" s="17"/>
      <c r="N613" s="9"/>
      <c r="O613" s="18">
        <f t="shared" si="173"/>
        <v>0</v>
      </c>
      <c r="P613" s="9"/>
      <c r="Q613" s="9"/>
      <c r="R613" s="84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283</v>
      </c>
      <c r="I614" s="10">
        <f t="shared" si="172"/>
        <v>0</v>
      </c>
      <c r="J614" s="16"/>
      <c r="K614" s="15"/>
      <c r="L614" s="15"/>
      <c r="M614" s="17"/>
      <c r="N614" s="9"/>
      <c r="O614" s="18">
        <f t="shared" si="173"/>
        <v>0</v>
      </c>
      <c r="P614" s="9"/>
      <c r="Q614" s="9"/>
      <c r="R614" s="84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283</v>
      </c>
      <c r="I615" s="10">
        <f t="shared" si="172"/>
        <v>0</v>
      </c>
      <c r="J615" s="16"/>
      <c r="K615" s="15"/>
      <c r="L615" s="15"/>
      <c r="M615" s="17"/>
      <c r="N615" s="9"/>
      <c r="O615" s="18">
        <f t="shared" si="173"/>
        <v>0</v>
      </c>
      <c r="P615" s="9"/>
      <c r="Q615" s="9"/>
      <c r="R615" s="84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283</v>
      </c>
      <c r="I616" s="10">
        <f t="shared" si="172"/>
        <v>0</v>
      </c>
      <c r="J616" s="16"/>
      <c r="K616" s="15"/>
      <c r="L616" s="15"/>
      <c r="M616" s="17"/>
      <c r="N616" s="9"/>
      <c r="O616" s="18">
        <f t="shared" si="173"/>
        <v>0</v>
      </c>
      <c r="P616" s="9"/>
      <c r="Q616" s="9"/>
      <c r="R616" s="84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283</v>
      </c>
      <c r="I617" s="10">
        <f>I613</f>
        <v>0</v>
      </c>
      <c r="J617" s="16"/>
      <c r="K617" s="15"/>
      <c r="L617" s="15"/>
      <c r="M617" s="17"/>
      <c r="N617" s="9"/>
      <c r="O617" s="18">
        <f>O613</f>
        <v>0</v>
      </c>
      <c r="P617" s="9"/>
      <c r="Q617" s="9"/>
      <c r="R617" s="84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283</v>
      </c>
      <c r="I618" s="10">
        <f>I614</f>
        <v>0</v>
      </c>
      <c r="J618" s="16"/>
      <c r="K618" s="15"/>
      <c r="L618" s="15"/>
      <c r="M618" s="17"/>
      <c r="N618" s="9"/>
      <c r="O618" s="18">
        <f>O614</f>
        <v>0</v>
      </c>
      <c r="P618" s="9"/>
      <c r="Q618" s="9"/>
      <c r="R618" s="84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283</v>
      </c>
      <c r="I619" s="10">
        <f>I615</f>
        <v>0</v>
      </c>
      <c r="J619" s="16"/>
      <c r="K619" s="15"/>
      <c r="L619" s="15"/>
      <c r="M619" s="17"/>
      <c r="N619" s="9"/>
      <c r="O619" s="18">
        <f>O615</f>
        <v>0</v>
      </c>
      <c r="P619" s="9"/>
      <c r="Q619" s="9"/>
      <c r="R619" s="84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283</v>
      </c>
      <c r="I620" s="10">
        <f>I616</f>
        <v>0</v>
      </c>
      <c r="J620" s="16"/>
      <c r="K620" s="15"/>
      <c r="L620" s="15"/>
      <c r="M620" s="17"/>
      <c r="N620" s="9"/>
      <c r="O620" s="18">
        <f>O616</f>
        <v>0</v>
      </c>
      <c r="P620" s="9"/>
      <c r="Q620" s="9"/>
      <c r="R620" s="84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4" t="str">
        <f>M$1</f>
        <v>BM JANEIRO 2026</v>
      </c>
      <c r="N622" s="124"/>
      <c r="O622" s="124"/>
      <c r="P622" s="19" t="s">
        <v>10</v>
      </c>
      <c r="Q622" s="125"/>
      <c r="R622" s="125"/>
      <c r="S622" s="125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4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4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4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4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4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4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4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4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4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4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4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4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4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4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4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4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4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4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4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4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4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4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4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4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4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4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4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4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4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4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4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4" t="str">
        <f>M$1</f>
        <v>BM JANEIRO 2026</v>
      </c>
      <c r="N656" s="124"/>
      <c r="O656" s="124"/>
      <c r="P656" s="19" t="s">
        <v>10</v>
      </c>
      <c r="Q656" s="125"/>
      <c r="R656" s="125"/>
      <c r="S656" s="125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79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79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79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79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79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79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79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79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79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79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79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79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79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79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79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79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79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79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79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79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79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79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79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79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79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79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79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79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79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79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79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4" t="str">
        <f>M$1</f>
        <v>BM JANEIRO 2026</v>
      </c>
      <c r="N690" s="124"/>
      <c r="O690" s="124"/>
      <c r="P690" s="19" t="s">
        <v>10</v>
      </c>
      <c r="Q690" s="125" t="s">
        <v>266</v>
      </c>
      <c r="R690" s="125"/>
      <c r="S690" s="125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>
        <v>1</v>
      </c>
      <c r="L692" s="15"/>
      <c r="M692" s="17"/>
      <c r="N692" s="79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79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79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79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79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79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79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>
        <v>1</v>
      </c>
      <c r="L699" s="15"/>
      <c r="M699" s="17"/>
      <c r="N699" s="79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>
        <v>1</v>
      </c>
      <c r="L700" s="15"/>
      <c r="M700" s="17"/>
      <c r="N700" s="79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>
        <v>1</v>
      </c>
      <c r="L701" s="15"/>
      <c r="M701" s="17"/>
      <c r="N701" s="79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>
        <v>1</v>
      </c>
      <c r="L702" s="15"/>
      <c r="M702" s="17"/>
      <c r="N702" s="79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>
        <v>1</v>
      </c>
      <c r="L703" s="15"/>
      <c r="M703" s="17"/>
      <c r="N703" s="79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/>
      <c r="K704" s="15">
        <v>1</v>
      </c>
      <c r="L704" s="15"/>
      <c r="M704" s="17"/>
      <c r="N704" s="79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/>
      <c r="K705" s="15">
        <v>1</v>
      </c>
      <c r="L705" s="15"/>
      <c r="M705" s="17"/>
      <c r="N705" s="79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>
        <v>1</v>
      </c>
      <c r="L706" s="15"/>
      <c r="M706" s="17"/>
      <c r="N706" s="79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>
        <v>2381.3000000000002</v>
      </c>
      <c r="F707" s="15">
        <v>2383.9</v>
      </c>
      <c r="G707" s="15">
        <f t="shared" si="201"/>
        <v>2.5999999999999091</v>
      </c>
      <c r="H707" s="16" t="s">
        <v>363</v>
      </c>
      <c r="I707" s="10">
        <f t="shared" si="202"/>
        <v>1451.6129032258063</v>
      </c>
      <c r="J707" s="16"/>
      <c r="K707" s="15">
        <v>1</v>
      </c>
      <c r="L707" s="15">
        <v>20</v>
      </c>
      <c r="M707" s="17"/>
      <c r="N707" s="79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>
        <v>2383.9</v>
      </c>
      <c r="F708" s="15">
        <v>2386</v>
      </c>
      <c r="G708" s="15">
        <f t="shared" si="201"/>
        <v>2.0999999999999091</v>
      </c>
      <c r="H708" s="16" t="s">
        <v>363</v>
      </c>
      <c r="I708" s="10">
        <f t="shared" si="202"/>
        <v>1451.6129032258063</v>
      </c>
      <c r="J708" s="16"/>
      <c r="K708" s="15">
        <v>1</v>
      </c>
      <c r="L708" s="15"/>
      <c r="M708" s="17"/>
      <c r="N708" s="79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363</v>
      </c>
      <c r="I709" s="10">
        <f t="shared" si="202"/>
        <v>1451.6129032258063</v>
      </c>
      <c r="J709" s="16" t="s">
        <v>16</v>
      </c>
      <c r="K709" s="15">
        <v>1</v>
      </c>
      <c r="L709" s="15"/>
      <c r="M709" s="17"/>
      <c r="N709" s="79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363</v>
      </c>
      <c r="I710" s="10">
        <f t="shared" si="202"/>
        <v>1451.6129032258063</v>
      </c>
      <c r="J710" s="16" t="s">
        <v>16</v>
      </c>
      <c r="K710" s="15">
        <v>1</v>
      </c>
      <c r="L710" s="15"/>
      <c r="M710" s="17"/>
      <c r="N710" s="79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363</v>
      </c>
      <c r="I711" s="10">
        <f t="shared" si="202"/>
        <v>1451.6129032258063</v>
      </c>
      <c r="J711" s="16" t="s">
        <v>16</v>
      </c>
      <c r="K711" s="15">
        <v>1</v>
      </c>
      <c r="L711" s="15"/>
      <c r="M711" s="17"/>
      <c r="N711" s="79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363</v>
      </c>
      <c r="I712" s="10">
        <f t="shared" si="202"/>
        <v>1451.6129032258063</v>
      </c>
      <c r="J712" s="16" t="s">
        <v>16</v>
      </c>
      <c r="K712" s="15">
        <v>1</v>
      </c>
      <c r="L712" s="15"/>
      <c r="M712" s="17"/>
      <c r="N712" s="79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363</v>
      </c>
      <c r="I713" s="10">
        <f t="shared" si="202"/>
        <v>1451.6129032258063</v>
      </c>
      <c r="J713" s="16" t="s">
        <v>16</v>
      </c>
      <c r="K713" s="15">
        <v>1</v>
      </c>
      <c r="L713" s="15"/>
      <c r="M713" s="17"/>
      <c r="N713" s="79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363</v>
      </c>
      <c r="I714" s="10">
        <f t="shared" si="202"/>
        <v>1451.6129032258063</v>
      </c>
      <c r="J714" s="16" t="s">
        <v>16</v>
      </c>
      <c r="K714" s="15">
        <v>1</v>
      </c>
      <c r="L714" s="15"/>
      <c r="M714" s="17"/>
      <c r="N714" s="79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>
        <v>2386</v>
      </c>
      <c r="F715" s="15">
        <v>2390.1</v>
      </c>
      <c r="G715" s="15">
        <f t="shared" si="201"/>
        <v>4.0999999999999091</v>
      </c>
      <c r="H715" s="16" t="s">
        <v>363</v>
      </c>
      <c r="I715" s="10">
        <f t="shared" si="202"/>
        <v>1451.6129032258063</v>
      </c>
      <c r="J715" s="16"/>
      <c r="K715" s="15">
        <v>1</v>
      </c>
      <c r="L715" s="15">
        <v>20</v>
      </c>
      <c r="M715" s="17"/>
      <c r="N715" s="79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>
        <v>2390.1</v>
      </c>
      <c r="F716" s="15">
        <v>2394.3000000000002</v>
      </c>
      <c r="G716" s="15">
        <f t="shared" si="201"/>
        <v>4.2000000000002728</v>
      </c>
      <c r="H716" s="16" t="s">
        <v>363</v>
      </c>
      <c r="I716" s="10">
        <f t="shared" si="202"/>
        <v>1451.6129032258063</v>
      </c>
      <c r="J716" s="16" t="s">
        <v>16</v>
      </c>
      <c r="K716" s="15">
        <v>1</v>
      </c>
      <c r="L716" s="15"/>
      <c r="M716" s="17"/>
      <c r="N716" s="79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363</v>
      </c>
      <c r="I717" s="10">
        <f t="shared" si="202"/>
        <v>1451.6129032258063</v>
      </c>
      <c r="J717" s="16" t="s">
        <v>16</v>
      </c>
      <c r="K717" s="15">
        <v>1</v>
      </c>
      <c r="L717" s="15"/>
      <c r="M717" s="17"/>
      <c r="N717" s="79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363</v>
      </c>
      <c r="I718" s="10">
        <f t="shared" si="202"/>
        <v>1451.6129032258063</v>
      </c>
      <c r="J718" s="16" t="s">
        <v>16</v>
      </c>
      <c r="K718" s="15">
        <v>1</v>
      </c>
      <c r="L718" s="15"/>
      <c r="M718" s="17"/>
      <c r="N718" s="79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363</v>
      </c>
      <c r="I719" s="10">
        <f>I715</f>
        <v>1451.6129032258063</v>
      </c>
      <c r="J719" s="16" t="s">
        <v>16</v>
      </c>
      <c r="K719" s="15">
        <v>1</v>
      </c>
      <c r="L719" s="15"/>
      <c r="M719" s="17"/>
      <c r="N719" s="79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363</v>
      </c>
      <c r="I720" s="10">
        <f>I716</f>
        <v>1451.6129032258063</v>
      </c>
      <c r="J720" s="16" t="s">
        <v>16</v>
      </c>
      <c r="K720" s="15">
        <v>1</v>
      </c>
      <c r="L720" s="15"/>
      <c r="M720" s="17"/>
      <c r="N720" s="79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363</v>
      </c>
      <c r="I721" s="10">
        <f>I717</f>
        <v>1451.6129032258063</v>
      </c>
      <c r="J721" s="16" t="s">
        <v>16</v>
      </c>
      <c r="K721" s="15">
        <v>1</v>
      </c>
      <c r="L721" s="15"/>
      <c r="M721" s="17"/>
      <c r="N721" s="79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363</v>
      </c>
      <c r="I722" s="10">
        <f>I718</f>
        <v>1451.6129032258063</v>
      </c>
      <c r="J722" s="16" t="s">
        <v>16</v>
      </c>
      <c r="K722" s="15">
        <v>1</v>
      </c>
      <c r="L722" s="15"/>
      <c r="M722" s="17"/>
      <c r="N722" s="79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4" t="str">
        <f>M$1</f>
        <v>BM JANEIRO 2026</v>
      </c>
      <c r="N724" s="124"/>
      <c r="O724" s="124"/>
      <c r="P724" s="19" t="s">
        <v>10</v>
      </c>
      <c r="Q724" s="125" t="s">
        <v>198</v>
      </c>
      <c r="R724" s="125"/>
      <c r="S724" s="125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4" t="str">
        <f>M$1</f>
        <v>BM JANEIRO 2026</v>
      </c>
      <c r="N758" s="124"/>
      <c r="O758" s="124"/>
      <c r="P758" s="19" t="s">
        <v>10</v>
      </c>
      <c r="Q758" s="125" t="s">
        <v>207</v>
      </c>
      <c r="R758" s="125"/>
      <c r="S758" s="125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4" t="str">
        <f>M$1</f>
        <v>BM JANEIRO 2026</v>
      </c>
      <c r="N792" s="124"/>
      <c r="O792" s="124"/>
      <c r="P792" s="19" t="s">
        <v>10</v>
      </c>
      <c r="Q792" s="125" t="s">
        <v>208</v>
      </c>
      <c r="R792" s="125"/>
      <c r="S792" s="125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4" t="str">
        <f>M$1</f>
        <v>BM JANEIRO 2026</v>
      </c>
      <c r="N826" s="124"/>
      <c r="O826" s="124"/>
      <c r="P826" s="19" t="s">
        <v>10</v>
      </c>
      <c r="Q826" s="125"/>
      <c r="R826" s="125"/>
      <c r="S826" s="125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4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4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4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4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4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4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4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4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4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4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4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4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4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4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4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4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4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4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4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4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4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4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4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4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4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4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4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4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4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4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4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4" t="str">
        <f>M$1</f>
        <v>BM JANEIRO 2026</v>
      </c>
      <c r="N860" s="124"/>
      <c r="O860" s="124"/>
      <c r="P860" s="19" t="s">
        <v>10</v>
      </c>
      <c r="Q860" s="125"/>
      <c r="R860" s="125"/>
      <c r="S860" s="125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4" t="str">
        <f>M$1</f>
        <v>BM JANEIRO 2026</v>
      </c>
      <c r="N896" s="124"/>
      <c r="O896" s="124"/>
      <c r="P896" s="19" t="s">
        <v>10</v>
      </c>
      <c r="Q896" s="125"/>
      <c r="R896" s="125"/>
      <c r="S896" s="125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4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4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4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4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4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4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4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4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4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4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4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4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4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4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4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4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4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4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4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4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4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4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4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4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4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4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4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4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4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4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4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4" t="str">
        <f>M$1</f>
        <v>BM JANEIRO 2026</v>
      </c>
      <c r="N930" s="124"/>
      <c r="O930" s="124"/>
      <c r="P930" s="19" t="s">
        <v>10</v>
      </c>
      <c r="Q930" s="125"/>
      <c r="R930" s="125"/>
      <c r="S930" s="125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4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4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4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4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4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4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4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4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4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4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4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4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4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4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4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4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4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4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4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4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4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4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4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4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4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4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4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4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4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4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4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4" t="str">
        <f>M$1</f>
        <v>BM JANEIRO 2026</v>
      </c>
      <c r="N964" s="124"/>
      <c r="O964" s="124"/>
      <c r="P964" s="19" t="s">
        <v>10</v>
      </c>
      <c r="Q964" s="125"/>
      <c r="R964" s="125"/>
      <c r="S964" s="125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4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4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4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4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4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4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4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4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4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4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4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4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4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4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4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4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4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4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4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4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4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4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4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4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4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4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4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4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4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4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4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4" t="str">
        <f>M$1</f>
        <v>BM JANEIRO 2026</v>
      </c>
      <c r="N998" s="124"/>
      <c r="O998" s="124"/>
      <c r="P998" s="19" t="s">
        <v>10</v>
      </c>
      <c r="Q998" s="125"/>
      <c r="R998" s="125"/>
      <c r="S998" s="125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4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4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4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4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4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4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4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4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4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4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4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4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4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4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4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4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4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4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4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4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4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4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4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4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4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4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4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4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4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4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4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4" t="str">
        <f>M$1</f>
        <v>BM JANEIRO 2026</v>
      </c>
      <c r="N1032" s="124"/>
      <c r="O1032" s="124"/>
      <c r="P1032" s="19" t="s">
        <v>10</v>
      </c>
      <c r="Q1032" s="125"/>
      <c r="R1032" s="125"/>
      <c r="S1032" s="125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4" t="str">
        <f>M$1</f>
        <v>BM JANEIRO 2026</v>
      </c>
      <c r="N1066" s="124"/>
      <c r="O1066" s="124"/>
      <c r="P1066" s="19" t="s">
        <v>10</v>
      </c>
      <c r="Q1066" s="125" t="s">
        <v>274</v>
      </c>
      <c r="R1066" s="125"/>
      <c r="S1066" s="125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19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3"/>
      <c r="O1073" s="113"/>
      <c r="P1073" s="113"/>
      <c r="Q1073" s="113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4" t="str">
        <f>M$1</f>
        <v>BM JANEIRO 2026</v>
      </c>
      <c r="N1100" s="124"/>
      <c r="O1100" s="124"/>
      <c r="P1100" s="19" t="s">
        <v>10</v>
      </c>
      <c r="Q1100" s="125"/>
      <c r="R1100" s="125"/>
      <c r="S1100" s="125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5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4" t="str">
        <f>M$1</f>
        <v>BM JANEIRO 2026</v>
      </c>
      <c r="N1134" s="124"/>
      <c r="O1134" s="124"/>
      <c r="P1134" s="19" t="s">
        <v>10</v>
      </c>
      <c r="Q1134" s="125" t="s">
        <v>188</v>
      </c>
      <c r="R1134" s="125"/>
      <c r="S1134" s="125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4" t="str">
        <f>M$1</f>
        <v>BM JANEIRO 2026</v>
      </c>
      <c r="N1168" s="124"/>
      <c r="O1168" s="124"/>
      <c r="P1168" s="19" t="s">
        <v>10</v>
      </c>
      <c r="Q1168" s="125" t="s">
        <v>209</v>
      </c>
      <c r="R1168" s="125"/>
      <c r="S1168" s="125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4" t="str">
        <f>M$1</f>
        <v>BM JANEIRO 2026</v>
      </c>
      <c r="N1202" s="124"/>
      <c r="O1202" s="124"/>
      <c r="P1202" s="19" t="s">
        <v>10</v>
      </c>
      <c r="Q1202" s="125" t="s">
        <v>199</v>
      </c>
      <c r="R1202" s="125"/>
      <c r="S1202" s="125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4" t="str">
        <f>M$1</f>
        <v>BM JANEIRO 2026</v>
      </c>
      <c r="N1236" s="124"/>
      <c r="O1236" s="124"/>
      <c r="P1236" s="19" t="s">
        <v>228</v>
      </c>
      <c r="Q1236" s="125" t="s">
        <v>229</v>
      </c>
      <c r="R1236" s="125"/>
      <c r="S1236" s="125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4" t="str">
        <f>M$1</f>
        <v>BM JANEIRO 2026</v>
      </c>
      <c r="N1270" s="124"/>
      <c r="O1270" s="124"/>
      <c r="P1270" s="19" t="s">
        <v>10</v>
      </c>
      <c r="Q1270" s="125" t="s">
        <v>210</v>
      </c>
      <c r="R1270" s="125"/>
      <c r="S1270" s="125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4" t="str">
        <f>M$1</f>
        <v>BM JANEIRO 2026</v>
      </c>
      <c r="N1304" s="124"/>
      <c r="O1304" s="124"/>
      <c r="P1304" s="19" t="s">
        <v>10</v>
      </c>
      <c r="Q1304" s="125"/>
      <c r="R1304" s="125"/>
      <c r="S1304" s="125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4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4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4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4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4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4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4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4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4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4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4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4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4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4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4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4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4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4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4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4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4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4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4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4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4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4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4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4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4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4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4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4" t="str">
        <f>M$1</f>
        <v>BM JANEIRO 2026</v>
      </c>
      <c r="N1338" s="124"/>
      <c r="O1338" s="124"/>
      <c r="P1338" s="19" t="s">
        <v>10</v>
      </c>
      <c r="Q1338" s="125" t="s">
        <v>211</v>
      </c>
      <c r="R1338" s="125"/>
      <c r="S1338" s="125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4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4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4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4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4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4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4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4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4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4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4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4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4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4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4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4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4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4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4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4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4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4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4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4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4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4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4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4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4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4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4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4" t="str">
        <f>M$1</f>
        <v>BM JANEIRO 2026</v>
      </c>
      <c r="N1372" s="124"/>
      <c r="O1372" s="124"/>
      <c r="P1372" s="19" t="s">
        <v>10</v>
      </c>
      <c r="Q1372" s="125" t="s">
        <v>257</v>
      </c>
      <c r="R1372" s="125"/>
      <c r="S1372" s="125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4" t="str">
        <f>M$1</f>
        <v>BM JANEIRO 2026</v>
      </c>
      <c r="N1406" s="124"/>
      <c r="O1406" s="124"/>
      <c r="P1406" s="19" t="s">
        <v>10</v>
      </c>
      <c r="Q1406" s="125"/>
      <c r="R1406" s="125"/>
      <c r="S1406" s="125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4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4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4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4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4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4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4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4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4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4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4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4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4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4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4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4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4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4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4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4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4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4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4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4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4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4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4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4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4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4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4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4" t="str">
        <f>M$1</f>
        <v>BM JANEIRO 2026</v>
      </c>
      <c r="N1440" s="124"/>
      <c r="O1440" s="124"/>
      <c r="P1440" s="19" t="s">
        <v>10</v>
      </c>
      <c r="Q1440" s="125" t="s">
        <v>189</v>
      </c>
      <c r="R1440" s="125"/>
      <c r="S1440" s="125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4" t="str">
        <f>M$1</f>
        <v>BM JANEIRO 2026</v>
      </c>
      <c r="N1474" s="124"/>
      <c r="O1474" s="124"/>
      <c r="P1474" s="19" t="s">
        <v>10</v>
      </c>
      <c r="Q1474" s="125"/>
      <c r="R1474" s="125"/>
      <c r="S1474" s="125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4" t="str">
        <f>M$1</f>
        <v>BM JANEIRO 2026</v>
      </c>
      <c r="N1508" s="124"/>
      <c r="O1508" s="124"/>
      <c r="P1508" s="19" t="s">
        <v>10</v>
      </c>
      <c r="Q1508" s="125"/>
      <c r="R1508" s="125"/>
      <c r="S1508" s="125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79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79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79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79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79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79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79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79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79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79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79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79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79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79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79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79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79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79"/>
      <c r="O1527" s="79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79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79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79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79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79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79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79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79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79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79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79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79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79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4" t="str">
        <f>M$1</f>
        <v>BM JANEIRO 2026</v>
      </c>
      <c r="N1542" s="124"/>
      <c r="O1542" s="124"/>
      <c r="P1542" s="19" t="s">
        <v>10</v>
      </c>
      <c r="Q1542" s="125" t="s">
        <v>263</v>
      </c>
      <c r="R1542" s="125"/>
      <c r="S1542" s="125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>
        <v>2859.4</v>
      </c>
      <c r="F1560" s="15">
        <v>2862.1</v>
      </c>
      <c r="G1560" s="15">
        <f t="shared" si="445"/>
        <v>2.6999999999998181</v>
      </c>
      <c r="H1560" s="16" t="s">
        <v>364</v>
      </c>
      <c r="I1560" s="10">
        <f t="shared" si="444"/>
        <v>496.77419354838707</v>
      </c>
      <c r="J1560" s="16"/>
      <c r="K1560" s="15">
        <v>1</v>
      </c>
      <c r="L1560" s="15">
        <v>40</v>
      </c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>
        <v>2862.1</v>
      </c>
      <c r="F1561" s="15">
        <v>2868.2</v>
      </c>
      <c r="G1561" s="15">
        <f t="shared" si="445"/>
        <v>6.0999999999999091</v>
      </c>
      <c r="H1561" s="16" t="s">
        <v>364</v>
      </c>
      <c r="I1561" s="10">
        <f t="shared" si="444"/>
        <v>496.77419354838707</v>
      </c>
      <c r="J1561" s="16"/>
      <c r="K1561" s="15">
        <v>1</v>
      </c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>
        <v>2868.2</v>
      </c>
      <c r="F1562" s="15">
        <v>2871</v>
      </c>
      <c r="G1562" s="15">
        <f t="shared" si="445"/>
        <v>2.8000000000001819</v>
      </c>
      <c r="H1562" s="16" t="s">
        <v>359</v>
      </c>
      <c r="I1562" s="10">
        <f t="shared" si="444"/>
        <v>496.77419354838707</v>
      </c>
      <c r="J1562" s="16"/>
      <c r="K1562" s="15">
        <v>1</v>
      </c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>
        <v>2871</v>
      </c>
      <c r="F1563" s="15">
        <v>2873.3</v>
      </c>
      <c r="G1563" s="15">
        <f t="shared" si="445"/>
        <v>2.3000000000001819</v>
      </c>
      <c r="H1563" s="16" t="s">
        <v>359</v>
      </c>
      <c r="I1563" s="10">
        <f t="shared" si="444"/>
        <v>496.77419354838707</v>
      </c>
      <c r="J1563" s="16"/>
      <c r="K1563" s="15">
        <v>1</v>
      </c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>
        <v>2873.3</v>
      </c>
      <c r="F1566" s="15">
        <v>2880.8</v>
      </c>
      <c r="G1566" s="15">
        <f t="shared" si="445"/>
        <v>7.5</v>
      </c>
      <c r="H1566" s="16" t="s">
        <v>359</v>
      </c>
      <c r="I1566" s="10">
        <f t="shared" si="444"/>
        <v>496.77419354838707</v>
      </c>
      <c r="J1566" s="16"/>
      <c r="K1566" s="15">
        <v>1</v>
      </c>
      <c r="L1566" s="15">
        <v>40</v>
      </c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>
        <v>2880.8</v>
      </c>
      <c r="F1567" s="15">
        <v>2885.1</v>
      </c>
      <c r="G1567" s="15">
        <f t="shared" si="445"/>
        <v>4.2999999999997272</v>
      </c>
      <c r="H1567" s="16" t="s">
        <v>283</v>
      </c>
      <c r="I1567" s="10">
        <f t="shared" si="444"/>
        <v>496.77419354838707</v>
      </c>
      <c r="J1567" s="16"/>
      <c r="K1567" s="15">
        <v>1</v>
      </c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>
        <v>2885.1</v>
      </c>
      <c r="F1568" s="15">
        <v>2891.2</v>
      </c>
      <c r="G1568" s="15">
        <f t="shared" si="445"/>
        <v>6.0999999999999091</v>
      </c>
      <c r="H1568" s="16" t="s">
        <v>283</v>
      </c>
      <c r="I1568" s="10">
        <f t="shared" si="444"/>
        <v>496.77419354838707</v>
      </c>
      <c r="J1568" s="16"/>
      <c r="K1568" s="15">
        <v>1</v>
      </c>
      <c r="L1568" s="15">
        <v>20</v>
      </c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283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283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283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283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283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283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4" t="str">
        <f>M$1</f>
        <v>BM JANEIRO 2026</v>
      </c>
      <c r="N1576" s="124"/>
      <c r="O1576" s="124"/>
      <c r="P1576" s="19" t="s">
        <v>10</v>
      </c>
      <c r="Q1576" s="125" t="s">
        <v>243</v>
      </c>
      <c r="R1576" s="125"/>
      <c r="S1576" s="125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/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/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/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>
        <v>337770</v>
      </c>
      <c r="F1593" s="15">
        <v>337861</v>
      </c>
      <c r="G1593" s="15">
        <f t="shared" si="455"/>
        <v>91</v>
      </c>
      <c r="H1593" s="16" t="s">
        <v>7</v>
      </c>
      <c r="I1593" s="10">
        <f t="shared" si="454"/>
        <v>496.77419354838707</v>
      </c>
      <c r="J1593" s="16"/>
      <c r="K1593" s="15">
        <v>1</v>
      </c>
      <c r="L1593" s="15">
        <v>243.2</v>
      </c>
      <c r="M1593" s="17">
        <v>46097</v>
      </c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>
        <v>337861</v>
      </c>
      <c r="F1594" s="15">
        <v>337864</v>
      </c>
      <c r="G1594" s="15">
        <f t="shared" si="455"/>
        <v>3</v>
      </c>
      <c r="H1594" s="16" t="s">
        <v>7</v>
      </c>
      <c r="I1594" s="10">
        <f t="shared" si="454"/>
        <v>496.77419354838707</v>
      </c>
      <c r="J1594" s="16"/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>
        <v>337864</v>
      </c>
      <c r="F1595" s="15">
        <v>337866</v>
      </c>
      <c r="G1595" s="15">
        <f t="shared" si="455"/>
        <v>2</v>
      </c>
      <c r="H1595" s="16" t="s">
        <v>7</v>
      </c>
      <c r="I1595" s="10">
        <f t="shared" si="454"/>
        <v>496.77419354838707</v>
      </c>
      <c r="J1595" s="16"/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>
        <v>337866</v>
      </c>
      <c r="F1596" s="15">
        <v>337874</v>
      </c>
      <c r="G1596" s="15">
        <f t="shared" si="455"/>
        <v>8</v>
      </c>
      <c r="H1596" s="16" t="s">
        <v>7</v>
      </c>
      <c r="I1596" s="10">
        <f t="shared" si="454"/>
        <v>496.77419354838707</v>
      </c>
      <c r="J1596" s="16"/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>
        <v>337874</v>
      </c>
      <c r="F1597" s="15">
        <v>337897</v>
      </c>
      <c r="G1597" s="15">
        <f t="shared" si="455"/>
        <v>23</v>
      </c>
      <c r="H1597" s="16" t="s">
        <v>7</v>
      </c>
      <c r="I1597" s="10">
        <f t="shared" si="454"/>
        <v>496.77419354838707</v>
      </c>
      <c r="J1597" s="16"/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>
        <v>337897</v>
      </c>
      <c r="F1598" s="15">
        <v>338014</v>
      </c>
      <c r="G1598" s="15">
        <f t="shared" si="455"/>
        <v>117</v>
      </c>
      <c r="H1598" s="16" t="s">
        <v>365</v>
      </c>
      <c r="I1598" s="10">
        <f t="shared" si="454"/>
        <v>496.77419354838707</v>
      </c>
      <c r="J1598" s="16"/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7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>
        <v>338014</v>
      </c>
      <c r="F1600" s="15">
        <v>338091</v>
      </c>
      <c r="G1600" s="15">
        <f t="shared" si="455"/>
        <v>77</v>
      </c>
      <c r="H1600" s="16" t="s">
        <v>7</v>
      </c>
      <c r="I1600" s="10">
        <f t="shared" si="454"/>
        <v>496.77419354838707</v>
      </c>
      <c r="J1600" s="16"/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>
        <v>338091</v>
      </c>
      <c r="F1601" s="15">
        <v>338113</v>
      </c>
      <c r="G1601" s="15">
        <f t="shared" si="455"/>
        <v>22</v>
      </c>
      <c r="H1601" s="16" t="s">
        <v>7</v>
      </c>
      <c r="I1601" s="10">
        <f t="shared" si="454"/>
        <v>496.77419354838707</v>
      </c>
      <c r="J1601" s="16"/>
      <c r="K1601" s="15"/>
      <c r="L1601" s="15">
        <v>280</v>
      </c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7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7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7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>
        <v>338113</v>
      </c>
      <c r="F1605" s="15">
        <v>338116</v>
      </c>
      <c r="G1605" s="15">
        <f t="shared" ref="G1605:G1607" si="458">F1605-E1605</f>
        <v>3</v>
      </c>
      <c r="H1605" s="16" t="s">
        <v>7</v>
      </c>
      <c r="I1605" s="10">
        <f>I1601</f>
        <v>496.77419354838707</v>
      </c>
      <c r="J1605" s="16"/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7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7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7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4" t="str">
        <f>M$1</f>
        <v>BM JANEIRO 2026</v>
      </c>
      <c r="N1610" s="124"/>
      <c r="O1610" s="124"/>
      <c r="P1610" s="19" t="s">
        <v>10</v>
      </c>
      <c r="Q1610" s="125" t="s">
        <v>239</v>
      </c>
      <c r="R1610" s="125"/>
      <c r="S1610" s="125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4" t="str">
        <f>M$1</f>
        <v>BM JANEIRO 2026</v>
      </c>
      <c r="N1644" s="124"/>
      <c r="O1644" s="124"/>
      <c r="P1644" s="19" t="s">
        <v>10</v>
      </c>
      <c r="Q1644" s="125" t="s">
        <v>212</v>
      </c>
      <c r="R1644" s="125"/>
      <c r="S1644" s="125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3"/>
      <c r="O1657" s="18">
        <f t="shared" ref="O1657:O1672" si="476">O1656</f>
        <v>0</v>
      </c>
      <c r="P1657" s="113"/>
      <c r="Q1657" s="113"/>
      <c r="R1657" s="113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4" t="str">
        <f>M$1</f>
        <v>BM JANEIRO 2026</v>
      </c>
      <c r="N1678" s="124"/>
      <c r="O1678" s="124"/>
      <c r="P1678" s="19" t="s">
        <v>10</v>
      </c>
      <c r="Q1678" s="125"/>
      <c r="R1678" s="125"/>
      <c r="S1678" s="125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4" t="str">
        <f>M$1</f>
        <v>BM JANEIRO 2026</v>
      </c>
      <c r="N1712" s="124"/>
      <c r="O1712" s="124"/>
      <c r="P1712" s="19" t="s">
        <v>10</v>
      </c>
      <c r="Q1712" s="125" t="s">
        <v>193</v>
      </c>
      <c r="R1712" s="125"/>
      <c r="S1712" s="125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18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>
        <v>1</v>
      </c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>
        <v>1</v>
      </c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>
        <v>1</v>
      </c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>
        <v>1</v>
      </c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>
        <v>1</v>
      </c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>
        <v>1</v>
      </c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>
        <v>1</v>
      </c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>
        <v>1</v>
      </c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>
        <v>1</v>
      </c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>
        <v>1</v>
      </c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>
        <v>1</v>
      </c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>
        <v>5752</v>
      </c>
      <c r="F1729" s="15">
        <v>5754</v>
      </c>
      <c r="G1729" s="15">
        <f t="shared" si="497"/>
        <v>2</v>
      </c>
      <c r="H1729" s="16" t="s">
        <v>360</v>
      </c>
      <c r="I1729" s="10">
        <f t="shared" si="496"/>
        <v>464.51612903225805</v>
      </c>
      <c r="J1729" s="16"/>
      <c r="K1729" s="15">
        <v>1</v>
      </c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>
        <v>1</v>
      </c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>
        <v>1</v>
      </c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>
        <v>1</v>
      </c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>
        <v>1</v>
      </c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>
        <v>1</v>
      </c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>
        <v>1</v>
      </c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>
        <v>1</v>
      </c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>
        <v>5754</v>
      </c>
      <c r="F1737" s="15">
        <v>5755</v>
      </c>
      <c r="G1737" s="15">
        <f t="shared" si="497"/>
        <v>1</v>
      </c>
      <c r="H1737" s="16" t="s">
        <v>360</v>
      </c>
      <c r="I1737" s="10">
        <f t="shared" si="496"/>
        <v>464.51612903225805</v>
      </c>
      <c r="J1737" s="16"/>
      <c r="K1737" s="15">
        <v>1</v>
      </c>
      <c r="L1737" s="15">
        <v>50</v>
      </c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>
        <v>1</v>
      </c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>
        <v>1</v>
      </c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>
        <v>1</v>
      </c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>
        <v>1</v>
      </c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>
        <v>1</v>
      </c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>
        <v>1</v>
      </c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>
        <v>1</v>
      </c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4" t="str">
        <f>M$1</f>
        <v>BM JANEIRO 2026</v>
      </c>
      <c r="N1746" s="124"/>
      <c r="O1746" s="124"/>
      <c r="P1746" s="19" t="s">
        <v>10</v>
      </c>
      <c r="Q1746" s="125"/>
      <c r="R1746" s="125"/>
      <c r="S1746" s="125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4" t="str">
        <f>M$1</f>
        <v>BM JANEIRO 2026</v>
      </c>
      <c r="N1780" s="124"/>
      <c r="O1780" s="124"/>
      <c r="P1780" s="19" t="s">
        <v>10</v>
      </c>
      <c r="Q1780" s="125" t="s">
        <v>255</v>
      </c>
      <c r="R1780" s="125"/>
      <c r="S1780" s="125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4" t="str">
        <f>M$1</f>
        <v>BM JANEIRO 2026</v>
      </c>
      <c r="N1814" s="124"/>
      <c r="O1814" s="124"/>
      <c r="P1814" s="19" t="s">
        <v>10</v>
      </c>
      <c r="Q1814" s="125" t="s">
        <v>246</v>
      </c>
      <c r="R1814" s="125"/>
      <c r="S1814" s="125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>
        <v>1</v>
      </c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23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/>
      <c r="K1822" s="15">
        <v>1</v>
      </c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ref="G1824:G1846" si="531">F1824-E1824</f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1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si="531"/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>
        <v>428.7</v>
      </c>
      <c r="F1827" s="15">
        <v>432.7</v>
      </c>
      <c r="G1827" s="15">
        <f t="shared" si="531"/>
        <v>4</v>
      </c>
      <c r="H1827" s="16" t="s">
        <v>359</v>
      </c>
      <c r="I1827" s="10">
        <f t="shared" si="529"/>
        <v>1451.6129032258063</v>
      </c>
      <c r="J1827" s="16"/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>
        <v>432.7</v>
      </c>
      <c r="F1828" s="15">
        <v>435.5</v>
      </c>
      <c r="G1828" s="15">
        <f t="shared" si="531"/>
        <v>2.8000000000000114</v>
      </c>
      <c r="H1828" s="16" t="s">
        <v>359</v>
      </c>
      <c r="I1828" s="10">
        <f t="shared" si="529"/>
        <v>1451.6129032258063</v>
      </c>
      <c r="J1828" s="16"/>
      <c r="K1828" s="15">
        <v>1</v>
      </c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1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1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1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1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>
        <v>435.8</v>
      </c>
      <c r="F1833" s="15">
        <v>442.6</v>
      </c>
      <c r="G1833" s="15">
        <f t="shared" si="531"/>
        <v>6.8000000000000114</v>
      </c>
      <c r="H1833" s="16" t="s">
        <v>359</v>
      </c>
      <c r="I1833" s="10">
        <f t="shared" si="529"/>
        <v>1451.6129032258063</v>
      </c>
      <c r="J1833" s="16"/>
      <c r="K1833" s="15">
        <v>1</v>
      </c>
      <c r="L1833" s="15">
        <v>60</v>
      </c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>
        <v>442.6</v>
      </c>
      <c r="F1834" s="15">
        <v>445.3</v>
      </c>
      <c r="G1834" s="15">
        <f t="shared" si="531"/>
        <v>2.6999999999999886</v>
      </c>
      <c r="H1834" s="16" t="s">
        <v>359</v>
      </c>
      <c r="I1834" s="10">
        <f t="shared" si="529"/>
        <v>1451.6129032258063</v>
      </c>
      <c r="J1834" s="16"/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>
        <v>445.3</v>
      </c>
      <c r="F1835" s="15">
        <v>448</v>
      </c>
      <c r="G1835" s="15">
        <f t="shared" si="531"/>
        <v>2.6999999999999886</v>
      </c>
      <c r="H1835" s="16" t="s">
        <v>359</v>
      </c>
      <c r="I1835" s="10">
        <f t="shared" si="529"/>
        <v>1451.6129032258063</v>
      </c>
      <c r="J1835" s="16"/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1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1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>
        <v>448</v>
      </c>
      <c r="F1838" s="15">
        <v>455.7</v>
      </c>
      <c r="G1838" s="15">
        <f t="shared" si="531"/>
        <v>7.6999999999999886</v>
      </c>
      <c r="H1838" s="16" t="s">
        <v>283</v>
      </c>
      <c r="I1838" s="10">
        <f t="shared" si="529"/>
        <v>1451.6129032258063</v>
      </c>
      <c r="J1838" s="16"/>
      <c r="K1838" s="15">
        <v>1</v>
      </c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>
        <v>455.7</v>
      </c>
      <c r="F1839" s="15">
        <v>460.1</v>
      </c>
      <c r="G1839" s="15">
        <f t="shared" si="531"/>
        <v>4.4000000000000341</v>
      </c>
      <c r="H1839" s="16" t="s">
        <v>283</v>
      </c>
      <c r="I1839" s="10">
        <f t="shared" si="529"/>
        <v>1451.6129032258063</v>
      </c>
      <c r="J1839" s="16"/>
      <c r="K1839" s="15">
        <v>1</v>
      </c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>
        <v>460.1</v>
      </c>
      <c r="F1840" s="15">
        <v>466.9</v>
      </c>
      <c r="G1840" s="15">
        <f t="shared" si="531"/>
        <v>6.7999999999999545</v>
      </c>
      <c r="H1840" s="16" t="s">
        <v>283</v>
      </c>
      <c r="I1840" s="10">
        <f t="shared" si="529"/>
        <v>1451.6129032258063</v>
      </c>
      <c r="J1840" s="16"/>
      <c r="K1840" s="15">
        <v>1</v>
      </c>
      <c r="L1840" s="15">
        <v>20</v>
      </c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>
        <v>466.9</v>
      </c>
      <c r="F1841" s="15">
        <v>470.2</v>
      </c>
      <c r="G1841" s="15">
        <f t="shared" si="531"/>
        <v>3.3000000000000114</v>
      </c>
      <c r="H1841" s="16" t="s">
        <v>283</v>
      </c>
      <c r="I1841" s="10">
        <f t="shared" si="529"/>
        <v>1451.6129032258063</v>
      </c>
      <c r="J1841" s="16"/>
      <c r="K1841" s="15">
        <v>1</v>
      </c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1"/>
        <v>0</v>
      </c>
      <c r="H1842" s="16" t="s">
        <v>283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1"/>
        <v>0</v>
      </c>
      <c r="H1843" s="16" t="s">
        <v>283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1"/>
        <v>0</v>
      </c>
      <c r="H1844" s="16" t="s">
        <v>283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1"/>
        <v>0</v>
      </c>
      <c r="H1845" s="16" t="s">
        <v>283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1"/>
        <v>0</v>
      </c>
      <c r="H1846" s="16" t="s">
        <v>283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4" t="str">
        <f>M$1</f>
        <v>BM JANEIRO 2026</v>
      </c>
      <c r="N1848" s="124"/>
      <c r="O1848" s="124"/>
      <c r="P1848" s="19" t="s">
        <v>10</v>
      </c>
      <c r="Q1848" s="125" t="s">
        <v>195</v>
      </c>
      <c r="R1848" s="125"/>
      <c r="S1848" s="125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>
        <v>3855</v>
      </c>
      <c r="F1865" s="15">
        <v>3861</v>
      </c>
      <c r="G1865" s="15">
        <f t="shared" si="541"/>
        <v>6</v>
      </c>
      <c r="H1865" s="16" t="s">
        <v>278</v>
      </c>
      <c r="I1865" s="10">
        <f t="shared" si="540"/>
        <v>903.22580645161293</v>
      </c>
      <c r="J1865" s="16"/>
      <c r="K1865" s="15">
        <v>1</v>
      </c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>
        <v>3861</v>
      </c>
      <c r="F1866" s="15">
        <v>3867</v>
      </c>
      <c r="G1866" s="15">
        <f t="shared" si="541"/>
        <v>6</v>
      </c>
      <c r="H1866" s="16" t="s">
        <v>278</v>
      </c>
      <c r="I1866" s="10">
        <f t="shared" si="540"/>
        <v>903.22580645161293</v>
      </c>
      <c r="J1866" s="16"/>
      <c r="K1866" s="15">
        <v>1</v>
      </c>
      <c r="L1866" s="15">
        <v>174</v>
      </c>
      <c r="M1866" s="17">
        <v>46098</v>
      </c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>
        <v>3867</v>
      </c>
      <c r="F1867" s="15">
        <v>3872</v>
      </c>
      <c r="G1867" s="15">
        <f t="shared" si="541"/>
        <v>5</v>
      </c>
      <c r="H1867" s="16" t="s">
        <v>278</v>
      </c>
      <c r="I1867" s="10">
        <f t="shared" si="540"/>
        <v>903.22580645161293</v>
      </c>
      <c r="J1867" s="16"/>
      <c r="K1867" s="15">
        <v>1</v>
      </c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>
        <v>3872</v>
      </c>
      <c r="F1868" s="15">
        <v>3876</v>
      </c>
      <c r="G1868" s="15">
        <f t="shared" si="541"/>
        <v>4</v>
      </c>
      <c r="H1868" s="16" t="s">
        <v>278</v>
      </c>
      <c r="I1868" s="10">
        <f t="shared" si="540"/>
        <v>903.22580645161293</v>
      </c>
      <c r="J1868" s="16"/>
      <c r="K1868" s="15">
        <v>1</v>
      </c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>
        <v>3876</v>
      </c>
      <c r="F1869" s="15">
        <v>3882</v>
      </c>
      <c r="G1869" s="15">
        <f t="shared" si="541"/>
        <v>6</v>
      </c>
      <c r="H1869" s="16" t="s">
        <v>278</v>
      </c>
      <c r="I1869" s="10">
        <f t="shared" si="540"/>
        <v>903.22580645161293</v>
      </c>
      <c r="J1869" s="16"/>
      <c r="K1869" s="15">
        <v>1</v>
      </c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>
        <v>3882</v>
      </c>
      <c r="F1872" s="15">
        <v>3891</v>
      </c>
      <c r="G1872" s="15">
        <f t="shared" si="541"/>
        <v>9</v>
      </c>
      <c r="H1872" s="16" t="s">
        <v>278</v>
      </c>
      <c r="I1872" s="10">
        <f t="shared" si="540"/>
        <v>903.22580645161293</v>
      </c>
      <c r="J1872" s="16"/>
      <c r="K1872" s="15">
        <v>1</v>
      </c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>
        <v>3891</v>
      </c>
      <c r="F1873" s="15">
        <v>3900</v>
      </c>
      <c r="G1873" s="15">
        <f t="shared" si="541"/>
        <v>9</v>
      </c>
      <c r="H1873" s="16" t="s">
        <v>278</v>
      </c>
      <c r="I1873" s="10">
        <f t="shared" si="540"/>
        <v>903.22580645161293</v>
      </c>
      <c r="J1873" s="16"/>
      <c r="K1873" s="15"/>
      <c r="L1873" s="15">
        <v>221</v>
      </c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>
        <v>3900</v>
      </c>
      <c r="F1874" s="15">
        <v>3906</v>
      </c>
      <c r="G1874" s="15">
        <f t="shared" si="541"/>
        <v>6</v>
      </c>
      <c r="H1874" s="16" t="s">
        <v>278</v>
      </c>
      <c r="I1874" s="10">
        <f t="shared" si="540"/>
        <v>903.22580645161293</v>
      </c>
      <c r="J1874" s="16"/>
      <c r="K1874" s="15">
        <v>1</v>
      </c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 t="s">
        <v>16</v>
      </c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 t="s">
        <v>16</v>
      </c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4" t="str">
        <f>M$1</f>
        <v>BM JANEIRO 2026</v>
      </c>
      <c r="N1882" s="124"/>
      <c r="O1882" s="124"/>
      <c r="P1882" s="19" t="s">
        <v>10</v>
      </c>
      <c r="Q1882" s="125" t="s">
        <v>241</v>
      </c>
      <c r="R1882" s="125"/>
      <c r="S1882" s="125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>
        <v>1378</v>
      </c>
      <c r="F1900" s="15">
        <v>1379</v>
      </c>
      <c r="G1900" s="15">
        <f t="shared" si="549"/>
        <v>1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>
        <v>1379</v>
      </c>
      <c r="F1902" s="15">
        <v>1381</v>
      </c>
      <c r="G1902" s="15">
        <f t="shared" si="549"/>
        <v>2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>
        <v>1381</v>
      </c>
      <c r="F1903" s="15">
        <v>1385</v>
      </c>
      <c r="G1903" s="15">
        <f t="shared" si="549"/>
        <v>4</v>
      </c>
      <c r="H1903" s="16" t="s">
        <v>362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>
        <v>1385</v>
      </c>
      <c r="F1904" s="15">
        <v>1387</v>
      </c>
      <c r="G1904" s="15">
        <f t="shared" si="549"/>
        <v>2</v>
      </c>
      <c r="H1904" s="16" t="s">
        <v>362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362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>
        <v>1387</v>
      </c>
      <c r="F1906" s="15">
        <v>1389</v>
      </c>
      <c r="G1906" s="15">
        <f t="shared" si="549"/>
        <v>2</v>
      </c>
      <c r="H1906" s="16" t="s">
        <v>362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362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362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362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362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362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362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362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362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4" t="str">
        <f>M$1</f>
        <v>BM JANEIRO 2026</v>
      </c>
      <c r="N1916" s="124"/>
      <c r="O1916" s="124"/>
      <c r="P1916" s="19" t="s">
        <v>10</v>
      </c>
      <c r="Q1916" s="125" t="s">
        <v>237</v>
      </c>
      <c r="R1916" s="125"/>
      <c r="S1916" s="125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18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>
        <v>1</v>
      </c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>
        <v>1</v>
      </c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>
        <v>1</v>
      </c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>
        <v>1</v>
      </c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>
        <v>1</v>
      </c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>
        <v>1</v>
      </c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>
        <v>1</v>
      </c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>
        <v>1</v>
      </c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>
        <v>1741.4</v>
      </c>
      <c r="F1934" s="15">
        <v>1743.6</v>
      </c>
      <c r="G1934" s="15">
        <f t="shared" si="558"/>
        <v>2.1999999999998181</v>
      </c>
      <c r="H1934" s="16" t="s">
        <v>278</v>
      </c>
      <c r="I1934" s="10">
        <f t="shared" si="557"/>
        <v>464.51612903225805</v>
      </c>
      <c r="J1934" s="16"/>
      <c r="K1934" s="15">
        <v>1</v>
      </c>
      <c r="L1934" s="15">
        <v>58</v>
      </c>
      <c r="M1934" s="17">
        <v>46098</v>
      </c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>
        <v>1743.6</v>
      </c>
      <c r="F1935" s="15">
        <v>1744.7</v>
      </c>
      <c r="G1935" s="15">
        <f t="shared" si="558"/>
        <v>1.1000000000001364</v>
      </c>
      <c r="H1935" s="16" t="s">
        <v>278</v>
      </c>
      <c r="I1935" s="10">
        <f t="shared" si="557"/>
        <v>464.51612903225805</v>
      </c>
      <c r="J1935" s="16"/>
      <c r="K1935" s="15">
        <v>1</v>
      </c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>
        <v>1744.7</v>
      </c>
      <c r="F1936" s="15">
        <v>1746.6</v>
      </c>
      <c r="G1936" s="15">
        <f t="shared" si="558"/>
        <v>1.8999999999998636</v>
      </c>
      <c r="H1936" s="16" t="s">
        <v>278</v>
      </c>
      <c r="I1936" s="10">
        <f t="shared" si="557"/>
        <v>464.51612903225805</v>
      </c>
      <c r="J1936" s="16"/>
      <c r="K1936" s="15">
        <v>1</v>
      </c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>
        <v>1746.7</v>
      </c>
      <c r="F1937" s="15">
        <v>1749.4</v>
      </c>
      <c r="G1937" s="15">
        <f t="shared" si="558"/>
        <v>2.7000000000000455</v>
      </c>
      <c r="H1937" s="16" t="s">
        <v>278</v>
      </c>
      <c r="I1937" s="10">
        <f t="shared" si="557"/>
        <v>464.51612903225805</v>
      </c>
      <c r="J1937" s="16"/>
      <c r="K1937" s="15">
        <v>1</v>
      </c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278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278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>
        <v>1749.4</v>
      </c>
      <c r="F1940" s="15">
        <v>1752.5</v>
      </c>
      <c r="G1940" s="15">
        <f t="shared" si="558"/>
        <v>3.0999999999999091</v>
      </c>
      <c r="H1940" s="16" t="s">
        <v>278</v>
      </c>
      <c r="I1940" s="10">
        <f t="shared" si="557"/>
        <v>464.51612903225805</v>
      </c>
      <c r="J1940" s="16"/>
      <c r="K1940" s="15">
        <v>1</v>
      </c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>
        <v>1752.5</v>
      </c>
      <c r="F1941" s="15">
        <v>1755.9</v>
      </c>
      <c r="G1941" s="15">
        <f t="shared" si="558"/>
        <v>3.4000000000000909</v>
      </c>
      <c r="H1941" s="16" t="s">
        <v>278</v>
      </c>
      <c r="I1941" s="10">
        <f t="shared" si="557"/>
        <v>464.51612903225805</v>
      </c>
      <c r="J1941" s="16"/>
      <c r="K1941" s="15">
        <v>1</v>
      </c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>
        <v>1755.9</v>
      </c>
      <c r="F1942" s="15">
        <v>1759</v>
      </c>
      <c r="G1942" s="15">
        <f t="shared" si="558"/>
        <v>3.0999999999999091</v>
      </c>
      <c r="H1942" s="16" t="s">
        <v>278</v>
      </c>
      <c r="I1942" s="10">
        <f t="shared" si="557"/>
        <v>464.51612903225805</v>
      </c>
      <c r="J1942" s="16"/>
      <c r="K1942" s="15">
        <v>1</v>
      </c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278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278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278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278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278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278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4" t="str">
        <f>M$1</f>
        <v>BM JANEIRO 2026</v>
      </c>
      <c r="N1950" s="124"/>
      <c r="O1950" s="124"/>
      <c r="P1950" s="19" t="s">
        <v>10</v>
      </c>
      <c r="Q1950" s="125" t="s">
        <v>213</v>
      </c>
      <c r="R1950" s="125"/>
      <c r="S1950" s="125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4" t="str">
        <f>M$1</f>
        <v>BM JANEIRO 2026</v>
      </c>
      <c r="N1984" s="124"/>
      <c r="O1984" s="124"/>
      <c r="P1984" s="19" t="s">
        <v>10</v>
      </c>
      <c r="Q1984" s="125" t="s">
        <v>214</v>
      </c>
      <c r="R1984" s="125"/>
      <c r="S1984" s="125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>
        <v>303002</v>
      </c>
      <c r="F2005" s="15">
        <v>303697</v>
      </c>
      <c r="G2005" s="15">
        <f t="shared" si="575"/>
        <v>695</v>
      </c>
      <c r="H2005" s="16" t="s">
        <v>367</v>
      </c>
      <c r="I2005" s="10">
        <f t="shared" si="577"/>
        <v>0</v>
      </c>
      <c r="J2005" s="16"/>
      <c r="K2005" s="15">
        <v>1</v>
      </c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367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367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>
        <v>303697</v>
      </c>
      <c r="F2008" s="15">
        <v>303701</v>
      </c>
      <c r="G2008" s="15">
        <f t="shared" si="575"/>
        <v>4</v>
      </c>
      <c r="H2008" s="16" t="s">
        <v>367</v>
      </c>
      <c r="I2008" s="10">
        <f t="shared" si="577"/>
        <v>0</v>
      </c>
      <c r="J2008" s="16"/>
      <c r="K2008" s="15">
        <v>1</v>
      </c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367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367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367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367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367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367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367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367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4" t="str">
        <f>M$1</f>
        <v>BM JANEIRO 2026</v>
      </c>
      <c r="N2018" s="124"/>
      <c r="O2018" s="124"/>
      <c r="P2018" s="19" t="s">
        <v>10</v>
      </c>
      <c r="Q2018" s="125" t="s">
        <v>259</v>
      </c>
      <c r="R2018" s="125"/>
      <c r="S2018" s="125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/>
      <c r="K2035" s="15">
        <v>1</v>
      </c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>
        <v>3051.9</v>
      </c>
      <c r="F2036" s="15">
        <v>3053.8</v>
      </c>
      <c r="G2036" s="15">
        <f t="shared" si="586"/>
        <v>1.9000000000000909</v>
      </c>
      <c r="H2036" s="16" t="s">
        <v>203</v>
      </c>
      <c r="I2036" s="10">
        <f t="shared" si="587"/>
        <v>464.51612903225805</v>
      </c>
      <c r="J2036" s="16"/>
      <c r="K2036" s="15">
        <v>1</v>
      </c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>
        <v>3053.8</v>
      </c>
      <c r="F2037" s="15">
        <v>3058.7</v>
      </c>
      <c r="G2037" s="15">
        <f t="shared" si="586"/>
        <v>4.8999999999996362</v>
      </c>
      <c r="H2037" s="16" t="s">
        <v>203</v>
      </c>
      <c r="I2037" s="10">
        <f t="shared" si="587"/>
        <v>464.51612903225805</v>
      </c>
      <c r="J2037" s="16"/>
      <c r="K2037" s="15">
        <v>1</v>
      </c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>
        <v>3058.7</v>
      </c>
      <c r="F2038" s="15">
        <v>3063.8</v>
      </c>
      <c r="G2038" s="15">
        <f t="shared" si="586"/>
        <v>5.1000000000003638</v>
      </c>
      <c r="H2038" s="16" t="s">
        <v>203</v>
      </c>
      <c r="I2038" s="10">
        <f t="shared" si="587"/>
        <v>464.51612903225805</v>
      </c>
      <c r="J2038" s="16"/>
      <c r="K2038" s="15">
        <v>1</v>
      </c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>
        <v>3063.8</v>
      </c>
      <c r="F2039" s="15">
        <v>3064</v>
      </c>
      <c r="G2039" s="15">
        <f t="shared" si="586"/>
        <v>0.1999999999998181</v>
      </c>
      <c r="H2039" s="16" t="s">
        <v>203</v>
      </c>
      <c r="I2039" s="10">
        <f t="shared" si="587"/>
        <v>464.51612903225805</v>
      </c>
      <c r="J2039" s="16"/>
      <c r="K2039" s="15">
        <v>1</v>
      </c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>
        <v>3064</v>
      </c>
      <c r="F2042" s="15">
        <v>3067</v>
      </c>
      <c r="G2042" s="15">
        <f t="shared" si="586"/>
        <v>3</v>
      </c>
      <c r="H2042" s="16" t="s">
        <v>203</v>
      </c>
      <c r="I2042" s="10">
        <f t="shared" si="587"/>
        <v>464.51612903225805</v>
      </c>
      <c r="J2042" s="16"/>
      <c r="K2042" s="15">
        <v>1</v>
      </c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>
        <v>3067</v>
      </c>
      <c r="F2044" s="15">
        <v>3077.2</v>
      </c>
      <c r="G2044" s="15">
        <f t="shared" si="586"/>
        <v>10.199999999999818</v>
      </c>
      <c r="H2044" s="16" t="s">
        <v>203</v>
      </c>
      <c r="I2044" s="10">
        <f t="shared" si="587"/>
        <v>464.51612903225805</v>
      </c>
      <c r="J2044" s="16"/>
      <c r="K2044" s="15">
        <v>1</v>
      </c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4" t="str">
        <f>M$1</f>
        <v>BM JANEIRO 2026</v>
      </c>
      <c r="N2052" s="124"/>
      <c r="O2052" s="124"/>
      <c r="P2052" s="19" t="s">
        <v>10</v>
      </c>
      <c r="Q2052" s="125" t="s">
        <v>236</v>
      </c>
      <c r="R2052" s="125"/>
      <c r="S2052" s="125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19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>
        <v>1</v>
      </c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>
        <v>1</v>
      </c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>
        <v>1</v>
      </c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>
        <v>1</v>
      </c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>
        <v>1</v>
      </c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>
        <v>1</v>
      </c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>
        <v>1</v>
      </c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/>
      <c r="K2069" s="15">
        <v>1</v>
      </c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>
        <v>2996.31</v>
      </c>
      <c r="F2070" s="15">
        <v>3006.19</v>
      </c>
      <c r="G2070" s="15">
        <f t="shared" si="596"/>
        <v>9.8800000000001091</v>
      </c>
      <c r="H2070" s="16" t="s">
        <v>336</v>
      </c>
      <c r="I2070" s="10">
        <f t="shared" si="597"/>
        <v>903.22580645161293</v>
      </c>
      <c r="J2070" s="16"/>
      <c r="K2070" s="15">
        <v>1</v>
      </c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>
        <v>1</v>
      </c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>
        <v>3006.19</v>
      </c>
      <c r="F2072" s="15">
        <v>3013.87</v>
      </c>
      <c r="G2072" s="15">
        <f t="shared" si="596"/>
        <v>7.6799999999998363</v>
      </c>
      <c r="H2072" s="16" t="s">
        <v>336</v>
      </c>
      <c r="I2072" s="10">
        <f t="shared" si="597"/>
        <v>903.22580645161293</v>
      </c>
      <c r="J2072" s="16" t="s">
        <v>16</v>
      </c>
      <c r="K2072" s="15">
        <v>1</v>
      </c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>
        <v>1</v>
      </c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>
        <v>3013.87</v>
      </c>
      <c r="F2074" s="15">
        <v>3021.9</v>
      </c>
      <c r="G2074" s="15">
        <f t="shared" si="596"/>
        <v>8.0300000000002001</v>
      </c>
      <c r="H2074" s="16" t="s">
        <v>336</v>
      </c>
      <c r="I2074" s="10">
        <f t="shared" si="597"/>
        <v>903.22580645161293</v>
      </c>
      <c r="J2074" s="16" t="s">
        <v>16</v>
      </c>
      <c r="K2074" s="15">
        <v>1</v>
      </c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>
        <v>1</v>
      </c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>
        <v>3021.9</v>
      </c>
      <c r="F2076" s="15">
        <v>3028</v>
      </c>
      <c r="G2076" s="15">
        <f t="shared" si="596"/>
        <v>6.0999999999999091</v>
      </c>
      <c r="H2076" s="16" t="s">
        <v>336</v>
      </c>
      <c r="I2076" s="10">
        <f t="shared" si="597"/>
        <v>903.22580645161293</v>
      </c>
      <c r="J2076" s="16" t="s">
        <v>16</v>
      </c>
      <c r="K2076" s="15">
        <v>1</v>
      </c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>
        <v>1</v>
      </c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>
        <v>1</v>
      </c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>
        <v>1</v>
      </c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>
        <v>1</v>
      </c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>
        <v>1</v>
      </c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>
        <v>1</v>
      </c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>
        <v>1</v>
      </c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>
        <v>1</v>
      </c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>
        <v>1</v>
      </c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>
        <v>1</v>
      </c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>
        <v>1</v>
      </c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4" t="str">
        <f>M$1</f>
        <v>BM JANEIRO 2026</v>
      </c>
      <c r="N2089" s="124"/>
      <c r="O2089" s="124"/>
      <c r="P2089" s="19" t="s">
        <v>10</v>
      </c>
      <c r="Q2089" s="125" t="s">
        <v>242</v>
      </c>
      <c r="R2089" s="125"/>
      <c r="S2089" s="125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>
        <v>2968</v>
      </c>
      <c r="F2107" s="15">
        <v>2975</v>
      </c>
      <c r="G2107" s="15">
        <f t="shared" si="604"/>
        <v>-7</v>
      </c>
      <c r="H2107" s="16" t="s">
        <v>362</v>
      </c>
      <c r="I2107" s="10">
        <f t="shared" si="605"/>
        <v>903.22580645161293</v>
      </c>
      <c r="J2107" s="16"/>
      <c r="K2107" s="15">
        <v>1</v>
      </c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>
        <v>2975</v>
      </c>
      <c r="F2108" s="15">
        <v>2977</v>
      </c>
      <c r="G2108" s="15">
        <f t="shared" si="604"/>
        <v>-2</v>
      </c>
      <c r="H2108" s="16" t="s">
        <v>362</v>
      </c>
      <c r="I2108" s="10">
        <f t="shared" si="605"/>
        <v>903.22580645161293</v>
      </c>
      <c r="J2108" s="16"/>
      <c r="K2108" s="15">
        <v>1</v>
      </c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>
        <v>2977</v>
      </c>
      <c r="F2109" s="15">
        <v>2984</v>
      </c>
      <c r="G2109" s="15">
        <f t="shared" si="604"/>
        <v>-7</v>
      </c>
      <c r="H2109" s="16" t="s">
        <v>362</v>
      </c>
      <c r="I2109" s="10">
        <f t="shared" si="605"/>
        <v>903.22580645161293</v>
      </c>
      <c r="J2109" s="16"/>
      <c r="K2109" s="15">
        <v>1</v>
      </c>
      <c r="L2109" s="15">
        <v>80</v>
      </c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>
        <v>2984</v>
      </c>
      <c r="F2110" s="15">
        <v>2992</v>
      </c>
      <c r="G2110" s="15">
        <f t="shared" si="604"/>
        <v>-8</v>
      </c>
      <c r="H2110" s="16" t="s">
        <v>362</v>
      </c>
      <c r="I2110" s="10">
        <f t="shared" si="605"/>
        <v>903.22580645161293</v>
      </c>
      <c r="J2110" s="16"/>
      <c r="K2110" s="15">
        <v>1</v>
      </c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362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>
        <v>2992</v>
      </c>
      <c r="F2112" s="15">
        <v>2996</v>
      </c>
      <c r="G2112" s="15">
        <f t="shared" si="604"/>
        <v>-4</v>
      </c>
      <c r="H2112" s="16" t="s">
        <v>362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>
        <v>2996</v>
      </c>
      <c r="F2113" s="15">
        <v>3002</v>
      </c>
      <c r="G2113" s="15">
        <f t="shared" si="604"/>
        <v>-6</v>
      </c>
      <c r="H2113" s="16" t="s">
        <v>362</v>
      </c>
      <c r="I2113" s="10">
        <f t="shared" si="605"/>
        <v>903.22580645161293</v>
      </c>
      <c r="J2113" s="16"/>
      <c r="K2113" s="15">
        <v>1</v>
      </c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>
        <v>3002</v>
      </c>
      <c r="F2114" s="15">
        <v>3008</v>
      </c>
      <c r="G2114" s="15">
        <f t="shared" si="604"/>
        <v>-6</v>
      </c>
      <c r="H2114" s="16" t="s">
        <v>362</v>
      </c>
      <c r="I2114" s="10">
        <f t="shared" si="605"/>
        <v>903.22580645161293</v>
      </c>
      <c r="J2114" s="16"/>
      <c r="K2114" s="15">
        <v>1</v>
      </c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>
        <v>3008</v>
      </c>
      <c r="F2115" s="15">
        <v>3013</v>
      </c>
      <c r="G2115" s="15">
        <f t="shared" si="604"/>
        <v>-5</v>
      </c>
      <c r="H2115" s="16" t="s">
        <v>362</v>
      </c>
      <c r="I2115" s="10">
        <f t="shared" si="605"/>
        <v>903.22580645161293</v>
      </c>
      <c r="J2115" s="16"/>
      <c r="K2115" s="15">
        <v>1</v>
      </c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362</v>
      </c>
      <c r="I2116" s="10">
        <f t="shared" si="605"/>
        <v>903.22580645161293</v>
      </c>
      <c r="J2116" s="16" t="s">
        <v>16</v>
      </c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362</v>
      </c>
      <c r="I2117" s="10">
        <f>I2112</f>
        <v>903.22580645161293</v>
      </c>
      <c r="J2117" s="16" t="s">
        <v>16</v>
      </c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362</v>
      </c>
      <c r="I2118" s="10">
        <f>I2113</f>
        <v>903.22580645161293</v>
      </c>
      <c r="J2118" s="16" t="s">
        <v>16</v>
      </c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362</v>
      </c>
      <c r="I2119" s="10">
        <f>I2114</f>
        <v>903.22580645161293</v>
      </c>
      <c r="J2119" s="16" t="s">
        <v>16</v>
      </c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362</v>
      </c>
      <c r="I2120" s="10">
        <f>I2115</f>
        <v>903.22580645161293</v>
      </c>
      <c r="J2120" s="16" t="s">
        <v>16</v>
      </c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362</v>
      </c>
      <c r="I2121" s="10">
        <f>I2116</f>
        <v>903.22580645161293</v>
      </c>
      <c r="J2121" s="16" t="s">
        <v>16</v>
      </c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3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4" t="str">
        <f>M$1</f>
        <v>BM JANEIRO 2026</v>
      </c>
      <c r="N2123" s="124"/>
      <c r="O2123" s="124"/>
      <c r="P2123" s="19" t="s">
        <v>10</v>
      </c>
      <c r="Q2123" s="125" t="s">
        <v>265</v>
      </c>
      <c r="R2123" s="125"/>
      <c r="S2123" s="125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4" t="str">
        <f>M$1</f>
        <v>BM JANEIRO 2026</v>
      </c>
      <c r="N2157" s="124"/>
      <c r="O2157" s="124"/>
      <c r="P2157" s="19" t="s">
        <v>10</v>
      </c>
      <c r="Q2157" s="125" t="s">
        <v>249</v>
      </c>
      <c r="R2157" s="125"/>
      <c r="S2157" s="125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>
        <v>1</v>
      </c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>
        <v>1</v>
      </c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>
        <v>2367.1999999999998</v>
      </c>
      <c r="F2174" s="24">
        <v>2373.1999999999998</v>
      </c>
      <c r="G2174" s="15">
        <f t="shared" si="623"/>
        <v>6</v>
      </c>
      <c r="H2174" s="16" t="s">
        <v>278</v>
      </c>
      <c r="I2174" s="10">
        <f t="shared" si="622"/>
        <v>464.51612903225805</v>
      </c>
      <c r="J2174" s="16"/>
      <c r="K2174" s="15">
        <v>1</v>
      </c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>
        <v>2373.1999999999998</v>
      </c>
      <c r="F2175" s="24">
        <v>2377.6</v>
      </c>
      <c r="G2175" s="15">
        <f t="shared" si="623"/>
        <v>4.4000000000000909</v>
      </c>
      <c r="H2175" s="16" t="s">
        <v>278</v>
      </c>
      <c r="I2175" s="10">
        <f t="shared" si="622"/>
        <v>464.51612903225805</v>
      </c>
      <c r="J2175" s="16"/>
      <c r="K2175" s="15">
        <v>1</v>
      </c>
      <c r="L2175" s="15">
        <v>79</v>
      </c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>
        <v>2377.6</v>
      </c>
      <c r="F2176" s="24">
        <v>2384</v>
      </c>
      <c r="G2176" s="15">
        <f t="shared" si="623"/>
        <v>6.4000000000000909</v>
      </c>
      <c r="H2176" s="16" t="s">
        <v>278</v>
      </c>
      <c r="I2176" s="10">
        <f t="shared" si="622"/>
        <v>464.51612903225805</v>
      </c>
      <c r="J2176" s="16"/>
      <c r="K2176" s="15">
        <v>1</v>
      </c>
      <c r="L2176" s="15">
        <v>52</v>
      </c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>
        <v>2384</v>
      </c>
      <c r="F2177" s="24">
        <v>2384.6999999999998</v>
      </c>
      <c r="G2177" s="15">
        <f t="shared" si="623"/>
        <v>0.6999999999998181</v>
      </c>
      <c r="H2177" s="16" t="s">
        <v>278</v>
      </c>
      <c r="I2177" s="10">
        <f t="shared" si="622"/>
        <v>464.51612903225805</v>
      </c>
      <c r="J2177" s="16"/>
      <c r="K2177" s="15">
        <v>1</v>
      </c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>
        <v>2384.6999999999998</v>
      </c>
      <c r="F2178" s="24">
        <v>2385</v>
      </c>
      <c r="G2178" s="15">
        <f t="shared" si="623"/>
        <v>0.3000000000001819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>
        <v>2396.3000000000002</v>
      </c>
      <c r="F2183" s="24">
        <v>2404.1999999999998</v>
      </c>
      <c r="G2183" s="15">
        <f t="shared" si="623"/>
        <v>7.8999999999996362</v>
      </c>
      <c r="H2183" s="16" t="s">
        <v>278</v>
      </c>
      <c r="I2183" s="10">
        <f t="shared" si="622"/>
        <v>464.51612903225805</v>
      </c>
      <c r="J2183" s="16"/>
      <c r="K2183" s="15">
        <v>1</v>
      </c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4" t="str">
        <f>M$1</f>
        <v>BM JANEIRO 2026</v>
      </c>
      <c r="N2191" s="124"/>
      <c r="O2191" s="124"/>
      <c r="P2191" s="19" t="s">
        <v>10</v>
      </c>
      <c r="Q2191" s="125" t="s">
        <v>240</v>
      </c>
      <c r="R2191" s="125"/>
      <c r="S2191" s="125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19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4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4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4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4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4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4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4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4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4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4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/>
      <c r="K2203" s="15"/>
      <c r="L2203" s="15"/>
      <c r="M2203" s="17"/>
      <c r="N2203" s="8"/>
      <c r="O2203" s="18"/>
      <c r="P2203" s="9"/>
      <c r="Q2203" s="9"/>
      <c r="R2203" s="84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/>
      <c r="K2204" s="15"/>
      <c r="L2204" s="15"/>
      <c r="M2204" s="17"/>
      <c r="N2204" s="79"/>
      <c r="O2204" s="18"/>
      <c r="P2204" s="9"/>
      <c r="Q2204" s="9"/>
      <c r="R2204" s="84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/>
      <c r="K2205" s="15"/>
      <c r="L2205" s="15"/>
      <c r="M2205" s="17"/>
      <c r="N2205" s="8"/>
      <c r="O2205" s="18"/>
      <c r="P2205" s="9"/>
      <c r="Q2205" s="9"/>
      <c r="R2205" s="84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/>
      <c r="K2206" s="15"/>
      <c r="L2206" s="15"/>
      <c r="M2206" s="17"/>
      <c r="N2206" s="8"/>
      <c r="O2206" s="18"/>
      <c r="P2206" s="9"/>
      <c r="Q2206" s="9"/>
      <c r="R2206" s="84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79"/>
      <c r="O2207" s="18"/>
      <c r="P2207" s="9"/>
      <c r="Q2207" s="9"/>
      <c r="R2207" s="84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>
        <v>1238.0999999999999</v>
      </c>
      <c r="F2208" s="22">
        <v>1240.8</v>
      </c>
      <c r="G2208" s="15">
        <f t="shared" si="629"/>
        <v>2.7000000000000455</v>
      </c>
      <c r="H2208" s="16" t="s">
        <v>358</v>
      </c>
      <c r="I2208" s="10">
        <f t="shared" si="630"/>
        <v>496.77419354838707</v>
      </c>
      <c r="J2208" s="16"/>
      <c r="K2208" s="15"/>
      <c r="L2208" s="15"/>
      <c r="M2208" s="17"/>
      <c r="N2208" s="79"/>
      <c r="O2208" s="18"/>
      <c r="P2208" s="9"/>
      <c r="Q2208" s="9"/>
      <c r="R2208" s="84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>
        <v>1240.8</v>
      </c>
      <c r="F2209" s="22">
        <v>1242.9000000000001</v>
      </c>
      <c r="G2209" s="15">
        <f t="shared" si="629"/>
        <v>2.1000000000001364</v>
      </c>
      <c r="H2209" s="16" t="s">
        <v>358</v>
      </c>
      <c r="I2209" s="10">
        <f t="shared" si="630"/>
        <v>496.77419354838707</v>
      </c>
      <c r="J2209" s="16"/>
      <c r="K2209" s="15"/>
      <c r="L2209" s="15"/>
      <c r="M2209" s="17"/>
      <c r="N2209" s="79"/>
      <c r="O2209" s="18"/>
      <c r="P2209" s="9"/>
      <c r="Q2209" s="9"/>
      <c r="R2209" s="84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79"/>
      <c r="O2210" s="18"/>
      <c r="P2210" s="9"/>
      <c r="Q2210" s="9"/>
      <c r="R2210" s="84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4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4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4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4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4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>
        <v>1243.0999999999999</v>
      </c>
      <c r="F2216" s="22">
        <v>1247.3</v>
      </c>
      <c r="G2216" s="15">
        <f t="shared" si="629"/>
        <v>4.2000000000000455</v>
      </c>
      <c r="H2216" s="16" t="s">
        <v>358</v>
      </c>
      <c r="I2216" s="10">
        <f t="shared" si="630"/>
        <v>496.77419354838707</v>
      </c>
      <c r="J2216" s="16"/>
      <c r="K2216" s="15">
        <v>1</v>
      </c>
      <c r="L2216" s="15"/>
      <c r="M2216" s="17"/>
      <c r="N2216" s="8"/>
      <c r="O2216" s="18"/>
      <c r="P2216" s="9"/>
      <c r="Q2216" s="9"/>
      <c r="R2216" s="84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>
        <v>1247.3</v>
      </c>
      <c r="F2217" s="22">
        <v>1252.9000000000001</v>
      </c>
      <c r="G2217" s="15">
        <f t="shared" si="629"/>
        <v>5.6000000000001364</v>
      </c>
      <c r="H2217" s="16" t="s">
        <v>368</v>
      </c>
      <c r="I2217" s="10">
        <f t="shared" si="630"/>
        <v>496.77419354838707</v>
      </c>
      <c r="J2217" s="16"/>
      <c r="K2217" s="15">
        <v>1</v>
      </c>
      <c r="L2217" s="15"/>
      <c r="M2217" s="17"/>
      <c r="N2217" s="8"/>
      <c r="O2217" s="18"/>
      <c r="P2217" s="9"/>
      <c r="Q2217" s="9"/>
      <c r="R2217" s="84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368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4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368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4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368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4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368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4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368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4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368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4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4" t="str">
        <f>M$1</f>
        <v>BM JANEIRO 2026</v>
      </c>
      <c r="N2225" s="124"/>
      <c r="O2225" s="124"/>
      <c r="P2225" s="19" t="s">
        <v>10</v>
      </c>
      <c r="Q2225" s="125" t="s">
        <v>256</v>
      </c>
      <c r="R2225" s="125"/>
      <c r="S2225" s="125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1"/>
      <c r="F2227" s="112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2">
        <v>170720</v>
      </c>
      <c r="F2228" s="112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2">
        <v>170735</v>
      </c>
      <c r="F2229" s="112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2"/>
      <c r="F2230" s="112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2"/>
      <c r="F2231" s="112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4" t="str">
        <f>M$1</f>
        <v>BM JANEIRO 2026</v>
      </c>
      <c r="N2259" s="124"/>
      <c r="O2259" s="124"/>
      <c r="P2259" s="19" t="s">
        <v>10</v>
      </c>
      <c r="Q2259" s="125" t="s">
        <v>197</v>
      </c>
      <c r="R2259" s="125"/>
      <c r="S2259" s="125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/>
      <c r="K2262" s="15">
        <v>1</v>
      </c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 t="s">
        <v>16</v>
      </c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>
        <v>1</v>
      </c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>
        <v>1</v>
      </c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/>
      <c r="K2273" s="15">
        <v>1</v>
      </c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/>
      <c r="K2274" s="15">
        <v>1</v>
      </c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>
        <v>2782</v>
      </c>
      <c r="F2276" s="15">
        <v>2789</v>
      </c>
      <c r="G2276" s="15">
        <f t="shared" si="646"/>
        <v>7</v>
      </c>
      <c r="H2276" s="16" t="s">
        <v>203</v>
      </c>
      <c r="I2276" s="10">
        <f t="shared" si="645"/>
        <v>903.22580645161293</v>
      </c>
      <c r="J2276" s="16"/>
      <c r="K2276" s="15">
        <v>1</v>
      </c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>
        <v>2789</v>
      </c>
      <c r="F2277" s="15">
        <v>2791</v>
      </c>
      <c r="G2277" s="15">
        <f t="shared" si="646"/>
        <v>2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>
        <v>2791</v>
      </c>
      <c r="F2279" s="15">
        <v>2801</v>
      </c>
      <c r="G2279" s="15">
        <f t="shared" si="646"/>
        <v>10</v>
      </c>
      <c r="H2279" s="16" t="s">
        <v>203</v>
      </c>
      <c r="I2279" s="10">
        <f t="shared" si="645"/>
        <v>903.22580645161293</v>
      </c>
      <c r="J2279" s="16"/>
      <c r="K2279" s="15">
        <v>1</v>
      </c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>
        <v>2801</v>
      </c>
      <c r="F2280" s="15">
        <v>2806</v>
      </c>
      <c r="G2280" s="15">
        <f t="shared" si="646"/>
        <v>5</v>
      </c>
      <c r="H2280" s="16" t="s">
        <v>203</v>
      </c>
      <c r="I2280" s="10">
        <f t="shared" si="645"/>
        <v>903.22580645161293</v>
      </c>
      <c r="J2280" s="16"/>
      <c r="K2280" s="15">
        <v>1</v>
      </c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>
        <v>2806</v>
      </c>
      <c r="F2284" s="15">
        <v>2812</v>
      </c>
      <c r="G2284" s="15">
        <f t="shared" si="646"/>
        <v>6</v>
      </c>
      <c r="H2284" s="16" t="s">
        <v>203</v>
      </c>
      <c r="I2284" s="10">
        <f t="shared" si="645"/>
        <v>903.22580645161293</v>
      </c>
      <c r="J2284" s="16"/>
      <c r="K2284" s="15">
        <v>1</v>
      </c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4" t="str">
        <f>M$1</f>
        <v>BM JANEIRO 2026</v>
      </c>
      <c r="N2293" s="124"/>
      <c r="O2293" s="124"/>
      <c r="P2293" s="19" t="s">
        <v>10</v>
      </c>
      <c r="Q2293" s="125" t="s">
        <v>190</v>
      </c>
      <c r="R2293" s="125"/>
      <c r="S2293" s="125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4" t="str">
        <f>M$1</f>
        <v>BM JANEIRO 2026</v>
      </c>
      <c r="N2327" s="124"/>
      <c r="O2327" s="124"/>
      <c r="P2327" s="19" t="s">
        <v>10</v>
      </c>
      <c r="Q2327" s="125" t="s">
        <v>191</v>
      </c>
      <c r="R2327" s="125"/>
      <c r="S2327" s="125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17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4" t="str">
        <f>M$1</f>
        <v>BM JANEIRO 2026</v>
      </c>
      <c r="N2361" s="124"/>
      <c r="O2361" s="124"/>
      <c r="P2361" s="19" t="s">
        <v>10</v>
      </c>
      <c r="Q2361" s="125" t="s">
        <v>251</v>
      </c>
      <c r="R2361" s="125"/>
      <c r="S2361" s="125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>
        <v>952.2</v>
      </c>
      <c r="F2379" s="15">
        <v>953.2</v>
      </c>
      <c r="G2379" s="15">
        <f t="shared" si="673"/>
        <v>1</v>
      </c>
      <c r="H2379" s="16" t="s">
        <v>278</v>
      </c>
      <c r="I2379" s="10">
        <f t="shared" si="672"/>
        <v>464.51612903225805</v>
      </c>
      <c r="J2379" s="16"/>
      <c r="K2379" s="15">
        <v>1</v>
      </c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>
        <v>962.2</v>
      </c>
      <c r="F2382" s="15">
        <v>965</v>
      </c>
      <c r="G2382" s="15">
        <f t="shared" si="673"/>
        <v>2.7999999999999545</v>
      </c>
      <c r="H2382" s="16" t="s">
        <v>278</v>
      </c>
      <c r="I2382" s="10">
        <f t="shared" si="672"/>
        <v>464.51612903225805</v>
      </c>
      <c r="J2382" s="16"/>
      <c r="K2382" s="15">
        <v>1</v>
      </c>
      <c r="L2382" s="15">
        <v>80</v>
      </c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>
        <v>965</v>
      </c>
      <c r="F2383" s="15">
        <v>967.4</v>
      </c>
      <c r="G2383" s="15">
        <f t="shared" si="673"/>
        <v>2.3999999999999773</v>
      </c>
      <c r="H2383" s="16" t="s">
        <v>278</v>
      </c>
      <c r="I2383" s="10">
        <f t="shared" si="672"/>
        <v>464.51612903225805</v>
      </c>
      <c r="J2383" s="16"/>
      <c r="K2383" s="15">
        <v>1</v>
      </c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 t="s">
        <v>16</v>
      </c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 t="s">
        <v>16</v>
      </c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 t="s">
        <v>16</v>
      </c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4" t="str">
        <f>M$1</f>
        <v>BM JANEIRO 2026</v>
      </c>
      <c r="N2395" s="124"/>
      <c r="O2395" s="124"/>
      <c r="P2395" s="19" t="s">
        <v>10</v>
      </c>
      <c r="Q2395" s="125" t="s">
        <v>196</v>
      </c>
      <c r="R2395" s="125"/>
      <c r="S2395" s="125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19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4" t="str">
        <f>M$1</f>
        <v>BM JANEIRO 2026</v>
      </c>
      <c r="N2429" s="124"/>
      <c r="O2429" s="124"/>
      <c r="P2429" s="19" t="s">
        <v>10</v>
      </c>
      <c r="Q2429" s="135" t="s">
        <v>262</v>
      </c>
      <c r="R2429" s="135"/>
      <c r="S2429" s="135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19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4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4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4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4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 t="s">
        <v>16</v>
      </c>
      <c r="K2435" s="15"/>
      <c r="L2435" s="15"/>
      <c r="M2435" s="17"/>
      <c r="N2435" s="9"/>
      <c r="O2435" s="9"/>
      <c r="P2435" s="9"/>
      <c r="Q2435" s="9"/>
      <c r="R2435" s="84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4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4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4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4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4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4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4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4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4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4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>
        <v>1691.5</v>
      </c>
      <c r="F2446" s="15">
        <v>1694.1</v>
      </c>
      <c r="G2446" s="15">
        <f t="shared" si="696"/>
        <v>2.5999999999999091</v>
      </c>
      <c r="H2446" s="16" t="s">
        <v>203</v>
      </c>
      <c r="I2446" s="10">
        <f t="shared" si="694"/>
        <v>464.51612903225805</v>
      </c>
      <c r="J2446" s="16"/>
      <c r="K2446" s="15">
        <v>1</v>
      </c>
      <c r="L2446" s="15"/>
      <c r="M2446" s="17"/>
      <c r="N2446" s="9"/>
      <c r="O2446" s="18">
        <f t="shared" si="695"/>
        <v>0</v>
      </c>
      <c r="P2446" s="9"/>
      <c r="Q2446" s="9"/>
      <c r="R2446" s="84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>
        <v>1694.1</v>
      </c>
      <c r="F2447" s="15">
        <v>1695.9</v>
      </c>
      <c r="G2447" s="15">
        <f t="shared" si="696"/>
        <v>1.8000000000001819</v>
      </c>
      <c r="H2447" s="16" t="s">
        <v>203</v>
      </c>
      <c r="I2447" s="10">
        <f t="shared" si="694"/>
        <v>464.51612903225805</v>
      </c>
      <c r="J2447" s="16"/>
      <c r="K2447" s="15">
        <v>1</v>
      </c>
      <c r="L2447" s="15"/>
      <c r="M2447" s="17"/>
      <c r="N2447" s="9"/>
      <c r="O2447" s="18">
        <f t="shared" si="695"/>
        <v>0</v>
      </c>
      <c r="P2447" s="9"/>
      <c r="Q2447" s="9"/>
      <c r="R2447" s="84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>
        <v>1695.9</v>
      </c>
      <c r="F2448" s="15">
        <v>1703.4</v>
      </c>
      <c r="G2448" s="15">
        <f t="shared" si="696"/>
        <v>7.5</v>
      </c>
      <c r="H2448" s="16" t="s">
        <v>203</v>
      </c>
      <c r="I2448" s="10">
        <f t="shared" si="694"/>
        <v>464.51612903225805</v>
      </c>
      <c r="J2448" s="16"/>
      <c r="K2448" s="15">
        <v>1</v>
      </c>
      <c r="L2448" s="15"/>
      <c r="M2448" s="17"/>
      <c r="N2448" s="9"/>
      <c r="O2448" s="18">
        <f t="shared" si="695"/>
        <v>0</v>
      </c>
      <c r="P2448" s="9"/>
      <c r="Q2448" s="9"/>
      <c r="R2448" s="84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>
        <v>1</v>
      </c>
      <c r="L2449" s="15"/>
      <c r="M2449" s="17"/>
      <c r="N2449" s="9"/>
      <c r="O2449" s="18">
        <f t="shared" si="695"/>
        <v>0</v>
      </c>
      <c r="P2449" s="9"/>
      <c r="Q2449" s="9"/>
      <c r="R2449" s="84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/>
      <c r="K2450" s="15">
        <v>1</v>
      </c>
      <c r="L2450" s="15"/>
      <c r="M2450" s="17"/>
      <c r="N2450" s="9"/>
      <c r="O2450" s="18">
        <f t="shared" si="695"/>
        <v>0</v>
      </c>
      <c r="P2450" s="9"/>
      <c r="Q2450" s="9"/>
      <c r="R2450" s="84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/>
      <c r="K2451" s="15">
        <v>1</v>
      </c>
      <c r="L2451" s="15"/>
      <c r="M2451" s="17"/>
      <c r="N2451" s="9"/>
      <c r="O2451" s="18">
        <f t="shared" si="695"/>
        <v>0</v>
      </c>
      <c r="P2451" s="9"/>
      <c r="Q2451" s="9"/>
      <c r="R2451" s="84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/>
      <c r="K2452" s="15">
        <v>1</v>
      </c>
      <c r="L2452" s="15"/>
      <c r="M2452" s="17"/>
      <c r="N2452" s="9"/>
      <c r="O2452" s="18">
        <f t="shared" si="695"/>
        <v>0</v>
      </c>
      <c r="P2452" s="9"/>
      <c r="Q2452" s="9"/>
      <c r="R2452" s="84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/>
      <c r="K2453" s="15">
        <v>1</v>
      </c>
      <c r="L2453" s="15"/>
      <c r="M2453" s="17"/>
      <c r="N2453" s="9"/>
      <c r="O2453" s="18">
        <f t="shared" si="695"/>
        <v>0</v>
      </c>
      <c r="P2453" s="9"/>
      <c r="Q2453" s="9"/>
      <c r="R2453" s="84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/>
      <c r="K2454" s="15">
        <v>1</v>
      </c>
      <c r="L2454" s="15"/>
      <c r="M2454" s="17"/>
      <c r="N2454" s="9"/>
      <c r="O2454" s="18">
        <f t="shared" si="695"/>
        <v>0</v>
      </c>
      <c r="P2454" s="9"/>
      <c r="Q2454" s="9"/>
      <c r="R2454" s="84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/>
      <c r="K2455" s="15">
        <v>1</v>
      </c>
      <c r="L2455" s="15"/>
      <c r="M2455" s="17"/>
      <c r="N2455" s="9"/>
      <c r="O2455" s="18">
        <f t="shared" si="695"/>
        <v>0</v>
      </c>
      <c r="P2455" s="9"/>
      <c r="Q2455" s="9"/>
      <c r="R2455" s="84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/>
      <c r="K2456" s="15">
        <v>1</v>
      </c>
      <c r="L2456" s="15"/>
      <c r="M2456" s="17"/>
      <c r="N2456" s="9"/>
      <c r="O2456" s="18">
        <f t="shared" si="695"/>
        <v>0</v>
      </c>
      <c r="P2456" s="9"/>
      <c r="Q2456" s="9"/>
      <c r="R2456" s="84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>
        <v>1</v>
      </c>
      <c r="L2457" s="15"/>
      <c r="M2457" s="17"/>
      <c r="N2457" s="9"/>
      <c r="O2457" s="18">
        <f t="shared" si="695"/>
        <v>0</v>
      </c>
      <c r="P2457" s="9"/>
      <c r="Q2457" s="9"/>
      <c r="R2457" s="84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>
        <v>1</v>
      </c>
      <c r="L2458" s="15"/>
      <c r="M2458" s="17"/>
      <c r="N2458" s="9"/>
      <c r="O2458" s="18">
        <f>O2454</f>
        <v>0</v>
      </c>
      <c r="P2458" s="9"/>
      <c r="Q2458" s="9"/>
      <c r="R2458" s="84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>
        <v>1</v>
      </c>
      <c r="L2459" s="15"/>
      <c r="M2459" s="17"/>
      <c r="N2459" s="9"/>
      <c r="O2459" s="18">
        <f>O2455</f>
        <v>0</v>
      </c>
      <c r="P2459" s="9"/>
      <c r="Q2459" s="9"/>
      <c r="R2459" s="84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>
        <v>1</v>
      </c>
      <c r="L2460" s="15"/>
      <c r="M2460" s="17"/>
      <c r="N2460" s="9"/>
      <c r="O2460" s="18">
        <f>O2456</f>
        <v>0</v>
      </c>
      <c r="P2460" s="9"/>
      <c r="Q2460" s="9"/>
      <c r="R2460" s="84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>
        <v>1</v>
      </c>
      <c r="L2461" s="15"/>
      <c r="M2461" s="17"/>
      <c r="N2461" s="9"/>
      <c r="O2461" s="18">
        <f>O2457</f>
        <v>0</v>
      </c>
      <c r="P2461" s="9"/>
      <c r="Q2461" s="9"/>
      <c r="R2461" s="84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4" t="str">
        <f>M$1</f>
        <v>BM JANEIRO 2026</v>
      </c>
      <c r="N2463" s="124"/>
      <c r="O2463" s="124"/>
      <c r="P2463" s="19" t="s">
        <v>10</v>
      </c>
      <c r="Q2463" s="125" t="s">
        <v>192</v>
      </c>
      <c r="R2463" s="125"/>
      <c r="S2463" s="125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/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>
        <v>968</v>
      </c>
      <c r="F2481" s="15">
        <v>971</v>
      </c>
      <c r="G2481" s="15">
        <f t="shared" ref="G2481:G2495" si="706">F2481-E2481</f>
        <v>3</v>
      </c>
      <c r="H2481" s="16" t="s">
        <v>278</v>
      </c>
      <c r="I2481" s="10">
        <f t="shared" si="704"/>
        <v>464.51612903225805</v>
      </c>
      <c r="J2481" s="16"/>
      <c r="K2481" s="15">
        <v>1</v>
      </c>
      <c r="L2481" s="15">
        <v>111</v>
      </c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>
        <v>971</v>
      </c>
      <c r="F2482" s="69">
        <v>977</v>
      </c>
      <c r="G2482" s="15">
        <f t="shared" si="706"/>
        <v>6</v>
      </c>
      <c r="H2482" s="16" t="s">
        <v>278</v>
      </c>
      <c r="I2482" s="10">
        <f t="shared" si="704"/>
        <v>464.51612903225805</v>
      </c>
      <c r="J2482" s="16"/>
      <c r="K2482" s="15">
        <v>1</v>
      </c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>
        <v>977</v>
      </c>
      <c r="F2483" s="15">
        <v>981</v>
      </c>
      <c r="G2483" s="15">
        <f t="shared" si="706"/>
        <v>4</v>
      </c>
      <c r="H2483" s="16" t="s">
        <v>278</v>
      </c>
      <c r="I2483" s="10">
        <f t="shared" si="704"/>
        <v>464.51612903225805</v>
      </c>
      <c r="J2483" s="16"/>
      <c r="K2483" s="15">
        <v>1</v>
      </c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>
        <v>981</v>
      </c>
      <c r="F2484" s="15">
        <v>986</v>
      </c>
      <c r="G2484" s="15">
        <f t="shared" si="706"/>
        <v>5</v>
      </c>
      <c r="H2484" s="16" t="s">
        <v>278</v>
      </c>
      <c r="I2484" s="10">
        <f t="shared" si="704"/>
        <v>464.51612903225805</v>
      </c>
      <c r="J2484" s="16"/>
      <c r="K2484" s="15">
        <v>1</v>
      </c>
      <c r="L2484" s="15">
        <v>82</v>
      </c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>
        <v>986</v>
      </c>
      <c r="F2487" s="15">
        <v>991</v>
      </c>
      <c r="G2487" s="15">
        <f t="shared" si="706"/>
        <v>5</v>
      </c>
      <c r="H2487" s="16" t="s">
        <v>278</v>
      </c>
      <c r="I2487" s="10">
        <f t="shared" si="704"/>
        <v>464.51612903225805</v>
      </c>
      <c r="J2487" s="16"/>
      <c r="K2487" s="15">
        <v>1</v>
      </c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>
        <v>991</v>
      </c>
      <c r="F2488" s="15">
        <v>999</v>
      </c>
      <c r="G2488" s="15">
        <f t="shared" si="706"/>
        <v>8</v>
      </c>
      <c r="H2488" s="16" t="s">
        <v>278</v>
      </c>
      <c r="I2488" s="10">
        <f t="shared" si="704"/>
        <v>464.51612903225805</v>
      </c>
      <c r="J2488" s="16"/>
      <c r="K2488" s="15">
        <v>1</v>
      </c>
      <c r="L2488" s="15">
        <v>106</v>
      </c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>
        <v>999</v>
      </c>
      <c r="F2489" s="15">
        <v>1006</v>
      </c>
      <c r="G2489" s="15">
        <f t="shared" si="706"/>
        <v>7</v>
      </c>
      <c r="H2489" s="16" t="s">
        <v>278</v>
      </c>
      <c r="I2489" s="10">
        <f t="shared" si="704"/>
        <v>464.51612903225805</v>
      </c>
      <c r="J2489" s="16"/>
      <c r="K2489" s="15">
        <v>1</v>
      </c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4" t="str">
        <f>M$1</f>
        <v>BM JANEIRO 2026</v>
      </c>
      <c r="N2497" s="124"/>
      <c r="O2497" s="124"/>
      <c r="P2497" s="19" t="s">
        <v>10</v>
      </c>
      <c r="Q2497" s="125" t="s">
        <v>193</v>
      </c>
      <c r="R2497" s="125"/>
      <c r="S2497" s="125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4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4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4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4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4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4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4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4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4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4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4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4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4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4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4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4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4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4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4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4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4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4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4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4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4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4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4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4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4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4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4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4" t="str">
        <f>M$1</f>
        <v>BM JANEIRO 2026</v>
      </c>
      <c r="N2531" s="124"/>
      <c r="O2531" s="124"/>
      <c r="P2531" s="19" t="s">
        <v>10</v>
      </c>
      <c r="Q2531" s="125" t="s">
        <v>264</v>
      </c>
      <c r="R2531" s="125"/>
      <c r="S2531" s="125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>
        <v>1266.4000000000001</v>
      </c>
      <c r="F2542" s="15">
        <v>1275.0999999999999</v>
      </c>
      <c r="G2542" s="15">
        <f t="shared" si="723"/>
        <v>8.6999999999998181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>
        <v>1275.0999999999999</v>
      </c>
      <c r="F2543" s="15">
        <v>1280.5</v>
      </c>
      <c r="G2543" s="15">
        <f t="shared" si="723"/>
        <v>5.4000000000000909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>
        <v>1295.5999999999999</v>
      </c>
      <c r="F2547" s="15">
        <v>1298.7</v>
      </c>
      <c r="G2547" s="15">
        <f t="shared" si="723"/>
        <v>3.1000000000001364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>
        <v>1298.7</v>
      </c>
      <c r="F2548" s="15">
        <v>1301.5999999999999</v>
      </c>
      <c r="G2548" s="15">
        <f t="shared" si="723"/>
        <v>2.8999999999998636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4" t="str">
        <f>M$1</f>
        <v>BM JANEIRO 2026</v>
      </c>
      <c r="N2565" s="124"/>
      <c r="O2565" s="124"/>
      <c r="P2565" s="19" t="s">
        <v>10</v>
      </c>
      <c r="Q2565" s="125" t="s">
        <v>252</v>
      </c>
      <c r="R2565" s="125"/>
      <c r="S2565" s="125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>
        <f t="shared" ref="G2567:G2574" si="730">F2567-E2567</f>
        <v>0</v>
      </c>
      <c r="H2567" s="16" t="s">
        <v>261</v>
      </c>
      <c r="I2567" s="10">
        <f>P2567</f>
        <v>464.51612903225805</v>
      </c>
      <c r="J2567" s="16" t="s">
        <v>16</v>
      </c>
      <c r="K2567" s="15">
        <v>1</v>
      </c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>
        <f t="shared" si="730"/>
        <v>3.7999999999999545</v>
      </c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>
        <f t="shared" si="730"/>
        <v>3.4000000000000909</v>
      </c>
      <c r="H2569" s="16" t="s">
        <v>261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>
        <f t="shared" si="730"/>
        <v>1.2999999999999545</v>
      </c>
      <c r="H2570" s="16" t="s">
        <v>261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3"/>
      <c r="O2570" s="113"/>
      <c r="P2570" s="113"/>
      <c r="Q2570" s="113"/>
      <c r="R2570" s="113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>
        <f t="shared" si="730"/>
        <v>5.3999999999998636</v>
      </c>
      <c r="H2571" s="16" t="s">
        <v>261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>
        <f t="shared" si="730"/>
        <v>3.4000000000000909</v>
      </c>
      <c r="H2572" s="16" t="s">
        <v>261</v>
      </c>
      <c r="I2572" s="10">
        <f t="shared" si="733"/>
        <v>464.51612903225805</v>
      </c>
      <c r="J2572" s="16"/>
      <c r="K2572" s="15">
        <v>1</v>
      </c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>
        <f t="shared" si="730"/>
        <v>4.7000000000000455</v>
      </c>
      <c r="H2573" s="16" t="s">
        <v>261</v>
      </c>
      <c r="I2573" s="10">
        <f t="shared" si="733"/>
        <v>464.51612903225805</v>
      </c>
      <c r="J2573" s="16"/>
      <c r="K2573" s="15">
        <v>1</v>
      </c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29"/>
        <v>46089</v>
      </c>
      <c r="E2574" s="15"/>
      <c r="F2574" s="15"/>
      <c r="G2574" s="15">
        <f t="shared" si="730"/>
        <v>0</v>
      </c>
      <c r="H2574" s="16" t="s">
        <v>261</v>
      </c>
      <c r="I2574" s="10">
        <f t="shared" si="733"/>
        <v>464.51612903225805</v>
      </c>
      <c r="J2574" s="16" t="s">
        <v>16</v>
      </c>
      <c r="K2574" s="15">
        <v>1</v>
      </c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ref="G2575:G2597" si="734">F2575-E2575</f>
        <v>4.4000000000000909</v>
      </c>
      <c r="H2575" s="16" t="s">
        <v>261</v>
      </c>
      <c r="I2575" s="10">
        <f t="shared" si="733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29"/>
        <v>46091</v>
      </c>
      <c r="E2576" s="15">
        <v>1343.2</v>
      </c>
      <c r="F2576" s="15">
        <v>1348.5</v>
      </c>
      <c r="G2576" s="15">
        <f t="shared" si="734"/>
        <v>5.2999999999999545</v>
      </c>
      <c r="H2576" s="16" t="s">
        <v>261</v>
      </c>
      <c r="I2576" s="10">
        <f t="shared" si="733"/>
        <v>464.51612903225805</v>
      </c>
      <c r="J2576" s="16"/>
      <c r="K2576" s="15">
        <v>1</v>
      </c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29"/>
        <v>46092</v>
      </c>
      <c r="E2577" s="15">
        <v>1348.5</v>
      </c>
      <c r="F2577" s="15">
        <v>1352.5</v>
      </c>
      <c r="G2577" s="15">
        <f t="shared" si="734"/>
        <v>4</v>
      </c>
      <c r="H2577" s="16" t="s">
        <v>261</v>
      </c>
      <c r="I2577" s="10">
        <f t="shared" si="733"/>
        <v>464.51612903225805</v>
      </c>
      <c r="J2577" s="16"/>
      <c r="K2577" s="15">
        <v>1</v>
      </c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29"/>
        <v>46093</v>
      </c>
      <c r="E2578" s="15">
        <v>1352.5</v>
      </c>
      <c r="F2578" s="15">
        <v>1354.2</v>
      </c>
      <c r="G2578" s="15">
        <f t="shared" si="734"/>
        <v>1.7000000000000455</v>
      </c>
      <c r="H2578" s="16" t="s">
        <v>261</v>
      </c>
      <c r="I2578" s="10">
        <f t="shared" si="733"/>
        <v>464.51612903225805</v>
      </c>
      <c r="J2578" s="16"/>
      <c r="K2578" s="15">
        <v>1</v>
      </c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29"/>
        <v>46094</v>
      </c>
      <c r="E2579" s="15">
        <v>1354.2</v>
      </c>
      <c r="F2579" s="15">
        <v>1363.3</v>
      </c>
      <c r="G2579" s="15">
        <f t="shared" si="734"/>
        <v>9.0999999999999091</v>
      </c>
      <c r="H2579" s="16" t="s">
        <v>261</v>
      </c>
      <c r="I2579" s="10">
        <f t="shared" si="733"/>
        <v>464.51612903225805</v>
      </c>
      <c r="J2579" s="16"/>
      <c r="K2579" s="15">
        <v>1</v>
      </c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29"/>
        <v>46095</v>
      </c>
      <c r="E2580" s="15">
        <v>1363.3</v>
      </c>
      <c r="F2580" s="15">
        <v>1366</v>
      </c>
      <c r="G2580" s="15">
        <f t="shared" si="734"/>
        <v>2.7000000000000455</v>
      </c>
      <c r="H2580" s="16" t="s">
        <v>261</v>
      </c>
      <c r="I2580" s="10">
        <f t="shared" si="733"/>
        <v>464.51612903225805</v>
      </c>
      <c r="J2580" s="16"/>
      <c r="K2580" s="15">
        <v>1</v>
      </c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29"/>
        <v>46096</v>
      </c>
      <c r="E2581" s="15"/>
      <c r="F2581" s="15"/>
      <c r="G2581" s="15">
        <f t="shared" si="734"/>
        <v>0</v>
      </c>
      <c r="H2581" s="16" t="s">
        <v>261</v>
      </c>
      <c r="I2581" s="10">
        <f t="shared" si="733"/>
        <v>464.51612903225805</v>
      </c>
      <c r="J2581" s="16" t="s">
        <v>16</v>
      </c>
      <c r="K2581" s="15">
        <v>1</v>
      </c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29"/>
        <v>46097</v>
      </c>
      <c r="E2582" s="15">
        <v>1366</v>
      </c>
      <c r="F2582" s="15">
        <v>1369.4</v>
      </c>
      <c r="G2582" s="15">
        <f t="shared" si="734"/>
        <v>3.4000000000000909</v>
      </c>
      <c r="H2582" s="16" t="s">
        <v>261</v>
      </c>
      <c r="I2582" s="10">
        <f t="shared" si="733"/>
        <v>464.51612903225805</v>
      </c>
      <c r="J2582" s="16"/>
      <c r="K2582" s="15">
        <v>1</v>
      </c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29"/>
        <v>46098</v>
      </c>
      <c r="E2583" s="15"/>
      <c r="F2583" s="15"/>
      <c r="G2583" s="15">
        <f t="shared" si="734"/>
        <v>0</v>
      </c>
      <c r="H2583" s="16" t="s">
        <v>261</v>
      </c>
      <c r="I2583" s="10">
        <f t="shared" si="733"/>
        <v>464.51612903225805</v>
      </c>
      <c r="J2583" s="16" t="s">
        <v>16</v>
      </c>
      <c r="K2583" s="15">
        <v>1</v>
      </c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29"/>
        <v>46099</v>
      </c>
      <c r="E2584" s="15"/>
      <c r="F2584" s="15"/>
      <c r="G2584" s="15">
        <f t="shared" si="734"/>
        <v>0</v>
      </c>
      <c r="H2584" s="16" t="s">
        <v>261</v>
      </c>
      <c r="I2584" s="10">
        <f t="shared" si="733"/>
        <v>464.51612903225805</v>
      </c>
      <c r="J2584" s="16" t="s">
        <v>16</v>
      </c>
      <c r="K2584" s="15">
        <v>1</v>
      </c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29"/>
        <v>46100</v>
      </c>
      <c r="E2585" s="15"/>
      <c r="F2585" s="15"/>
      <c r="G2585" s="15">
        <f t="shared" si="734"/>
        <v>0</v>
      </c>
      <c r="H2585" s="16" t="s">
        <v>261</v>
      </c>
      <c r="I2585" s="10">
        <f t="shared" si="733"/>
        <v>464.51612903225805</v>
      </c>
      <c r="J2585" s="16" t="s">
        <v>16</v>
      </c>
      <c r="K2585" s="15">
        <v>1</v>
      </c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29"/>
        <v>46101</v>
      </c>
      <c r="E2586" s="15"/>
      <c r="F2586" s="15"/>
      <c r="G2586" s="15">
        <f t="shared" si="734"/>
        <v>0</v>
      </c>
      <c r="H2586" s="16" t="s">
        <v>261</v>
      </c>
      <c r="I2586" s="10">
        <f t="shared" si="733"/>
        <v>464.51612903225805</v>
      </c>
      <c r="J2586" s="16" t="s">
        <v>16</v>
      </c>
      <c r="K2586" s="15">
        <v>1</v>
      </c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29"/>
        <v>46102</v>
      </c>
      <c r="E2587" s="15"/>
      <c r="F2587" s="15"/>
      <c r="G2587" s="15">
        <f t="shared" si="734"/>
        <v>0</v>
      </c>
      <c r="H2587" s="16" t="s">
        <v>261</v>
      </c>
      <c r="I2587" s="10">
        <f t="shared" si="733"/>
        <v>464.51612903225805</v>
      </c>
      <c r="J2587" s="16" t="s">
        <v>16</v>
      </c>
      <c r="K2587" s="15">
        <v>1</v>
      </c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29"/>
        <v>46103</v>
      </c>
      <c r="E2588" s="15"/>
      <c r="F2588" s="15"/>
      <c r="G2588" s="15">
        <f t="shared" si="734"/>
        <v>0</v>
      </c>
      <c r="H2588" s="16" t="s">
        <v>261</v>
      </c>
      <c r="I2588" s="10">
        <f t="shared" si="733"/>
        <v>464.51612903225805</v>
      </c>
      <c r="J2588" s="16" t="s">
        <v>16</v>
      </c>
      <c r="K2588" s="15">
        <v>1</v>
      </c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29"/>
        <v>46104</v>
      </c>
      <c r="E2589" s="15"/>
      <c r="F2589" s="15"/>
      <c r="G2589" s="15">
        <f t="shared" si="734"/>
        <v>0</v>
      </c>
      <c r="H2589" s="16" t="s">
        <v>261</v>
      </c>
      <c r="I2589" s="10">
        <f t="shared" si="733"/>
        <v>464.51612903225805</v>
      </c>
      <c r="J2589" s="16" t="s">
        <v>16</v>
      </c>
      <c r="K2589" s="15">
        <v>1</v>
      </c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29"/>
        <v>46105</v>
      </c>
      <c r="E2590" s="15"/>
      <c r="F2590" s="15"/>
      <c r="G2590" s="15">
        <f t="shared" si="734"/>
        <v>0</v>
      </c>
      <c r="H2590" s="16" t="s">
        <v>261</v>
      </c>
      <c r="I2590" s="10">
        <f t="shared" si="733"/>
        <v>464.51612903225805</v>
      </c>
      <c r="J2590" s="16" t="s">
        <v>16</v>
      </c>
      <c r="K2590" s="15">
        <v>1</v>
      </c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29"/>
        <v>46106</v>
      </c>
      <c r="E2591" s="15"/>
      <c r="F2591" s="15"/>
      <c r="G2591" s="15">
        <f t="shared" si="734"/>
        <v>0</v>
      </c>
      <c r="H2591" s="16" t="s">
        <v>261</v>
      </c>
      <c r="I2591" s="10">
        <f t="shared" si="733"/>
        <v>464.51612903225805</v>
      </c>
      <c r="J2591" s="16" t="s">
        <v>16</v>
      </c>
      <c r="K2591" s="15">
        <v>1</v>
      </c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29"/>
        <v>46107</v>
      </c>
      <c r="E2592" s="15"/>
      <c r="F2592" s="15"/>
      <c r="G2592" s="15">
        <f t="shared" si="734"/>
        <v>0</v>
      </c>
      <c r="H2592" s="16" t="s">
        <v>261</v>
      </c>
      <c r="I2592" s="10">
        <f t="shared" si="733"/>
        <v>464.51612903225805</v>
      </c>
      <c r="J2592" s="16" t="s">
        <v>16</v>
      </c>
      <c r="K2592" s="15">
        <v>1</v>
      </c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29"/>
        <v>46108</v>
      </c>
      <c r="E2593" s="15"/>
      <c r="F2593" s="15"/>
      <c r="G2593" s="15">
        <f t="shared" si="734"/>
        <v>0</v>
      </c>
      <c r="H2593" s="16" t="s">
        <v>261</v>
      </c>
      <c r="I2593" s="10">
        <f t="shared" si="733"/>
        <v>464.51612903225805</v>
      </c>
      <c r="J2593" s="16" t="s">
        <v>16</v>
      </c>
      <c r="K2593" s="15">
        <v>1</v>
      </c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si="734"/>
        <v>0</v>
      </c>
      <c r="H2594" s="16" t="s">
        <v>261</v>
      </c>
      <c r="I2594" s="10">
        <f>I2590</f>
        <v>464.51612903225805</v>
      </c>
      <c r="J2594" s="16" t="s">
        <v>16</v>
      </c>
      <c r="K2594" s="15">
        <v>1</v>
      </c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4"/>
        <v>0</v>
      </c>
      <c r="H2595" s="16" t="s">
        <v>261</v>
      </c>
      <c r="I2595" s="10">
        <f>I2591</f>
        <v>464.51612903225805</v>
      </c>
      <c r="J2595" s="16" t="s">
        <v>16</v>
      </c>
      <c r="K2595" s="15">
        <v>1</v>
      </c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8"/>
        <v>46111</v>
      </c>
      <c r="E2596" s="15"/>
      <c r="F2596" s="15"/>
      <c r="G2596" s="15">
        <f t="shared" si="734"/>
        <v>0</v>
      </c>
      <c r="H2596" s="16" t="s">
        <v>261</v>
      </c>
      <c r="I2596" s="10">
        <f>I2592</f>
        <v>464.51612903225805</v>
      </c>
      <c r="J2596" s="16" t="s">
        <v>16</v>
      </c>
      <c r="K2596" s="15">
        <v>1</v>
      </c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8"/>
        <v>46112</v>
      </c>
      <c r="E2597" s="15"/>
      <c r="F2597" s="15"/>
      <c r="G2597" s="15">
        <f t="shared" si="734"/>
        <v>0</v>
      </c>
      <c r="H2597" s="16" t="s">
        <v>261</v>
      </c>
      <c r="I2597" s="10">
        <f>I2593</f>
        <v>464.51612903225805</v>
      </c>
      <c r="J2597" s="16" t="s">
        <v>16</v>
      </c>
      <c r="K2597" s="15">
        <v>1</v>
      </c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4" t="str">
        <f>M$1</f>
        <v>BM JANEIRO 2026</v>
      </c>
      <c r="N2599" s="124"/>
      <c r="O2599" s="124"/>
      <c r="P2599" s="19" t="s">
        <v>10</v>
      </c>
      <c r="Q2599" s="125" t="s">
        <v>194</v>
      </c>
      <c r="R2599" s="125"/>
      <c r="S2599" s="125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>
        <v>53998</v>
      </c>
      <c r="F2623" s="15">
        <v>54118</v>
      </c>
      <c r="G2623" s="15">
        <f t="shared" si="742"/>
        <v>120</v>
      </c>
      <c r="H2623" s="16" t="s">
        <v>278</v>
      </c>
      <c r="I2623" s="10">
        <f t="shared" si="743"/>
        <v>645.16129032258061</v>
      </c>
      <c r="J2623" s="16"/>
      <c r="K2623" s="15">
        <v>1</v>
      </c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>
        <v>54118</v>
      </c>
      <c r="F2624" s="15">
        <v>54168</v>
      </c>
      <c r="G2624" s="15">
        <f t="shared" si="742"/>
        <v>50</v>
      </c>
      <c r="H2624" s="16" t="s">
        <v>278</v>
      </c>
      <c r="I2624" s="10">
        <f t="shared" si="743"/>
        <v>645.16129032258061</v>
      </c>
      <c r="J2624" s="16"/>
      <c r="K2624" s="15">
        <v>1</v>
      </c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4" t="str">
        <f>M$1</f>
        <v>BM JANEIRO 2026</v>
      </c>
      <c r="N2633" s="124"/>
      <c r="O2633" s="124"/>
      <c r="P2633" s="19" t="s">
        <v>10</v>
      </c>
      <c r="Q2633" s="125" t="s">
        <v>254</v>
      </c>
      <c r="R2633" s="125"/>
      <c r="S2633" s="125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4" t="str">
        <f>M$1</f>
        <v>BM JANEIRO 2026</v>
      </c>
      <c r="N2667" s="124"/>
      <c r="O2667" s="124"/>
      <c r="P2667" s="19" t="s">
        <v>10</v>
      </c>
      <c r="Q2667" s="125"/>
      <c r="R2667" s="125"/>
      <c r="S2667" s="125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4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4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4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4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4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4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4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4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4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4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4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4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4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4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4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4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4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4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4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4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4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4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4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4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4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4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4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4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4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4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4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4" t="str">
        <f>M$1</f>
        <v>BM JANEIRO 2026</v>
      </c>
      <c r="N2701" s="124"/>
      <c r="O2701" s="124"/>
      <c r="P2701" s="19" t="s">
        <v>10</v>
      </c>
      <c r="Q2701" s="125"/>
      <c r="R2701" s="125"/>
      <c r="S2701" s="125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4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4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4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4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4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4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4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4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4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4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4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4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4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4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4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4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4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4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4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4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4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4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4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4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4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4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4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4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4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4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4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4" t="str">
        <f>M$1</f>
        <v>BM JANEIRO 2026</v>
      </c>
      <c r="N2735" s="124"/>
      <c r="O2735" s="124"/>
      <c r="P2735" s="19" t="s">
        <v>10</v>
      </c>
      <c r="Q2735" s="125"/>
      <c r="R2735" s="125"/>
      <c r="S2735" s="125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4" t="str">
        <f>M$1</f>
        <v>BM JANEIRO 2026</v>
      </c>
      <c r="N2769" s="124"/>
      <c r="O2769" s="124"/>
      <c r="P2769" s="19" t="s">
        <v>10</v>
      </c>
      <c r="Q2769" s="125"/>
      <c r="R2769" s="125"/>
      <c r="S2769" s="125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4" t="str">
        <f>M$1</f>
        <v>BM JANEIRO 2026</v>
      </c>
      <c r="N2803" s="124"/>
      <c r="O2803" s="124"/>
      <c r="P2803" s="19" t="s">
        <v>10</v>
      </c>
      <c r="Q2803" s="125"/>
      <c r="R2803" s="125"/>
      <c r="S2803" s="125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4" t="str">
        <f>M$1</f>
        <v>BM JANEIRO 2026</v>
      </c>
      <c r="N2837" s="124"/>
      <c r="O2837" s="124"/>
      <c r="P2837" s="19" t="s">
        <v>10</v>
      </c>
      <c r="Q2837" s="125"/>
      <c r="R2837" s="125"/>
      <c r="S2837" s="125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4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4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4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4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4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4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4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4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4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4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4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4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4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4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4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4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4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4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4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4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4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4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4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4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4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4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4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4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4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4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4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4" t="str">
        <f>M$1</f>
        <v>BM JANEIRO 2026</v>
      </c>
      <c r="N2871" s="124"/>
      <c r="O2871" s="124"/>
      <c r="P2871" s="19" t="s">
        <v>10</v>
      </c>
      <c r="Q2871" s="125"/>
      <c r="R2871" s="125"/>
      <c r="S2871" s="125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O2874/30</f>
        <v>166.66666666666666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4" t="str">
        <f>M$1</f>
        <v>BM JANEIRO 2026</v>
      </c>
      <c r="N2905" s="124"/>
      <c r="O2905" s="124"/>
      <c r="P2905" s="19" t="s">
        <v>10</v>
      </c>
      <c r="Q2905" s="125"/>
      <c r="R2905" s="125"/>
      <c r="S2905" s="125"/>
    </row>
    <row r="2906" spans="2:19" ht="12" customHeight="1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outlineLevel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121</v>
      </c>
      <c r="F2907" s="15">
        <v>127</v>
      </c>
      <c r="G2907" s="15">
        <f t="shared" ref="G2907" si="838">F2907-E2907</f>
        <v>6</v>
      </c>
      <c r="H2907" s="74" t="s">
        <v>357</v>
      </c>
      <c r="I2907" s="10">
        <f>P2907</f>
        <v>1129.0322580645161</v>
      </c>
      <c r="J2907" s="16" t="s">
        <v>16</v>
      </c>
      <c r="K2907" s="15"/>
      <c r="L2907" s="15"/>
      <c r="M2907" s="17"/>
      <c r="N2907" s="8"/>
      <c r="O2907" s="113">
        <v>35000</v>
      </c>
      <c r="P2907" s="113">
        <f>O2907/31</f>
        <v>1129.0322580645161</v>
      </c>
      <c r="Q2907" s="9"/>
      <c r="R2907" s="9"/>
      <c r="S2907" s="10">
        <f>P2907+Q2907+R2907</f>
        <v>1129.0322580645161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ref="G2908:G2916" si="839">F2908-E2908</f>
        <v>6</v>
      </c>
      <c r="H2908" s="74" t="s">
        <v>357</v>
      </c>
      <c r="I2908" s="10">
        <f>P2907</f>
        <v>1129.0322580645161</v>
      </c>
      <c r="J2908" s="16"/>
      <c r="K2908" s="15">
        <v>1</v>
      </c>
      <c r="L2908" s="15"/>
      <c r="M2908" s="16"/>
      <c r="N2908" s="8"/>
      <c r="O2908" s="113"/>
      <c r="P2908" s="113"/>
      <c r="Q2908" s="9"/>
      <c r="R2908" s="9"/>
      <c r="S2908" s="10">
        <f t="shared" ref="S2908:S2937" si="840">P2908+Q2908+R2908</f>
        <v>0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357</v>
      </c>
      <c r="I2909" s="10">
        <f>P2907</f>
        <v>1129.0322580645161</v>
      </c>
      <c r="J2909" s="16"/>
      <c r="K2909" s="15">
        <v>1</v>
      </c>
      <c r="L2909" s="15"/>
      <c r="M2909" s="16"/>
      <c r="N2909" s="8"/>
      <c r="O2909" s="113"/>
      <c r="P2909" s="113">
        <f>O2909/28</f>
        <v>0</v>
      </c>
      <c r="Q2909" s="9"/>
      <c r="R2909" s="9"/>
      <c r="S2909" s="10">
        <f t="shared" si="840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357</v>
      </c>
      <c r="I2910" s="10">
        <f>P2907</f>
        <v>1129.0322580645161</v>
      </c>
      <c r="J2910" s="16"/>
      <c r="K2910" s="15">
        <v>1</v>
      </c>
      <c r="L2910" s="15"/>
      <c r="M2910" s="16"/>
      <c r="N2910" s="8"/>
      <c r="O2910" s="113"/>
      <c r="P2910" s="113">
        <f t="shared" ref="P2910:P2937" si="841">O2910/31</f>
        <v>0</v>
      </c>
      <c r="Q2910" s="9"/>
      <c r="R2910" s="9"/>
      <c r="S2910" s="10">
        <f t="shared" si="840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357</v>
      </c>
      <c r="I2911" s="10">
        <f>P2907</f>
        <v>1129.0322580645161</v>
      </c>
      <c r="J2911" s="16"/>
      <c r="K2911" s="15">
        <v>1</v>
      </c>
      <c r="L2911" s="15"/>
      <c r="M2911" s="16"/>
      <c r="N2911" s="8"/>
      <c r="O2911" s="113"/>
      <c r="P2911" s="113">
        <f t="shared" si="841"/>
        <v>0</v>
      </c>
      <c r="Q2911" s="9"/>
      <c r="R2911" s="9"/>
      <c r="S2911" s="10">
        <f t="shared" si="840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357</v>
      </c>
      <c r="I2912" s="10">
        <f>P2907</f>
        <v>1129.0322580645161</v>
      </c>
      <c r="J2912" s="16" t="s">
        <v>16</v>
      </c>
      <c r="K2912" s="15"/>
      <c r="L2912" s="15"/>
      <c r="M2912" s="16"/>
      <c r="N2912" s="8"/>
      <c r="O2912" s="113"/>
      <c r="P2912" s="113">
        <f t="shared" si="841"/>
        <v>0</v>
      </c>
      <c r="Q2912" s="9"/>
      <c r="R2912" s="9"/>
      <c r="S2912" s="10">
        <f t="shared" si="840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9"/>
        <v>0</v>
      </c>
      <c r="H2913" s="74" t="s">
        <v>357</v>
      </c>
      <c r="I2913" s="10">
        <f>P2907</f>
        <v>1129.0322580645161</v>
      </c>
      <c r="J2913" s="16" t="s">
        <v>16</v>
      </c>
      <c r="K2913" s="15"/>
      <c r="L2913" s="15"/>
      <c r="M2913" s="16"/>
      <c r="N2913" s="8"/>
      <c r="O2913" s="113"/>
      <c r="P2913" s="113">
        <f t="shared" si="841"/>
        <v>0</v>
      </c>
      <c r="Q2913" s="9"/>
      <c r="R2913" s="9"/>
      <c r="S2913" s="10">
        <f t="shared" si="840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9"/>
        <v>0</v>
      </c>
      <c r="H2914" s="74" t="s">
        <v>357</v>
      </c>
      <c r="I2914" s="10">
        <f>P2907</f>
        <v>1129.0322580645161</v>
      </c>
      <c r="J2914" s="16" t="s">
        <v>16</v>
      </c>
      <c r="K2914" s="15"/>
      <c r="L2914" s="15"/>
      <c r="M2914" s="16"/>
      <c r="N2914" s="8"/>
      <c r="O2914" s="113"/>
      <c r="P2914" s="113">
        <f t="shared" si="841"/>
        <v>0</v>
      </c>
      <c r="Q2914" s="9"/>
      <c r="R2914" s="9"/>
      <c r="S2914" s="10">
        <f t="shared" si="840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9"/>
        <v>0</v>
      </c>
      <c r="H2915" s="74" t="s">
        <v>357</v>
      </c>
      <c r="I2915" s="10">
        <f>P2907</f>
        <v>1129.0322580645161</v>
      </c>
      <c r="J2915" s="16" t="s">
        <v>16</v>
      </c>
      <c r="K2915" s="15"/>
      <c r="L2915" s="15"/>
      <c r="M2915" s="16"/>
      <c r="N2915" s="8"/>
      <c r="O2915" s="113"/>
      <c r="P2915" s="113">
        <f t="shared" si="841"/>
        <v>0</v>
      </c>
      <c r="Q2915" s="9"/>
      <c r="R2915" s="9"/>
      <c r="S2915" s="10">
        <f t="shared" si="840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9"/>
        <v>0</v>
      </c>
      <c r="H2916" s="74" t="s">
        <v>357</v>
      </c>
      <c r="I2916" s="10">
        <f>P2907</f>
        <v>1129.0322580645161</v>
      </c>
      <c r="J2916" s="16" t="s">
        <v>16</v>
      </c>
      <c r="K2916" s="15"/>
      <c r="L2916" s="15"/>
      <c r="M2916" s="16"/>
      <c r="N2916" s="8"/>
      <c r="O2916" s="113"/>
      <c r="P2916" s="113">
        <f t="shared" si="841"/>
        <v>0</v>
      </c>
      <c r="Q2916" s="9"/>
      <c r="R2916" s="9"/>
      <c r="S2916" s="10">
        <f t="shared" si="840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>P2907</f>
        <v>1129.0322580645161</v>
      </c>
      <c r="J2917" s="16"/>
      <c r="K2917" s="15">
        <v>1</v>
      </c>
      <c r="L2917" s="15"/>
      <c r="M2917" s="16"/>
      <c r="N2917" s="8"/>
      <c r="O2917" s="113"/>
      <c r="P2917" s="113">
        <f t="shared" si="841"/>
        <v>0</v>
      </c>
      <c r="Q2917" s="9"/>
      <c r="R2917" s="9"/>
      <c r="S2917" s="10">
        <f t="shared" si="840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2">F2918-E2918</f>
        <v>1</v>
      </c>
      <c r="H2918" s="74" t="s">
        <v>357</v>
      </c>
      <c r="I2918" s="10">
        <f>P2907</f>
        <v>1129.0322580645161</v>
      </c>
      <c r="J2918" s="16"/>
      <c r="K2918" s="15">
        <v>1</v>
      </c>
      <c r="L2918" s="15"/>
      <c r="M2918" s="16"/>
      <c r="N2918" s="8"/>
      <c r="O2918" s="113"/>
      <c r="P2918" s="113">
        <f t="shared" si="841"/>
        <v>0</v>
      </c>
      <c r="Q2918" s="9"/>
      <c r="R2918" s="9"/>
      <c r="S2918" s="10">
        <f t="shared" si="840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2"/>
        <v>0</v>
      </c>
      <c r="H2919" s="74" t="s">
        <v>357</v>
      </c>
      <c r="I2919" s="10">
        <f>P2907</f>
        <v>1129.0322580645161</v>
      </c>
      <c r="J2919" s="16" t="s">
        <v>16</v>
      </c>
      <c r="K2919" s="15"/>
      <c r="L2919" s="15"/>
      <c r="M2919" s="16"/>
      <c r="N2919" s="8"/>
      <c r="O2919" s="113"/>
      <c r="P2919" s="113">
        <f t="shared" si="841"/>
        <v>0</v>
      </c>
      <c r="Q2919" s="9"/>
      <c r="R2919" s="9"/>
      <c r="S2919" s="10">
        <f t="shared" si="840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2"/>
        <v>0</v>
      </c>
      <c r="H2920" s="74" t="s">
        <v>357</v>
      </c>
      <c r="I2920" s="10">
        <f>P2907</f>
        <v>1129.0322580645161</v>
      </c>
      <c r="J2920" s="16" t="s">
        <v>16</v>
      </c>
      <c r="K2920" s="15"/>
      <c r="L2920" s="15"/>
      <c r="M2920" s="16"/>
      <c r="N2920" s="8"/>
      <c r="O2920" s="113"/>
      <c r="P2920" s="113">
        <f t="shared" si="841"/>
        <v>0</v>
      </c>
      <c r="Q2920" s="9"/>
      <c r="R2920" s="9"/>
      <c r="S2920" s="10">
        <f t="shared" si="840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2"/>
        <v>0</v>
      </c>
      <c r="H2921" s="74" t="s">
        <v>357</v>
      </c>
      <c r="I2921" s="10">
        <f>P2907</f>
        <v>1129.0322580645161</v>
      </c>
      <c r="J2921" s="16" t="s">
        <v>16</v>
      </c>
      <c r="K2921" s="15"/>
      <c r="L2921" s="15"/>
      <c r="M2921" s="16"/>
      <c r="N2921" s="8"/>
      <c r="O2921" s="113"/>
      <c r="P2921" s="113">
        <f t="shared" si="841"/>
        <v>0</v>
      </c>
      <c r="Q2921" s="9"/>
      <c r="R2921" s="9"/>
      <c r="S2921" s="10">
        <f t="shared" si="840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>
        <v>162</v>
      </c>
      <c r="F2922" s="15">
        <v>169</v>
      </c>
      <c r="G2922" s="15">
        <f t="shared" si="842"/>
        <v>7</v>
      </c>
      <c r="H2922" s="74" t="s">
        <v>357</v>
      </c>
      <c r="I2922" s="10">
        <f>P2907</f>
        <v>1129.0322580645161</v>
      </c>
      <c r="J2922" s="16"/>
      <c r="K2922" s="15">
        <v>1</v>
      </c>
      <c r="L2922" s="15"/>
      <c r="M2922" s="16"/>
      <c r="N2922" s="8"/>
      <c r="O2922" s="113"/>
      <c r="P2922" s="113">
        <f t="shared" si="841"/>
        <v>0</v>
      </c>
      <c r="Q2922" s="9"/>
      <c r="R2922" s="9"/>
      <c r="S2922" s="10">
        <f t="shared" si="840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>
        <v>169</v>
      </c>
      <c r="F2923" s="15">
        <v>179</v>
      </c>
      <c r="G2923" s="15">
        <f t="shared" si="842"/>
        <v>10</v>
      </c>
      <c r="H2923" s="74" t="s">
        <v>357</v>
      </c>
      <c r="I2923" s="10">
        <f>P2907</f>
        <v>1129.0322580645161</v>
      </c>
      <c r="J2923" s="16"/>
      <c r="K2923" s="15">
        <v>1</v>
      </c>
      <c r="L2923" s="15"/>
      <c r="M2923" s="16"/>
      <c r="N2923" s="8"/>
      <c r="O2923" s="113"/>
      <c r="P2923" s="113">
        <f t="shared" si="841"/>
        <v>0</v>
      </c>
      <c r="Q2923" s="9"/>
      <c r="R2923" s="9"/>
      <c r="S2923" s="10">
        <f t="shared" si="840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2"/>
        <v>0</v>
      </c>
      <c r="H2924" s="74" t="s">
        <v>357</v>
      </c>
      <c r="I2924" s="10">
        <f>P2907</f>
        <v>1129.0322580645161</v>
      </c>
      <c r="J2924" s="16" t="s">
        <v>16</v>
      </c>
      <c r="K2924" s="15"/>
      <c r="L2924" s="15"/>
      <c r="M2924" s="16"/>
      <c r="N2924" s="8"/>
      <c r="O2924" s="113"/>
      <c r="P2924" s="113">
        <f t="shared" si="841"/>
        <v>0</v>
      </c>
      <c r="Q2924" s="9"/>
      <c r="R2924" s="9"/>
      <c r="S2924" s="10">
        <f t="shared" si="840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2"/>
        <v>0</v>
      </c>
      <c r="H2925" s="74" t="s">
        <v>357</v>
      </c>
      <c r="I2925" s="10">
        <f>P2907</f>
        <v>1129.0322580645161</v>
      </c>
      <c r="J2925" s="16" t="s">
        <v>16</v>
      </c>
      <c r="K2925" s="15"/>
      <c r="L2925" s="15"/>
      <c r="M2925" s="16"/>
      <c r="N2925" s="8"/>
      <c r="O2925" s="113"/>
      <c r="P2925" s="113">
        <f t="shared" si="841"/>
        <v>0</v>
      </c>
      <c r="Q2925" s="9"/>
      <c r="R2925" s="9"/>
      <c r="S2925" s="10">
        <f t="shared" si="840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>
        <v>179</v>
      </c>
      <c r="F2926" s="15">
        <v>186</v>
      </c>
      <c r="G2926" s="15">
        <f t="shared" si="842"/>
        <v>7</v>
      </c>
      <c r="H2926" s="74" t="s">
        <v>357</v>
      </c>
      <c r="I2926" s="10">
        <f>P2907</f>
        <v>1129.0322580645161</v>
      </c>
      <c r="J2926" s="16"/>
      <c r="K2926" s="15">
        <v>1</v>
      </c>
      <c r="L2926" s="15"/>
      <c r="M2926" s="16"/>
      <c r="N2926" s="8"/>
      <c r="O2926" s="113"/>
      <c r="P2926" s="113">
        <f t="shared" si="841"/>
        <v>0</v>
      </c>
      <c r="Q2926" s="9"/>
      <c r="R2926" s="9"/>
      <c r="S2926" s="10">
        <f t="shared" si="840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>
        <v>186</v>
      </c>
      <c r="F2927" s="15">
        <v>190</v>
      </c>
      <c r="G2927" s="15">
        <f t="shared" si="842"/>
        <v>4</v>
      </c>
      <c r="H2927" s="74" t="s">
        <v>357</v>
      </c>
      <c r="I2927" s="10">
        <f>P2907</f>
        <v>1129.0322580645161</v>
      </c>
      <c r="J2927" s="16"/>
      <c r="K2927" s="15">
        <v>1</v>
      </c>
      <c r="L2927" s="15"/>
      <c r="M2927" s="16"/>
      <c r="N2927" s="8"/>
      <c r="O2927" s="113"/>
      <c r="P2927" s="113">
        <f t="shared" si="841"/>
        <v>0</v>
      </c>
      <c r="Q2927" s="9"/>
      <c r="R2927" s="9"/>
      <c r="S2927" s="10">
        <f t="shared" si="840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2"/>
        <v>0</v>
      </c>
      <c r="H2928" s="74" t="s">
        <v>357</v>
      </c>
      <c r="I2928" s="10">
        <f>P2907</f>
        <v>1129.0322580645161</v>
      </c>
      <c r="J2928" s="16" t="s">
        <v>16</v>
      </c>
      <c r="K2928" s="15"/>
      <c r="L2928" s="15"/>
      <c r="M2928" s="16"/>
      <c r="N2928" s="8"/>
      <c r="O2928" s="113"/>
      <c r="P2928" s="113">
        <f t="shared" si="841"/>
        <v>0</v>
      </c>
      <c r="Q2928" s="9"/>
      <c r="R2928" s="9"/>
      <c r="S2928" s="10">
        <f t="shared" si="840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>
        <v>190</v>
      </c>
      <c r="F2929" s="15">
        <v>192</v>
      </c>
      <c r="G2929" s="15">
        <f t="shared" si="842"/>
        <v>2</v>
      </c>
      <c r="H2929" s="74" t="s">
        <v>357</v>
      </c>
      <c r="I2929" s="10">
        <f>P2907</f>
        <v>1129.0322580645161</v>
      </c>
      <c r="J2929" s="16" t="s">
        <v>16</v>
      </c>
      <c r="K2929" s="15"/>
      <c r="L2929" s="15"/>
      <c r="M2929" s="16"/>
      <c r="N2929" s="8"/>
      <c r="O2929" s="113"/>
      <c r="P2929" s="113">
        <f t="shared" si="841"/>
        <v>0</v>
      </c>
      <c r="Q2929" s="9"/>
      <c r="R2929" s="9"/>
      <c r="S2929" s="10">
        <f t="shared" si="840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>
        <v>192</v>
      </c>
      <c r="F2930" s="15">
        <v>196</v>
      </c>
      <c r="G2930" s="15">
        <f t="shared" si="842"/>
        <v>4</v>
      </c>
      <c r="H2930" s="74" t="s">
        <v>357</v>
      </c>
      <c r="I2930" s="10">
        <f>P2907</f>
        <v>1129.0322580645161</v>
      </c>
      <c r="J2930" s="16" t="s">
        <v>16</v>
      </c>
      <c r="K2930" s="15"/>
      <c r="L2930" s="15"/>
      <c r="M2930" s="16"/>
      <c r="N2930" s="8"/>
      <c r="O2930" s="113"/>
      <c r="P2930" s="113">
        <f t="shared" si="841"/>
        <v>0</v>
      </c>
      <c r="Q2930" s="9"/>
      <c r="R2930" s="9"/>
      <c r="S2930" s="10">
        <f t="shared" si="840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>
        <v>196</v>
      </c>
      <c r="F2931" s="15">
        <v>205</v>
      </c>
      <c r="G2931" s="15">
        <f t="shared" si="842"/>
        <v>9</v>
      </c>
      <c r="H2931" s="74" t="s">
        <v>357</v>
      </c>
      <c r="I2931" s="10">
        <f>P2907</f>
        <v>1129.0322580645161</v>
      </c>
      <c r="J2931" s="16"/>
      <c r="K2931" s="15">
        <v>1</v>
      </c>
      <c r="L2931" s="15"/>
      <c r="M2931" s="16"/>
      <c r="N2931" s="8"/>
      <c r="O2931" s="113"/>
      <c r="P2931" s="113">
        <f t="shared" si="841"/>
        <v>0</v>
      </c>
      <c r="Q2931" s="9"/>
      <c r="R2931" s="9"/>
      <c r="S2931" s="10">
        <f t="shared" si="840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2"/>
        <v>0</v>
      </c>
      <c r="H2932" s="74" t="s">
        <v>357</v>
      </c>
      <c r="I2932" s="10">
        <f>P2907</f>
        <v>1129.0322580645161</v>
      </c>
      <c r="J2932" s="16" t="s">
        <v>16</v>
      </c>
      <c r="K2932" s="15"/>
      <c r="L2932" s="15"/>
      <c r="M2932" s="16"/>
      <c r="N2932" s="8"/>
      <c r="O2932" s="113"/>
      <c r="P2932" s="113">
        <f t="shared" si="841"/>
        <v>0</v>
      </c>
      <c r="Q2932" s="9"/>
      <c r="R2932" s="9"/>
      <c r="S2932" s="10">
        <f t="shared" si="840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2"/>
        <v>0</v>
      </c>
      <c r="H2933" s="74" t="s">
        <v>357</v>
      </c>
      <c r="I2933" s="10">
        <f>P2907</f>
        <v>1129.0322580645161</v>
      </c>
      <c r="J2933" s="16" t="s">
        <v>16</v>
      </c>
      <c r="K2933" s="15"/>
      <c r="L2933" s="15"/>
      <c r="M2933" s="16"/>
      <c r="N2933" s="8"/>
      <c r="O2933" s="113"/>
      <c r="P2933" s="113">
        <f t="shared" si="841"/>
        <v>0</v>
      </c>
      <c r="Q2933" s="9"/>
      <c r="R2933" s="9"/>
      <c r="S2933" s="10">
        <f t="shared" si="840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3">D2832</f>
        <v>46109</v>
      </c>
      <c r="E2934" s="15"/>
      <c r="F2934" s="15"/>
      <c r="G2934" s="15">
        <f t="shared" si="842"/>
        <v>0</v>
      </c>
      <c r="H2934" s="74" t="s">
        <v>357</v>
      </c>
      <c r="I2934" s="10">
        <f>P2907</f>
        <v>1129.0322580645161</v>
      </c>
      <c r="J2934" s="16" t="s">
        <v>16</v>
      </c>
      <c r="K2934" s="15"/>
      <c r="L2934" s="15"/>
      <c r="M2934" s="17"/>
      <c r="N2934" s="8"/>
      <c r="O2934" s="113"/>
      <c r="P2934" s="113">
        <f t="shared" si="841"/>
        <v>0</v>
      </c>
      <c r="Q2934" s="9"/>
      <c r="R2934" s="9"/>
      <c r="S2934" s="10">
        <f t="shared" si="840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4">D2833</f>
        <v>46110</v>
      </c>
      <c r="E2935" s="15"/>
      <c r="F2935" s="15"/>
      <c r="G2935" s="15">
        <f t="shared" si="842"/>
        <v>0</v>
      </c>
      <c r="H2935" s="74" t="s">
        <v>357</v>
      </c>
      <c r="I2935" s="10">
        <f>P2907</f>
        <v>1129.0322580645161</v>
      </c>
      <c r="J2935" s="16" t="s">
        <v>16</v>
      </c>
      <c r="K2935" s="15"/>
      <c r="L2935" s="15"/>
      <c r="M2935" s="17"/>
      <c r="N2935" s="8"/>
      <c r="O2935" s="113"/>
      <c r="P2935" s="113">
        <f t="shared" si="841"/>
        <v>0</v>
      </c>
      <c r="Q2935" s="9"/>
      <c r="R2935" s="9"/>
      <c r="S2935" s="10">
        <f t="shared" si="840"/>
        <v>0</v>
      </c>
    </row>
    <row r="2936" spans="2:19" outlineLevel="1">
      <c r="B2936" s="13" t="s">
        <v>339</v>
      </c>
      <c r="C2936" s="7" t="s">
        <v>285</v>
      </c>
      <c r="D2936" s="8">
        <f t="shared" si="844"/>
        <v>46111</v>
      </c>
      <c r="E2936" s="15"/>
      <c r="F2936" s="15"/>
      <c r="G2936" s="15">
        <f t="shared" si="842"/>
        <v>0</v>
      </c>
      <c r="H2936" s="74" t="s">
        <v>357</v>
      </c>
      <c r="I2936" s="10">
        <f>P2907</f>
        <v>1129.0322580645161</v>
      </c>
      <c r="J2936" s="16" t="s">
        <v>16</v>
      </c>
      <c r="K2936" s="15"/>
      <c r="L2936" s="15"/>
      <c r="M2936" s="17"/>
      <c r="N2936" s="8"/>
      <c r="O2936" s="113"/>
      <c r="P2936" s="113">
        <f t="shared" si="841"/>
        <v>0</v>
      </c>
      <c r="Q2936" s="9"/>
      <c r="R2936" s="9"/>
      <c r="S2936" s="10">
        <f t="shared" si="840"/>
        <v>0</v>
      </c>
    </row>
    <row r="2937" spans="2:19" outlineLevel="1">
      <c r="B2937" s="13" t="s">
        <v>339</v>
      </c>
      <c r="C2937" s="7" t="s">
        <v>285</v>
      </c>
      <c r="D2937" s="8">
        <f t="shared" si="844"/>
        <v>46112</v>
      </c>
      <c r="E2937" s="15"/>
      <c r="F2937" s="15"/>
      <c r="G2937" s="15">
        <f t="shared" si="842"/>
        <v>0</v>
      </c>
      <c r="H2937" s="74" t="s">
        <v>357</v>
      </c>
      <c r="I2937" s="10">
        <f>P2907</f>
        <v>1129.0322580645161</v>
      </c>
      <c r="J2937" s="16" t="s">
        <v>16</v>
      </c>
      <c r="K2937" s="15"/>
      <c r="L2937" s="15"/>
      <c r="M2937" s="17"/>
      <c r="N2937" s="8"/>
      <c r="O2937" s="113"/>
      <c r="P2937" s="113">
        <f t="shared" si="841"/>
        <v>0</v>
      </c>
      <c r="Q2937" s="9"/>
      <c r="R2937" s="9"/>
      <c r="S2937" s="10">
        <f t="shared" si="840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6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5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6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6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5"/>
      <c r="F9" s="61"/>
      <c r="G9" s="34"/>
      <c r="H9" s="35"/>
      <c r="I9" s="35">
        <f>SUM(G9*H9)</f>
        <v>0</v>
      </c>
    </row>
    <row r="10" spans="1:9" ht="16.5">
      <c r="E10" s="85"/>
      <c r="F10" s="61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 ht="16.5">
      <c r="E13" s="85"/>
      <c r="F13" s="33"/>
      <c r="G13" s="34"/>
      <c r="H13" s="35"/>
      <c r="I13" s="35">
        <f t="shared" si="0"/>
        <v>0</v>
      </c>
    </row>
    <row r="14" spans="1:9" ht="16.5">
      <c r="E14" s="85"/>
      <c r="F14" s="33"/>
      <c r="G14" s="34"/>
      <c r="H14" s="35"/>
      <c r="I14" s="35">
        <f t="shared" si="0"/>
        <v>0</v>
      </c>
    </row>
    <row r="15" spans="1:9" ht="16.5">
      <c r="E15" s="85"/>
      <c r="F15" s="33"/>
      <c r="G15" s="34"/>
      <c r="H15" s="35"/>
      <c r="I15" s="35">
        <f t="shared" si="0"/>
        <v>0</v>
      </c>
    </row>
    <row r="16" spans="1:9" ht="16.5">
      <c r="E16" s="85"/>
      <c r="F16" s="33"/>
      <c r="G16" s="34"/>
      <c r="H16" s="35"/>
      <c r="I16" s="35">
        <f t="shared" si="0"/>
        <v>0</v>
      </c>
    </row>
    <row r="17" spans="5:9" ht="16.5">
      <c r="E17" s="85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6"/>
      <c r="E5" s="116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6">
        <v>0</v>
      </c>
      <c r="E5" s="116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6"/>
      <c r="E4" s="116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7"/>
      <c r="F9" s="61"/>
      <c r="G9" s="34"/>
      <c r="H9" s="35"/>
      <c r="I9" s="35">
        <f>SUM(G9*H9)</f>
        <v>0</v>
      </c>
    </row>
    <row r="10" spans="1:9" ht="16.5">
      <c r="E10" s="85"/>
      <c r="F10" s="33"/>
      <c r="G10" s="34"/>
      <c r="H10" s="35"/>
      <c r="I10" s="35">
        <f t="shared" ref="I10:I21" si="0">SUM(G10*H10)</f>
        <v>0</v>
      </c>
    </row>
    <row r="11" spans="1:9" ht="16.5">
      <c r="E11" s="85"/>
      <c r="F11" s="33"/>
      <c r="G11" s="34"/>
      <c r="H11" s="35"/>
      <c r="I11" s="35">
        <f t="shared" si="0"/>
        <v>0</v>
      </c>
    </row>
    <row r="12" spans="1:9" ht="16.5">
      <c r="E12" s="85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6"/>
      <c r="E5" s="116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89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89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89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89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89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89"/>
      <c r="F14" s="33"/>
      <c r="G14" s="34"/>
      <c r="H14" s="35"/>
      <c r="I14" s="35">
        <f t="shared" si="0"/>
        <v>0</v>
      </c>
    </row>
    <row r="15" spans="1:9">
      <c r="E15" s="89"/>
      <c r="F15" s="33"/>
      <c r="G15" s="34"/>
      <c r="H15" s="35"/>
      <c r="I15" s="35">
        <f t="shared" si="0"/>
        <v>0</v>
      </c>
    </row>
    <row r="16" spans="1:9">
      <c r="E16" s="89"/>
      <c r="F16" s="33"/>
      <c r="G16" s="34"/>
      <c r="H16" s="35"/>
      <c r="I16" s="35">
        <f t="shared" si="0"/>
        <v>0</v>
      </c>
    </row>
    <row r="17" spans="5:9">
      <c r="E17" s="89"/>
      <c r="F17" s="33"/>
      <c r="G17" s="34"/>
      <c r="H17" s="35"/>
      <c r="I17" s="35">
        <f t="shared" si="0"/>
        <v>0</v>
      </c>
    </row>
    <row r="18" spans="5:9">
      <c r="E18" s="89"/>
      <c r="F18" s="33"/>
      <c r="G18" s="34"/>
      <c r="H18" s="35"/>
      <c r="I18" s="35">
        <f t="shared" si="0"/>
        <v>0</v>
      </c>
    </row>
    <row r="19" spans="5:9">
      <c r="E19" s="89"/>
      <c r="F19" s="33"/>
      <c r="G19" s="34"/>
      <c r="H19" s="35"/>
      <c r="I19" s="35">
        <f t="shared" si="0"/>
        <v>0</v>
      </c>
    </row>
    <row r="20" spans="5:9">
      <c r="E20" s="89"/>
      <c r="F20" s="33"/>
      <c r="G20" s="34"/>
      <c r="H20" s="35"/>
      <c r="I20" s="35">
        <f t="shared" si="0"/>
        <v>0</v>
      </c>
    </row>
    <row r="21" spans="5:9">
      <c r="E21" s="89"/>
      <c r="F21" s="33"/>
      <c r="G21" s="34"/>
      <c r="H21" s="35"/>
      <c r="I21" s="35">
        <f t="shared" si="0"/>
        <v>0</v>
      </c>
    </row>
    <row r="22" spans="5:9">
      <c r="E22" s="89"/>
      <c r="F22" s="40"/>
      <c r="G22" s="37"/>
      <c r="H22" s="38" t="s">
        <v>14</v>
      </c>
      <c r="I22" s="38">
        <f>SUM(I9:I21)</f>
        <v>301.84999999999997</v>
      </c>
    </row>
    <row r="23" spans="5:9">
      <c r="E23" s="89"/>
      <c r="F23" s="90"/>
      <c r="G23" s="91"/>
      <c r="H23" s="91"/>
    </row>
    <row r="24" spans="5:9">
      <c r="E24" s="89"/>
      <c r="F24" s="90"/>
      <c r="G24" s="91"/>
      <c r="H24" s="91"/>
    </row>
    <row r="25" spans="5:9">
      <c r="E25" s="89"/>
      <c r="F25" s="90"/>
      <c r="G25" s="91"/>
      <c r="H25" s="91"/>
    </row>
    <row r="26" spans="5:9">
      <c r="E26" s="89"/>
      <c r="F26" s="90"/>
      <c r="G26" s="91"/>
      <c r="H26" s="91"/>
    </row>
    <row r="27" spans="5:9">
      <c r="E27" s="89"/>
      <c r="F27" s="90"/>
      <c r="G27" s="91"/>
      <c r="H27" s="91"/>
    </row>
    <row r="28" spans="5:9">
      <c r="E28" s="89"/>
      <c r="F28" s="90"/>
      <c r="G28" s="91"/>
      <c r="H28" s="91"/>
    </row>
    <row r="29" spans="5:9">
      <c r="E29" s="89"/>
      <c r="F29" s="90"/>
      <c r="G29" s="91"/>
      <c r="H29" s="91"/>
    </row>
    <row r="30" spans="5:9">
      <c r="E30" s="89"/>
      <c r="F30" s="90"/>
      <c r="G30" s="91"/>
      <c r="H30" s="91"/>
    </row>
    <row r="31" spans="5:9" ht="18.75">
      <c r="E31" s="92"/>
      <c r="F31" s="93"/>
      <c r="G31" s="94"/>
      <c r="H31" s="95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6">
        <v>1</v>
      </c>
      <c r="E4" s="116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6">
        <v>3</v>
      </c>
      <c r="E5" s="116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6">
        <v>3</v>
      </c>
      <c r="E6" s="116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6">
        <v>7</v>
      </c>
      <c r="E7" s="116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8"/>
      <c r="F8" s="88"/>
      <c r="G8" s="88"/>
      <c r="H8" s="88"/>
    </row>
    <row r="9" spans="1:9">
      <c r="E9" s="96"/>
      <c r="F9" s="97"/>
      <c r="G9" s="96"/>
      <c r="H9" s="96"/>
    </row>
    <row r="10" spans="1:9">
      <c r="E10" s="96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6"/>
      <c r="F11" s="61"/>
      <c r="G11" s="34"/>
      <c r="H11" s="35"/>
      <c r="I11" s="35">
        <f>SUM(G11*H11)</f>
        <v>0</v>
      </c>
    </row>
    <row r="12" spans="1:9">
      <c r="E12" s="96"/>
      <c r="F12" s="33"/>
      <c r="G12" s="34"/>
      <c r="H12" s="35"/>
      <c r="I12" s="35">
        <f t="shared" ref="I12:I23" si="0">SUM(G12*H12)</f>
        <v>0</v>
      </c>
    </row>
    <row r="13" spans="1:9">
      <c r="E13" s="96"/>
      <c r="F13" s="33"/>
      <c r="G13" s="34"/>
      <c r="H13" s="35"/>
      <c r="I13" s="35">
        <f t="shared" si="0"/>
        <v>0</v>
      </c>
    </row>
    <row r="14" spans="1:9">
      <c r="E14" s="96"/>
      <c r="F14" s="33"/>
      <c r="G14" s="34"/>
      <c r="H14" s="35"/>
      <c r="I14" s="35">
        <f t="shared" si="0"/>
        <v>0</v>
      </c>
    </row>
    <row r="15" spans="1:9">
      <c r="E15" s="96"/>
      <c r="F15" s="33"/>
      <c r="G15" s="34"/>
      <c r="H15" s="35"/>
      <c r="I15" s="35">
        <f t="shared" si="0"/>
        <v>0</v>
      </c>
    </row>
    <row r="16" spans="1:9">
      <c r="E16" s="96"/>
      <c r="F16" s="33"/>
      <c r="G16" s="34"/>
      <c r="H16" s="35"/>
      <c r="I16" s="35">
        <f t="shared" si="0"/>
        <v>0</v>
      </c>
    </row>
    <row r="17" spans="5:11">
      <c r="E17" s="96"/>
      <c r="F17" s="33"/>
      <c r="G17" s="34"/>
      <c r="H17" s="35"/>
      <c r="I17" s="35">
        <f t="shared" si="0"/>
        <v>0</v>
      </c>
      <c r="K17" s="2"/>
    </row>
    <row r="18" spans="5:11">
      <c r="E18" s="96"/>
      <c r="F18" s="33"/>
      <c r="G18" s="34"/>
      <c r="H18" s="35"/>
      <c r="I18" s="35">
        <f t="shared" si="0"/>
        <v>0</v>
      </c>
    </row>
    <row r="19" spans="5:11">
      <c r="E19" s="98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6"/>
      <c r="E4" s="116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6"/>
      <c r="E5" s="116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0" t="s">
        <v>14</v>
      </c>
      <c r="I22" s="120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0" t="s">
        <v>14</v>
      </c>
      <c r="I19" s="120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0"/>
      <c r="F9" s="33"/>
      <c r="G9" s="34"/>
      <c r="H9" s="35"/>
      <c r="I9" s="35">
        <f>SUM(G9*H9)</f>
        <v>0</v>
      </c>
    </row>
    <row r="10" spans="1:9">
      <c r="E10" s="100"/>
      <c r="F10" s="33"/>
      <c r="G10" s="34"/>
      <c r="H10" s="35"/>
      <c r="I10" s="35">
        <f t="shared" ref="I10:I18" si="0">SUM(G10*H10)</f>
        <v>0</v>
      </c>
    </row>
    <row r="11" spans="1:9">
      <c r="E11" s="101"/>
      <c r="F11" s="33"/>
      <c r="G11" s="34"/>
      <c r="H11" s="35"/>
      <c r="I11" s="35">
        <f t="shared" si="0"/>
        <v>0</v>
      </c>
    </row>
    <row r="12" spans="1:9">
      <c r="E12" s="101"/>
      <c r="F12" s="33"/>
      <c r="G12" s="34"/>
      <c r="H12" s="35"/>
      <c r="I12" s="35">
        <f t="shared" si="0"/>
        <v>0</v>
      </c>
    </row>
    <row r="13" spans="1:9">
      <c r="E13" s="101"/>
      <c r="F13" s="33"/>
      <c r="G13" s="34"/>
      <c r="H13" s="35"/>
      <c r="I13" s="35">
        <f t="shared" si="0"/>
        <v>0</v>
      </c>
    </row>
    <row r="14" spans="1:9">
      <c r="E14" s="101"/>
      <c r="F14" s="33"/>
      <c r="G14" s="34"/>
      <c r="H14" s="35"/>
      <c r="I14" s="35">
        <f t="shared" si="0"/>
        <v>0</v>
      </c>
    </row>
    <row r="15" spans="1:9">
      <c r="E15" s="101"/>
      <c r="F15" s="33"/>
      <c r="G15" s="34"/>
      <c r="H15" s="35"/>
      <c r="I15" s="35">
        <f t="shared" si="0"/>
        <v>0</v>
      </c>
    </row>
    <row r="16" spans="1:9">
      <c r="E16" s="101"/>
      <c r="F16" s="33"/>
      <c r="G16" s="34"/>
      <c r="H16" s="35"/>
      <c r="I16" s="35">
        <f t="shared" si="0"/>
        <v>0</v>
      </c>
    </row>
    <row r="17" spans="5:9">
      <c r="E17" s="102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28">
        <v>8</v>
      </c>
      <c r="E4" s="28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28">
        <v>3</v>
      </c>
      <c r="E5" s="28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28">
        <v>20</v>
      </c>
      <c r="E6" s="28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28">
        <v>31</v>
      </c>
      <c r="E7" s="28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0">
        <v>1</v>
      </c>
      <c r="H9" s="35">
        <v>115</v>
      </c>
      <c r="I9" s="35">
        <f>SUM(G9*H9)</f>
        <v>115</v>
      </c>
    </row>
    <row r="10" spans="1:9">
      <c r="F10" s="61"/>
      <c r="G10" s="80"/>
      <c r="H10" s="35"/>
      <c r="I10" s="35">
        <f t="shared" ref="I10:I12" si="0">SUM(G10*H10)</f>
        <v>0</v>
      </c>
    </row>
    <row r="11" spans="1:9">
      <c r="F11" s="61"/>
      <c r="G11" s="80"/>
      <c r="H11" s="35"/>
      <c r="I11" s="35">
        <f t="shared" si="0"/>
        <v>0</v>
      </c>
    </row>
    <row r="12" spans="1:9">
      <c r="F12" s="61"/>
      <c r="G12" s="80"/>
      <c r="H12" s="35"/>
      <c r="I12" s="35">
        <f t="shared" si="0"/>
        <v>0</v>
      </c>
    </row>
    <row r="13" spans="1:9">
      <c r="F13" s="61"/>
      <c r="G13" s="80"/>
      <c r="H13" s="35"/>
      <c r="I13" s="35">
        <f t="shared" ref="I13:I20" si="1">SUM(G13*H13)</f>
        <v>0</v>
      </c>
    </row>
    <row r="14" spans="1:9">
      <c r="F14" s="61"/>
      <c r="G14" s="80"/>
      <c r="H14" s="35"/>
      <c r="I14" s="35">
        <f t="shared" si="1"/>
        <v>0</v>
      </c>
    </row>
    <row r="15" spans="1:9">
      <c r="F15" s="61"/>
      <c r="G15" s="80"/>
      <c r="H15" s="35"/>
      <c r="I15" s="35">
        <f t="shared" si="1"/>
        <v>0</v>
      </c>
    </row>
    <row r="16" spans="1:9">
      <c r="F16" s="61"/>
      <c r="G16" s="80"/>
      <c r="H16" s="35"/>
      <c r="I16" s="35">
        <f t="shared" si="1"/>
        <v>0</v>
      </c>
    </row>
    <row r="17" spans="6:11">
      <c r="F17" s="61"/>
      <c r="G17" s="80"/>
      <c r="H17" s="35"/>
      <c r="I17" s="35">
        <f t="shared" si="1"/>
        <v>0</v>
      </c>
    </row>
    <row r="18" spans="6:11">
      <c r="F18" s="61"/>
      <c r="G18" s="80"/>
      <c r="H18" s="35"/>
      <c r="I18" s="35">
        <f t="shared" si="1"/>
        <v>0</v>
      </c>
    </row>
    <row r="19" spans="6:11">
      <c r="F19" s="61"/>
      <c r="G19" s="80"/>
      <c r="H19" s="35"/>
      <c r="I19" s="35">
        <f t="shared" si="1"/>
        <v>0</v>
      </c>
    </row>
    <row r="20" spans="6:11">
      <c r="F20" s="61"/>
      <c r="G20" s="80"/>
      <c r="H20" s="35"/>
      <c r="I20" s="35">
        <f t="shared" si="1"/>
        <v>0</v>
      </c>
      <c r="K20" s="2"/>
    </row>
    <row r="21" spans="6:11">
      <c r="F21" s="7"/>
      <c r="G21" s="81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8"/>
      <c r="F10" s="88"/>
      <c r="G10" s="88"/>
      <c r="H10" s="88"/>
    </row>
    <row r="11" spans="1:9">
      <c r="E11" s="63"/>
      <c r="F11" s="99"/>
      <c r="G11" s="96"/>
      <c r="H11" s="96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6"/>
      <c r="E4" s="116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6"/>
      <c r="E5" s="116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6"/>
      <c r="E4" s="28">
        <v>28</v>
      </c>
      <c r="F4" s="47"/>
      <c r="G4" s="48"/>
      <c r="H4" s="30">
        <v>0</v>
      </c>
    </row>
    <row r="5" spans="1:8">
      <c r="A5" t="s">
        <v>223</v>
      </c>
      <c r="D5" s="116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3"/>
      <c r="F8" s="103"/>
      <c r="G8" s="103"/>
      <c r="H8" s="103"/>
    </row>
    <row r="9" spans="1:8" ht="17.25">
      <c r="E9" s="85"/>
      <c r="F9" s="104"/>
      <c r="G9" s="104"/>
      <c r="H9" s="105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99"/>
      <c r="G9" s="96"/>
      <c r="H9" s="96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6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6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6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6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6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6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6">
        <v>3</v>
      </c>
      <c r="E4" s="116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6">
        <v>7</v>
      </c>
      <c r="E5" s="116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6">
        <v>1</v>
      </c>
      <c r="E6" s="116"/>
      <c r="F6" s="30"/>
      <c r="G6" s="30"/>
      <c r="H6" s="31">
        <v>0</v>
      </c>
      <c r="I6" s="30">
        <v>550</v>
      </c>
    </row>
    <row r="7" spans="1:11">
      <c r="A7" t="s">
        <v>223</v>
      </c>
      <c r="D7" s="116">
        <v>11</v>
      </c>
      <c r="E7" s="116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99"/>
      <c r="G8" s="107"/>
      <c r="H8" s="96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8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0" t="s">
        <v>14</v>
      </c>
      <c r="I21" s="120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9"/>
      <c r="F9" s="61"/>
      <c r="G9" s="34"/>
      <c r="H9" s="35"/>
      <c r="I9" s="35">
        <f>SUM(G9*H9)</f>
        <v>0</v>
      </c>
    </row>
    <row r="10" spans="1:9">
      <c r="E10" s="109"/>
      <c r="F10" s="61"/>
      <c r="G10" s="34"/>
      <c r="H10" s="35"/>
      <c r="I10" s="35">
        <f t="shared" ref="I10:I17" si="0">SUM(G10*H10)</f>
        <v>0</v>
      </c>
    </row>
    <row r="11" spans="1:9">
      <c r="E11" s="109"/>
      <c r="F11" s="61"/>
      <c r="G11" s="34"/>
      <c r="H11" s="35"/>
      <c r="I11" s="35">
        <f t="shared" si="0"/>
        <v>0</v>
      </c>
    </row>
    <row r="12" spans="1:9">
      <c r="E12" s="109"/>
      <c r="F12" s="61"/>
      <c r="G12" s="34"/>
      <c r="H12" s="35"/>
      <c r="I12" s="35">
        <f t="shared" si="0"/>
        <v>0</v>
      </c>
    </row>
    <row r="13" spans="1:9">
      <c r="E13" s="109"/>
      <c r="F13" s="61"/>
      <c r="G13" s="34"/>
      <c r="H13" s="35"/>
      <c r="I13" s="35">
        <f t="shared" si="0"/>
        <v>0</v>
      </c>
    </row>
    <row r="14" spans="1:9">
      <c r="E14" s="109"/>
      <c r="F14" s="61"/>
      <c r="G14" s="34"/>
      <c r="H14" s="35"/>
      <c r="I14" s="35">
        <f t="shared" si="0"/>
        <v>0</v>
      </c>
    </row>
    <row r="15" spans="1:9">
      <c r="E15" s="109"/>
      <c r="F15" s="61"/>
      <c r="G15" s="34"/>
      <c r="H15" s="35"/>
      <c r="I15" s="35">
        <f t="shared" si="0"/>
        <v>0</v>
      </c>
    </row>
    <row r="16" spans="1:9" ht="15.75">
      <c r="E16" s="110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1"/>
      <c r="C2" s="141"/>
      <c r="D2" s="141"/>
      <c r="E2" s="137" t="s">
        <v>216</v>
      </c>
      <c r="F2" s="138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8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8"/>
      <c r="F8" s="88"/>
      <c r="G8" s="88"/>
      <c r="H8" s="88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8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8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7A2-A2D2-4126-9481-95690F137658}">
  <sheetPr>
    <tabColor rgb="FF00B050"/>
  </sheetPr>
  <dimension ref="A2:I25"/>
  <sheetViews>
    <sheetView showGridLines="0" view="pageBreakPreview" zoomScale="85" zoomScaleNormal="55" zoomScaleSheetLayoutView="85" workbookViewId="0">
      <selection activeCell="B5" sqref="B5"/>
    </sheetView>
  </sheetViews>
  <sheetFormatPr defaultRowHeight="15"/>
  <cols>
    <col min="1" max="1" width="67" bestFit="1" customWidth="1"/>
    <col min="2" max="2" width="50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339</v>
      </c>
      <c r="B4" s="28" t="s">
        <v>285</v>
      </c>
      <c r="C4" s="28" t="s">
        <v>357</v>
      </c>
      <c r="D4" s="28">
        <v>6</v>
      </c>
      <c r="E4" s="28">
        <v>23</v>
      </c>
      <c r="F4" s="47">
        <v>35000</v>
      </c>
      <c r="G4" s="47"/>
      <c r="H4" s="48"/>
      <c r="I4" s="47">
        <v>1129.0322580645161</v>
      </c>
    </row>
    <row r="5" spans="1:9" ht="22.9" customHeight="1">
      <c r="A5" s="28" t="s">
        <v>223</v>
      </c>
      <c r="B5" s="28"/>
      <c r="C5" s="28"/>
      <c r="D5" s="28">
        <v>6</v>
      </c>
      <c r="E5" s="28">
        <v>23</v>
      </c>
      <c r="F5" s="47">
        <v>35000</v>
      </c>
      <c r="G5" s="47"/>
      <c r="H5" s="48"/>
      <c r="I5" s="47">
        <v>1129.0322580645161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/>
      <c r="G10" s="59"/>
      <c r="H10" s="59"/>
      <c r="I10" s="60">
        <f>SUM(G10*H10)</f>
        <v>0</v>
      </c>
    </row>
    <row r="11" spans="1:9">
      <c r="E11" s="43"/>
      <c r="F11" s="7"/>
      <c r="G11" s="59"/>
      <c r="H11" s="59"/>
      <c r="I11" s="60">
        <f>SUM(G11*H11)</f>
        <v>0</v>
      </c>
    </row>
    <row r="12" spans="1:9">
      <c r="E12" s="43"/>
      <c r="F12" s="7"/>
      <c r="G12" s="59"/>
      <c r="H12" s="59"/>
      <c r="I12" s="60">
        <f t="shared" ref="I12:I17" si="0">SUM(G12*H12)</f>
        <v>0</v>
      </c>
    </row>
    <row r="13" spans="1:9">
      <c r="E13" s="43"/>
      <c r="F13" s="7"/>
      <c r="G13" s="59"/>
      <c r="H13" s="59"/>
      <c r="I13" s="60">
        <f t="shared" si="0"/>
        <v>0</v>
      </c>
    </row>
    <row r="14" spans="1:9">
      <c r="E14" s="43"/>
      <c r="F14" s="7"/>
      <c r="G14" s="59"/>
      <c r="H14" s="59"/>
      <c r="I14" s="60">
        <f t="shared" si="0"/>
        <v>0</v>
      </c>
    </row>
    <row r="15" spans="1:9">
      <c r="E15" s="43"/>
      <c r="F15" s="7"/>
      <c r="G15" s="59"/>
      <c r="H15" s="59"/>
      <c r="I15" s="60">
        <f t="shared" si="0"/>
        <v>0</v>
      </c>
    </row>
    <row r="16" spans="1:9">
      <c r="E16" s="64"/>
      <c r="F16" s="7"/>
      <c r="G16" s="59"/>
      <c r="H16" s="59"/>
      <c r="I16" s="60">
        <f t="shared" si="0"/>
        <v>0</v>
      </c>
    </row>
    <row r="17" spans="6:9">
      <c r="F17" s="7"/>
      <c r="G17" s="59"/>
      <c r="H17" s="59"/>
      <c r="I17" s="60">
        <f t="shared" si="0"/>
        <v>0</v>
      </c>
    </row>
    <row r="18" spans="6:9">
      <c r="F18" s="7"/>
      <c r="G18" s="59"/>
      <c r="H18" s="59"/>
      <c r="I18" s="60">
        <f>SUM(G18*H18)</f>
        <v>0</v>
      </c>
    </row>
    <row r="19" spans="6:9">
      <c r="F19" s="7"/>
      <c r="G19" s="59"/>
      <c r="H19" s="59"/>
      <c r="I19" s="60">
        <f t="shared" ref="I19:I22" si="1">SUM(G19*H19)</f>
        <v>0</v>
      </c>
    </row>
    <row r="20" spans="6:9">
      <c r="F20" s="7"/>
      <c r="G20" s="59"/>
      <c r="H20" s="59"/>
      <c r="I20" s="60">
        <f t="shared" si="1"/>
        <v>0</v>
      </c>
    </row>
    <row r="21" spans="6:9">
      <c r="F21" s="7"/>
      <c r="G21" s="59"/>
      <c r="H21" s="59"/>
      <c r="I21" s="60">
        <f t="shared" si="1"/>
        <v>0</v>
      </c>
    </row>
    <row r="22" spans="6:9">
      <c r="F22" s="7"/>
      <c r="G22" s="59"/>
      <c r="H22" s="59"/>
      <c r="I22" s="60">
        <f t="shared" si="1"/>
        <v>0</v>
      </c>
    </row>
    <row r="23" spans="6:9">
      <c r="F23" s="7"/>
      <c r="G23" s="59"/>
      <c r="H23" s="59"/>
      <c r="I23" s="60">
        <f>SUM(G23*H23)</f>
        <v>0</v>
      </c>
    </row>
    <row r="24" spans="6:9">
      <c r="F24" s="7"/>
      <c r="G24" s="59"/>
      <c r="H24" s="59"/>
      <c r="I24" s="60">
        <f>SUM(G24*H24)</f>
        <v>0</v>
      </c>
    </row>
    <row r="25" spans="6:9">
      <c r="F25" s="114"/>
      <c r="G25" s="7"/>
      <c r="H25" s="121" t="s">
        <v>14</v>
      </c>
      <c r="I25" s="122">
        <f>SUM(I10:I24)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8"/>
      <c r="F8" s="103"/>
      <c r="G8" s="88"/>
      <c r="H8" s="88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4"/>
      <c r="G25" s="7"/>
      <c r="H25" s="121" t="s">
        <v>14</v>
      </c>
      <c r="I25" s="122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6"/>
      <c r="C2" s="136"/>
      <c r="D2" s="136"/>
      <c r="E2" s="137" t="s">
        <v>216</v>
      </c>
      <c r="F2" s="138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6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6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2"/>
      <c r="I9" s="35">
        <f>SUM(G9*H9)</f>
        <v>0</v>
      </c>
    </row>
    <row r="10" spans="1:9">
      <c r="F10" s="61"/>
      <c r="G10" s="34"/>
      <c r="H10" s="82"/>
      <c r="I10" s="35">
        <f t="shared" ref="I10:I13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6"/>
      <c r="C2" s="136"/>
      <c r="D2" s="136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2"/>
      <c r="I9" s="35">
        <f>SUM(G9*H9)</f>
        <v>0</v>
      </c>
    </row>
    <row r="10" spans="1:9">
      <c r="F10" s="33"/>
      <c r="G10" s="34"/>
      <c r="H10" s="82"/>
      <c r="I10" s="35">
        <f t="shared" ref="I10:I16" si="0">SUM(G10*H10)</f>
        <v>0</v>
      </c>
    </row>
    <row r="11" spans="1:9">
      <c r="F11" s="33"/>
      <c r="G11" s="34"/>
      <c r="H11" s="82"/>
      <c r="I11" s="35">
        <f t="shared" si="0"/>
        <v>0</v>
      </c>
    </row>
    <row r="12" spans="1:9">
      <c r="F12" s="33"/>
      <c r="G12" s="34"/>
      <c r="H12" s="82"/>
      <c r="I12" s="35">
        <f t="shared" si="0"/>
        <v>0</v>
      </c>
    </row>
    <row r="13" spans="1:9">
      <c r="F13" s="33"/>
      <c r="G13" s="34"/>
      <c r="H13" s="82"/>
      <c r="I13" s="35">
        <f t="shared" si="0"/>
        <v>0</v>
      </c>
    </row>
    <row r="14" spans="1:9">
      <c r="F14" s="33"/>
      <c r="G14" s="34"/>
      <c r="H14" s="82"/>
      <c r="I14" s="35">
        <f t="shared" si="0"/>
        <v>0</v>
      </c>
    </row>
    <row r="15" spans="1:9">
      <c r="F15" s="33"/>
      <c r="G15" s="34"/>
      <c r="H15" s="82"/>
      <c r="I15" s="35">
        <f t="shared" si="0"/>
        <v>0</v>
      </c>
    </row>
    <row r="16" spans="1:9">
      <c r="F16" s="33"/>
      <c r="G16" s="34"/>
      <c r="H16" s="82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2" t="s">
        <v>267</v>
      </c>
      <c r="B1" s="142"/>
    </row>
    <row r="2" spans="1:2" ht="31.9" customHeight="1">
      <c r="A2" s="142"/>
      <c r="B2" s="142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63</vt:i4>
      </vt:variant>
      <vt:variant>
        <vt:lpstr>Intervalos Nomeados</vt:lpstr>
      </vt:variant>
      <vt:variant>
        <vt:i4>63</vt:i4>
      </vt:variant>
    </vt:vector>
  </HeadingPairs>
  <TitlesOfParts>
    <vt:vector size="126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06.070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2026-03-26T17:49:03Z</dcterms:modified>
  <cp:category/>
  <cp:contentStatus/>
</cp:coreProperties>
</file>