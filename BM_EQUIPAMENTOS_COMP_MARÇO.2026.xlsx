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2A59D3BB-D28D-42C7-A282-A1EB7BC40C46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33" i="62" l="1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<sst xmlns="http://schemas.openxmlformats.org/spreadsheetml/2006/main" count="10443" uniqueCount="361">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</sst>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693" zoomScale="70" zoomScaleNormal="70" workbookViewId="0">
      <selection activeCell="L705" sqref="L705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261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359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/>
      <c r="F698" s="15"/>
      <c r="G698" s="15">
        <f t="shared" si="201"/>
        <v>0</v>
      </c>
      <c r="H698" s="16" t="s">
        <v>359</v>
      </c>
      <c r="I698" s="10">
        <f t="shared" si="202"/>
        <v>1451.6129032258063</v>
      </c>
      <c r="J698" s="16" t="s">
        <v>16</v>
      </c>
      <c r="K698" s="15"/>
      <c r="L698" s="15"/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359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359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359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359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359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359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359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359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359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359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359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359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359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359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359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359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359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359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359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359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359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359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359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359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360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360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360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/>
      <c r="F1552" s="15"/>
      <c r="G1552" s="15">
        <f t="shared" si="445"/>
        <v>0</v>
      </c>
      <c r="H1552" s="16" t="s">
        <v>336</v>
      </c>
      <c r="I1552" s="10">
        <f t="shared" si="444"/>
        <v>496.77419354838707</v>
      </c>
      <c r="J1552" s="16" t="s">
        <v>16</v>
      </c>
      <c r="K1552" s="15"/>
      <c r="L1552" s="15"/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336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336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336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336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336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336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336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336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336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336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336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336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336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336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336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336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336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336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336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336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336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336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>
        <f t="shared" si="455"/>
        <v>0</v>
      </c>
      <c r="H1586" s="16" t="s">
        <v>348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348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348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348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348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348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348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348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348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348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348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348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348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348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348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348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348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348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348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348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348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348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348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/>
      <c r="F1722" s="15"/>
      <c r="G1722" s="15"/>
      <c r="H1722" s="16" t="s">
        <v>233</v>
      </c>
      <c r="I1722" s="10">
        <f t="shared" si="495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/>
      <c r="F1723" s="15"/>
      <c r="G1723" s="15"/>
      <c r="H1723" s="16" t="s">
        <v>233</v>
      </c>
      <c r="I1723" s="10">
        <f t="shared" si="495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233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233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233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233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233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233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233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233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233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233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233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233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338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338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338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338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338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338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360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360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360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/>
      <c r="F1823" s="15"/>
      <c r="G1823" s="15">
        <f t="shared" si="530"/>
        <v>0</v>
      </c>
      <c r="H1823" s="16" t="s">
        <v>360</v>
      </c>
      <c r="I1823" s="10">
        <f t="shared" si="529"/>
        <v>1451.6129032258063</v>
      </c>
      <c r="J1823" s="16" t="s">
        <v>16</v>
      </c>
      <c r="K1823" s="15"/>
      <c r="L1823" s="15"/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360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360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360</v>
      </c>
      <c r="I1826" s="10">
        <f t="shared" si="529"/>
        <v>1451.6129032258063</v>
      </c>
      <c r="J1826" s="16" t="s">
        <v>16</v>
      </c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360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360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360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360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360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360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360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360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360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360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360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360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360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360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360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360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360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360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360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360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>
        <v>3834</v>
      </c>
      <c r="F1854" s="15">
        <v>3838</v>
      </c>
      <c r="G1854" s="15">
        <f t="shared" si="540"/>
        <v>4</v>
      </c>
      <c r="H1854" s="16" t="s">
        <v>279</v>
      </c>
      <c r="I1854" s="10">
        <f t="shared" si="539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>
        <v>3838</v>
      </c>
      <c r="F1855" s="15">
        <v>3840</v>
      </c>
      <c r="G1855" s="15">
        <f t="shared" si="540"/>
        <v>2</v>
      </c>
      <c r="H1855" s="16" t="s">
        <v>279</v>
      </c>
      <c r="I1855" s="10">
        <f t="shared" si="539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/>
      <c r="F1858" s="15"/>
      <c r="G1858" s="15">
        <f t="shared" si="540"/>
        <v>0</v>
      </c>
      <c r="H1858" s="16" t="s">
        <v>279</v>
      </c>
      <c r="I1858" s="10">
        <f t="shared" si="539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/>
      <c r="F1859" s="15"/>
      <c r="G1859" s="15">
        <f t="shared" si="540"/>
        <v>0</v>
      </c>
      <c r="H1859" s="16" t="s">
        <v>279</v>
      </c>
      <c r="I1859" s="10">
        <f t="shared" si="539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201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201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/>
      <c r="F1991" s="15"/>
      <c r="G1991" s="15">
        <f t="shared" si="574"/>
        <v>0</v>
      </c>
      <c r="H1991" s="16" t="s">
        <v>6</v>
      </c>
      <c r="I1991" s="10">
        <f t="shared" si="576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/>
      <c r="F1992" s="15"/>
      <c r="G1992" s="15">
        <f t="shared" si="574"/>
        <v>0</v>
      </c>
      <c r="H1992" s="16" t="s">
        <v>6</v>
      </c>
      <c r="I1992" s="10">
        <f t="shared" si="576"/>
        <v>0</v>
      </c>
      <c r="J1992" s="16" t="s">
        <v>201</v>
      </c>
      <c r="K1992" s="15"/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201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201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201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201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201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201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201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201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201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201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201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201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201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201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>
        <v>2938</v>
      </c>
      <c r="F2058" s="15">
        <v>2944.5</v>
      </c>
      <c r="G2058" s="15">
        <f t="shared" si="595"/>
        <v>6.5</v>
      </c>
      <c r="H2058" s="16" t="s">
        <v>337</v>
      </c>
      <c r="I2058" s="10">
        <f t="shared" si="596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/>
      <c r="F2062" s="15"/>
      <c r="G2062" s="15">
        <f t="shared" si="595"/>
        <v>0</v>
      </c>
      <c r="H2062" s="16" t="s">
        <v>337</v>
      </c>
      <c r="I2062" s="10">
        <f t="shared" si="596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 t="s">
        <v>16</v>
      </c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>
        <v>2960</v>
      </c>
      <c r="F2096" s="15">
        <v>2965</v>
      </c>
      <c r="G2096" s="15">
        <f t="shared" si="603"/>
        <v>-5</v>
      </c>
      <c r="H2096" s="16" t="s">
        <v>279</v>
      </c>
      <c r="I2096" s="10">
        <f t="shared" si="604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>
        <v>2965</v>
      </c>
      <c r="F2097" s="15">
        <v>2966</v>
      </c>
      <c r="G2097" s="15">
        <f t="shared" si="603"/>
        <v>-1</v>
      </c>
      <c r="H2097" s="16" t="s">
        <v>279</v>
      </c>
      <c r="I2097" s="10">
        <f t="shared" si="604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/>
      <c r="F2167" s="26"/>
      <c r="G2167" s="15">
        <f t="shared" si="622"/>
        <v>0</v>
      </c>
      <c r="H2167" s="16" t="s">
        <v>279</v>
      </c>
      <c r="I2167" s="10">
        <f t="shared" si="621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4"/>
      <c r="F2168" s="26"/>
      <c r="G2168" s="15">
        <f t="shared" si="622"/>
        <v>0</v>
      </c>
      <c r="H2168" s="16" t="s">
        <v>279</v>
      </c>
      <c r="I2168" s="10">
        <f t="shared" si="621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>
        <v>1204.0999999999999</v>
      </c>
      <c r="F2197" s="22">
        <v>1205.8</v>
      </c>
      <c r="G2197" s="15">
        <f t="shared" si="628"/>
        <v>1.7000000000000455</v>
      </c>
      <c r="H2197" s="16" t="s">
        <v>285</v>
      </c>
      <c r="I2197" s="10">
        <f t="shared" si="629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>
        <v>1205.8</v>
      </c>
      <c r="F2198" s="22">
        <v>1210.0999999999999</v>
      </c>
      <c r="G2198" s="15">
        <f t="shared" si="628"/>
        <v>4.2999999999999545</v>
      </c>
      <c r="H2198" s="16" t="s">
        <v>359</v>
      </c>
      <c r="I2198" s="10">
        <f t="shared" si="629"/>
        <v>496.77419354838707</v>
      </c>
      <c r="J2198" s="16" t="s">
        <v>16</v>
      </c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>
        <v>1210.0999999999999</v>
      </c>
      <c r="F2199" s="22">
        <v>1215.4000000000001</v>
      </c>
      <c r="G2199" s="15">
        <f t="shared" si="628"/>
        <v>5.3000000000001819</v>
      </c>
      <c r="H2199" s="16" t="s">
        <v>359</v>
      </c>
      <c r="I2199" s="10">
        <f t="shared" si="629"/>
        <v>496.77419354838707</v>
      </c>
      <c r="J2199" s="16" t="s">
        <v>16</v>
      </c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359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359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/>
      <c r="F2202" s="22"/>
      <c r="G2202" s="15">
        <f t="shared" si="628"/>
        <v>0</v>
      </c>
      <c r="H2202" s="16" t="s">
        <v>359</v>
      </c>
      <c r="I2202" s="10">
        <f t="shared" si="629"/>
        <v>496.77419354838707</v>
      </c>
      <c r="J2202" s="16" t="s">
        <v>16</v>
      </c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359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359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359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359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359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359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359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359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359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359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359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359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359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359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359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359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359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359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359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359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359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279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/>
      <c r="F2371" s="15"/>
      <c r="G2371" s="15">
        <f t="shared" si="673"/>
        <v>0</v>
      </c>
      <c r="H2371" s="16" t="s">
        <v>279</v>
      </c>
      <c r="I2371" s="10">
        <f t="shared" si="672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263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2">C$2531</f>
        <v>VIBRO VOGELE SUPER 1303 CHASSIS 23110044</v>
      </c>
      <c r="D2534" s="8">
        <f t="shared" si="721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3">SUM(R2534+Q2534+I2534)</f>
        <v>464.51612903225805</v>
      </c>
    </row>
    <row r="2535" spans="2:19" outlineLevel="1">
      <c r="B2535" s="13" t="s">
        <v>170</v>
      </c>
      <c r="C2535" s="7" t="str">
        <f t="shared" si="722"/>
        <v>VIBRO VOGELE SUPER 1303 CHASSIS 23110044</v>
      </c>
      <c r="D2535" s="8">
        <f t="shared" si="721"/>
        <v>46084</v>
      </c>
      <c r="E2535" s="15"/>
      <c r="F2535" s="15"/>
      <c r="G2535" s="15">
        <f t="shared" ref="G2535:G2563" si="724">F2535-E2535</f>
        <v>0</v>
      </c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3"/>
        <v>464.51612903225805</v>
      </c>
    </row>
    <row r="2536" spans="2:19" outlineLevel="1">
      <c r="B2536" s="13" t="s">
        <v>170</v>
      </c>
      <c r="C2536" s="7" t="str">
        <f t="shared" si="722"/>
        <v>VIBRO VOGELE SUPER 1303 CHASSIS 23110044</v>
      </c>
      <c r="D2536" s="8">
        <f t="shared" si="721"/>
        <v>46085</v>
      </c>
      <c r="E2536" s="15">
        <v>1253.7</v>
      </c>
      <c r="F2536" s="15">
        <v>1258.4000000000001</v>
      </c>
      <c r="G2536" s="15">
        <f t="shared" si="724"/>
        <v>4.7000000000000455</v>
      </c>
      <c r="H2536" s="16" t="s">
        <v>262</v>
      </c>
      <c r="I2536" s="10">
        <f t="shared" si="725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3"/>
        <v>464.51612903225805</v>
      </c>
    </row>
    <row r="2537" spans="2:19" outlineLevel="1">
      <c r="B2537" s="13" t="s">
        <v>170</v>
      </c>
      <c r="C2537" s="7" t="str">
        <f t="shared" si="722"/>
        <v>VIBRO VOGELE SUPER 1303 CHASSIS 23110044</v>
      </c>
      <c r="D2537" s="8">
        <f t="shared" si="721"/>
        <v>46086</v>
      </c>
      <c r="E2537" s="15">
        <v>1258.4000000000001</v>
      </c>
      <c r="F2537" s="15">
        <v>1262.9000000000001</v>
      </c>
      <c r="G2537" s="15">
        <f t="shared" si="724"/>
        <v>4.5</v>
      </c>
      <c r="H2537" s="16" t="s">
        <v>262</v>
      </c>
      <c r="I2537" s="10">
        <f t="shared" si="725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3"/>
        <v>464.51612903225805</v>
      </c>
    </row>
    <row r="2538" spans="2:19" outlineLevel="1">
      <c r="B2538" s="13" t="s">
        <v>170</v>
      </c>
      <c r="C2538" s="7" t="str">
        <f t="shared" si="722"/>
        <v>VIBRO VOGELE SUPER 1303 CHASSIS 23110044</v>
      </c>
      <c r="D2538" s="8">
        <f t="shared" si="721"/>
        <v>46087</v>
      </c>
      <c r="E2538" s="15">
        <v>1262.9000000000001</v>
      </c>
      <c r="F2538" s="15">
        <v>1266.4000000000001</v>
      </c>
      <c r="G2538" s="15">
        <f t="shared" si="724"/>
        <v>3.5</v>
      </c>
      <c r="H2538" s="16" t="s">
        <v>262</v>
      </c>
      <c r="I2538" s="10">
        <f t="shared" si="725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3"/>
        <v>464.51612903225805</v>
      </c>
    </row>
    <row r="2539" spans="2:19" outlineLevel="1">
      <c r="B2539" s="13" t="s">
        <v>170</v>
      </c>
      <c r="C2539" s="7" t="str">
        <f t="shared" si="722"/>
        <v>VIBRO VOGELE SUPER 1303 CHASSIS 23110044</v>
      </c>
      <c r="D2539" s="8">
        <f t="shared" si="721"/>
        <v>46088</v>
      </c>
      <c r="E2539" s="15"/>
      <c r="F2539" s="15"/>
      <c r="G2539" s="15">
        <f t="shared" si="724"/>
        <v>0</v>
      </c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3"/>
        <v>464.51612903225805</v>
      </c>
    </row>
    <row r="2540" spans="2:19" outlineLevel="1">
      <c r="B2540" s="13" t="s">
        <v>170</v>
      </c>
      <c r="C2540" s="7" t="str">
        <f t="shared" si="722"/>
        <v>VIBRO VOGELE SUPER 1303 CHASSIS 23110044</v>
      </c>
      <c r="D2540" s="8">
        <f t="shared" si="721"/>
        <v>46089</v>
      </c>
      <c r="E2540" s="15"/>
      <c r="F2540" s="15"/>
      <c r="G2540" s="15">
        <f t="shared" si="724"/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3"/>
        <v>464.51612903225805</v>
      </c>
    </row>
    <row r="2541" spans="2:19" outlineLevel="1">
      <c r="B2541" s="13" t="s">
        <v>170</v>
      </c>
      <c r="C2541" s="7" t="str">
        <f t="shared" si="722"/>
        <v>VIBRO VOGELE SUPER 1303 CHASSIS 23110044</v>
      </c>
      <c r="D2541" s="8">
        <f t="shared" si="721"/>
        <v>46090</v>
      </c>
      <c r="E2541" s="15"/>
      <c r="F2541" s="15"/>
      <c r="G2541" s="15">
        <f t="shared" si="724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3"/>
        <v>464.51612903225805</v>
      </c>
    </row>
    <row r="2542" spans="2:19" outlineLevel="1">
      <c r="B2542" s="13" t="s">
        <v>170</v>
      </c>
      <c r="C2542" s="7" t="str">
        <f t="shared" si="722"/>
        <v>VIBRO VOGELE SUPER 1303 CHASSIS 23110044</v>
      </c>
      <c r="D2542" s="8">
        <f t="shared" si="721"/>
        <v>46091</v>
      </c>
      <c r="E2542" s="15"/>
      <c r="F2542" s="15"/>
      <c r="G2542" s="15">
        <f t="shared" si="724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3"/>
        <v>464.51612903225805</v>
      </c>
    </row>
    <row r="2543" spans="2:19" outlineLevel="1">
      <c r="B2543" s="13" t="s">
        <v>170</v>
      </c>
      <c r="C2543" s="7" t="str">
        <f t="shared" si="722"/>
        <v>VIBRO VOGELE SUPER 1303 CHASSIS 23110044</v>
      </c>
      <c r="D2543" s="8">
        <f t="shared" si="721"/>
        <v>46092</v>
      </c>
      <c r="E2543" s="15"/>
      <c r="F2543" s="15"/>
      <c r="G2543" s="15">
        <f t="shared" si="724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3"/>
        <v>464.51612903225805</v>
      </c>
    </row>
    <row r="2544" spans="2:19" outlineLevel="1">
      <c r="B2544" s="13" t="s">
        <v>170</v>
      </c>
      <c r="C2544" s="7" t="str">
        <f t="shared" si="722"/>
        <v>VIBRO VOGELE SUPER 1303 CHASSIS 23110044</v>
      </c>
      <c r="D2544" s="8">
        <f t="shared" si="721"/>
        <v>46093</v>
      </c>
      <c r="E2544" s="15"/>
      <c r="F2544" s="15"/>
      <c r="G2544" s="15">
        <f t="shared" si="724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3"/>
        <v>464.51612903225805</v>
      </c>
    </row>
    <row r="2545" spans="2:19" outlineLevel="1">
      <c r="B2545" s="13" t="s">
        <v>170</v>
      </c>
      <c r="C2545" s="7" t="str">
        <f t="shared" si="722"/>
        <v>VIBRO VOGELE SUPER 1303 CHASSIS 23110044</v>
      </c>
      <c r="D2545" s="8">
        <f t="shared" si="721"/>
        <v>46094</v>
      </c>
      <c r="E2545" s="15"/>
      <c r="F2545" s="15"/>
      <c r="G2545" s="15">
        <f t="shared" si="724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3"/>
        <v>464.51612903225805</v>
      </c>
    </row>
    <row r="2546" spans="2:19" outlineLevel="1">
      <c r="B2546" s="13" t="s">
        <v>170</v>
      </c>
      <c r="C2546" s="7" t="str">
        <f t="shared" si="722"/>
        <v>VIBRO VOGELE SUPER 1303 CHASSIS 23110044</v>
      </c>
      <c r="D2546" s="8">
        <f t="shared" si="721"/>
        <v>46095</v>
      </c>
      <c r="E2546" s="15"/>
      <c r="F2546" s="15"/>
      <c r="G2546" s="15">
        <f t="shared" si="724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3"/>
        <v>464.51612903225805</v>
      </c>
    </row>
    <row r="2547" spans="2:19" outlineLevel="1">
      <c r="B2547" s="13" t="s">
        <v>170</v>
      </c>
      <c r="C2547" s="7" t="str">
        <f t="shared" si="722"/>
        <v>VIBRO VOGELE SUPER 1303 CHASSIS 23110044</v>
      </c>
      <c r="D2547" s="8">
        <f t="shared" si="721"/>
        <v>46096</v>
      </c>
      <c r="E2547" s="15"/>
      <c r="F2547" s="15"/>
      <c r="G2547" s="15">
        <f t="shared" si="724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3"/>
        <v>464.51612903225805</v>
      </c>
    </row>
    <row r="2548" spans="2:19" outlineLevel="1">
      <c r="B2548" s="13" t="s">
        <v>170</v>
      </c>
      <c r="C2548" s="7" t="str">
        <f t="shared" si="722"/>
        <v>VIBRO VOGELE SUPER 1303 CHASSIS 23110044</v>
      </c>
      <c r="D2548" s="8">
        <f t="shared" si="721"/>
        <v>46097</v>
      </c>
      <c r="E2548" s="15"/>
      <c r="F2548" s="15"/>
      <c r="G2548" s="15">
        <f t="shared" si="724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3"/>
        <v>464.51612903225805</v>
      </c>
    </row>
    <row r="2549" spans="2:19" outlineLevel="1">
      <c r="B2549" s="13" t="s">
        <v>170</v>
      </c>
      <c r="C2549" s="7" t="str">
        <f t="shared" si="722"/>
        <v>VIBRO VOGELE SUPER 1303 CHASSIS 23110044</v>
      </c>
      <c r="D2549" s="8">
        <f t="shared" si="721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3"/>
        <v>464.51612903225805</v>
      </c>
    </row>
    <row r="2550" spans="2:19" outlineLevel="1">
      <c r="B2550" s="13" t="s">
        <v>170</v>
      </c>
      <c r="C2550" s="7" t="str">
        <f t="shared" si="722"/>
        <v>VIBRO VOGELE SUPER 1303 CHASSIS 23110044</v>
      </c>
      <c r="D2550" s="8">
        <f t="shared" si="721"/>
        <v>46099</v>
      </c>
      <c r="E2550" s="15"/>
      <c r="F2550" s="15"/>
      <c r="G2550" s="15">
        <f t="shared" si="724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3"/>
        <v>464.51612903225805</v>
      </c>
    </row>
    <row r="2551" spans="2:19" outlineLevel="1">
      <c r="B2551" s="13" t="s">
        <v>170</v>
      </c>
      <c r="C2551" s="7" t="str">
        <f t="shared" si="722"/>
        <v>VIBRO VOGELE SUPER 1303 CHASSIS 23110044</v>
      </c>
      <c r="D2551" s="8">
        <f t="shared" si="721"/>
        <v>46100</v>
      </c>
      <c r="E2551" s="15"/>
      <c r="F2551" s="15"/>
      <c r="G2551" s="15">
        <f t="shared" si="724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3"/>
        <v>464.51612903225805</v>
      </c>
    </row>
    <row r="2552" spans="2:19" outlineLevel="1">
      <c r="B2552" s="13" t="s">
        <v>170</v>
      </c>
      <c r="C2552" s="7" t="str">
        <f t="shared" si="722"/>
        <v>VIBRO VOGELE SUPER 1303 CHASSIS 23110044</v>
      </c>
      <c r="D2552" s="8">
        <f t="shared" si="721"/>
        <v>46101</v>
      </c>
      <c r="E2552" s="15"/>
      <c r="F2552" s="15"/>
      <c r="G2552" s="15">
        <f t="shared" si="724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6">O2551</f>
        <v>0</v>
      </c>
      <c r="P2552" s="9"/>
      <c r="Q2552" s="9"/>
      <c r="R2552" s="72"/>
      <c r="S2552" s="10">
        <f t="shared" si="723"/>
        <v>464.51612903225805</v>
      </c>
    </row>
    <row r="2553" spans="2:19" outlineLevel="1">
      <c r="B2553" s="13" t="s">
        <v>170</v>
      </c>
      <c r="C2553" s="7" t="str">
        <f t="shared" si="722"/>
        <v>VIBRO VOGELE SUPER 1303 CHASSIS 23110044</v>
      </c>
      <c r="D2553" s="8">
        <f t="shared" si="721"/>
        <v>46102</v>
      </c>
      <c r="E2553" s="15"/>
      <c r="F2553" s="15"/>
      <c r="G2553" s="15">
        <f t="shared" si="724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6"/>
        <v>0</v>
      </c>
      <c r="P2553" s="9"/>
      <c r="Q2553" s="9"/>
      <c r="R2553" s="72"/>
      <c r="S2553" s="10">
        <f t="shared" si="723"/>
        <v>464.51612903225805</v>
      </c>
    </row>
    <row r="2554" spans="2:19" outlineLevel="1">
      <c r="B2554" s="13" t="s">
        <v>170</v>
      </c>
      <c r="C2554" s="7" t="str">
        <f t="shared" si="722"/>
        <v>VIBRO VOGELE SUPER 1303 CHASSIS 23110044</v>
      </c>
      <c r="D2554" s="8">
        <f t="shared" si="721"/>
        <v>46103</v>
      </c>
      <c r="E2554" s="15"/>
      <c r="F2554" s="15"/>
      <c r="G2554" s="15">
        <f t="shared" si="724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6"/>
        <v>0</v>
      </c>
      <c r="P2554" s="9"/>
      <c r="Q2554" s="9"/>
      <c r="R2554" s="72"/>
      <c r="S2554" s="10">
        <f t="shared" si="723"/>
        <v>464.51612903225805</v>
      </c>
    </row>
    <row r="2555" spans="2:19" outlineLevel="1">
      <c r="B2555" s="13" t="s">
        <v>170</v>
      </c>
      <c r="C2555" s="7" t="str">
        <f t="shared" si="722"/>
        <v>VIBRO VOGELE SUPER 1303 CHASSIS 23110044</v>
      </c>
      <c r="D2555" s="8">
        <f t="shared" si="721"/>
        <v>46104</v>
      </c>
      <c r="E2555" s="15"/>
      <c r="F2555" s="15"/>
      <c r="G2555" s="15">
        <f t="shared" si="724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6"/>
        <v>0</v>
      </c>
      <c r="P2555" s="9"/>
      <c r="Q2555" s="9"/>
      <c r="R2555" s="72"/>
      <c r="S2555" s="10">
        <f t="shared" si="723"/>
        <v>464.51612903225805</v>
      </c>
    </row>
    <row r="2556" spans="2:19" outlineLevel="1">
      <c r="B2556" s="13" t="s">
        <v>170</v>
      </c>
      <c r="C2556" s="7" t="str">
        <f t="shared" si="722"/>
        <v>VIBRO VOGELE SUPER 1303 CHASSIS 23110044</v>
      </c>
      <c r="D2556" s="8">
        <f t="shared" si="721"/>
        <v>46105</v>
      </c>
      <c r="E2556" s="15"/>
      <c r="F2556" s="15"/>
      <c r="G2556" s="15">
        <f t="shared" si="724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6"/>
        <v>0</v>
      </c>
      <c r="P2556" s="9"/>
      <c r="Q2556" s="9"/>
      <c r="R2556" s="72"/>
      <c r="S2556" s="10">
        <f t="shared" si="723"/>
        <v>464.51612903225805</v>
      </c>
    </row>
    <row r="2557" spans="2:19" outlineLevel="1">
      <c r="B2557" s="13" t="s">
        <v>170</v>
      </c>
      <c r="C2557" s="7" t="str">
        <f t="shared" si="722"/>
        <v>VIBRO VOGELE SUPER 1303 CHASSIS 23110044</v>
      </c>
      <c r="D2557" s="8">
        <f t="shared" si="721"/>
        <v>46106</v>
      </c>
      <c r="E2557" s="15"/>
      <c r="F2557" s="15"/>
      <c r="G2557" s="15">
        <f t="shared" si="724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6"/>
        <v>0</v>
      </c>
      <c r="P2557" s="9"/>
      <c r="Q2557" s="9"/>
      <c r="R2557" s="72"/>
      <c r="S2557" s="10">
        <f t="shared" si="723"/>
        <v>464.51612903225805</v>
      </c>
    </row>
    <row r="2558" spans="2:19" outlineLevel="1">
      <c r="B2558" s="13" t="s">
        <v>170</v>
      </c>
      <c r="C2558" s="7" t="str">
        <f t="shared" si="722"/>
        <v>VIBRO VOGELE SUPER 1303 CHASSIS 23110044</v>
      </c>
      <c r="D2558" s="8">
        <f t="shared" si="721"/>
        <v>46107</v>
      </c>
      <c r="E2558" s="15"/>
      <c r="F2558" s="15"/>
      <c r="G2558" s="15">
        <f t="shared" si="724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6"/>
        <v>0</v>
      </c>
      <c r="P2558" s="9"/>
      <c r="Q2558" s="9"/>
      <c r="R2558" s="72"/>
      <c r="S2558" s="10">
        <f t="shared" si="723"/>
        <v>464.51612903225805</v>
      </c>
    </row>
    <row r="2559" spans="2:19" outlineLevel="1">
      <c r="B2559" s="13" t="s">
        <v>170</v>
      </c>
      <c r="C2559" s="7" t="str">
        <f t="shared" si="722"/>
        <v>VIBRO VOGELE SUPER 1303 CHASSIS 23110044</v>
      </c>
      <c r="D2559" s="8">
        <f t="shared" si="721"/>
        <v>46108</v>
      </c>
      <c r="E2559" s="15"/>
      <c r="F2559" s="15"/>
      <c r="G2559" s="15">
        <f t="shared" si="724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6"/>
        <v>0</v>
      </c>
      <c r="P2559" s="9"/>
      <c r="Q2559" s="9"/>
      <c r="R2559" s="72"/>
      <c r="S2559" s="10">
        <f t="shared" si="723"/>
        <v>464.51612903225805</v>
      </c>
    </row>
    <row r="2560" spans="2:19" outlineLevel="1">
      <c r="B2560" s="13" t="s">
        <v>170</v>
      </c>
      <c r="C2560" s="7" t="str">
        <f t="shared" si="722"/>
        <v>VIBRO VOGELE SUPER 1303 CHASSIS 23110044</v>
      </c>
      <c r="D2560" s="8">
        <f t="shared" ref="D2560" si="727">D2492</f>
        <v>46109</v>
      </c>
      <c r="E2560" s="15"/>
      <c r="F2560" s="15"/>
      <c r="G2560" s="15">
        <f t="shared" si="724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8">SUM(R2560+Q2560+I2560)</f>
        <v>464.51612903225805</v>
      </c>
    </row>
    <row r="2561" spans="2:19" outlineLevel="1">
      <c r="B2561" s="13" t="s">
        <v>170</v>
      </c>
      <c r="C2561" s="7" t="str">
        <f t="shared" si="722"/>
        <v>VIBRO VOGELE SUPER 1303 CHASSIS 23110044</v>
      </c>
      <c r="D2561" s="8">
        <f t="shared" ref="D2561:D2563" si="729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8"/>
        <v>464.51612903225805</v>
      </c>
    </row>
    <row r="2562" spans="2:19" outlineLevel="1">
      <c r="B2562" s="13" t="s">
        <v>170</v>
      </c>
      <c r="C2562" s="7" t="str">
        <f t="shared" si="722"/>
        <v>VIBRO VOGELE SUPER 1303 CHASSIS 23110044</v>
      </c>
      <c r="D2562" s="8">
        <f t="shared" si="729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8"/>
        <v>464.51612903225805</v>
      </c>
    </row>
    <row r="2563" spans="2:19" outlineLevel="1">
      <c r="B2563" s="13" t="s">
        <v>170</v>
      </c>
      <c r="C2563" s="7" t="str">
        <f t="shared" si="722"/>
        <v>VIBRO VOGELE SUPER 1303 CHASSIS 23110044</v>
      </c>
      <c r="D2563" s="8">
        <f t="shared" si="729"/>
        <v>46112</v>
      </c>
      <c r="E2563" s="15"/>
      <c r="F2563" s="15"/>
      <c r="G2563" s="15">
        <f t="shared" si="724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3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0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30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30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30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30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30"/>
        <v>46087</v>
      </c>
      <c r="E2572" s="15"/>
      <c r="F2572" s="15"/>
      <c r="G2572" s="15"/>
      <c r="H2572" s="16" t="s">
        <v>262</v>
      </c>
      <c r="I2572" s="10">
        <f t="shared" si="733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30"/>
        <v>46088</v>
      </c>
      <c r="E2573" s="15"/>
      <c r="F2573" s="15"/>
      <c r="G2573" s="15"/>
      <c r="H2573" s="16" t="s">
        <v>262</v>
      </c>
      <c r="I2573" s="10">
        <f t="shared" si="733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30"/>
        <v>46089</v>
      </c>
      <c r="E2574" s="15"/>
      <c r="F2574" s="15"/>
      <c r="G2574" s="15">
        <f t="shared" ref="G2574:G2597" si="734">F2574-E2574</f>
        <v>0</v>
      </c>
      <c r="H2574" s="16" t="s">
        <v>262</v>
      </c>
      <c r="I2574" s="10">
        <f t="shared" si="733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30"/>
        <v>46090</v>
      </c>
      <c r="E2575" s="15"/>
      <c r="F2575" s="15"/>
      <c r="G2575" s="15">
        <f t="shared" si="734"/>
        <v>0</v>
      </c>
      <c r="H2575" s="16" t="s">
        <v>262</v>
      </c>
      <c r="I2575" s="10">
        <f t="shared" si="733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30"/>
        <v>46091</v>
      </c>
      <c r="E2576" s="15"/>
      <c r="F2576" s="15"/>
      <c r="G2576" s="15">
        <f t="shared" si="734"/>
        <v>0</v>
      </c>
      <c r="H2576" s="16" t="s">
        <v>262</v>
      </c>
      <c r="I2576" s="10">
        <f t="shared" si="733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30"/>
        <v>46092</v>
      </c>
      <c r="E2577" s="15"/>
      <c r="F2577" s="15"/>
      <c r="G2577" s="15">
        <f t="shared" si="734"/>
        <v>0</v>
      </c>
      <c r="H2577" s="16" t="s">
        <v>262</v>
      </c>
      <c r="I2577" s="10">
        <f t="shared" si="733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30"/>
        <v>46093</v>
      </c>
      <c r="E2578" s="15"/>
      <c r="F2578" s="15"/>
      <c r="G2578" s="15">
        <f t="shared" si="734"/>
        <v>0</v>
      </c>
      <c r="H2578" s="16" t="s">
        <v>262</v>
      </c>
      <c r="I2578" s="10">
        <f t="shared" si="733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30"/>
        <v>46094</v>
      </c>
      <c r="E2579" s="15"/>
      <c r="F2579" s="15"/>
      <c r="G2579" s="15">
        <f t="shared" si="734"/>
        <v>0</v>
      </c>
      <c r="H2579" s="16" t="s">
        <v>262</v>
      </c>
      <c r="I2579" s="10">
        <f t="shared" si="733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30"/>
        <v>46095</v>
      </c>
      <c r="E2580" s="15"/>
      <c r="F2580" s="15"/>
      <c r="G2580" s="15">
        <f t="shared" si="734"/>
        <v>0</v>
      </c>
      <c r="H2580" s="16" t="s">
        <v>262</v>
      </c>
      <c r="I2580" s="10">
        <f t="shared" si="733"/>
        <v>464.51612903225805</v>
      </c>
      <c r="J2580" s="16" t="s">
        <v>16</v>
      </c>
      <c r="K2580" s="15"/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30"/>
        <v>46096</v>
      </c>
      <c r="E2581" s="15"/>
      <c r="F2581" s="15"/>
      <c r="G2581" s="15">
        <f t="shared" si="734"/>
        <v>0</v>
      </c>
      <c r="H2581" s="16" t="s">
        <v>262</v>
      </c>
      <c r="I2581" s="10">
        <f t="shared" si="733"/>
        <v>464.51612903225805</v>
      </c>
      <c r="J2581" s="16" t="s">
        <v>16</v>
      </c>
      <c r="K2581" s="15"/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30"/>
        <v>46097</v>
      </c>
      <c r="E2582" s="15"/>
      <c r="F2582" s="15"/>
      <c r="G2582" s="15">
        <f t="shared" si="734"/>
        <v>0</v>
      </c>
      <c r="H2582" s="16" t="s">
        <v>262</v>
      </c>
      <c r="I2582" s="10">
        <f t="shared" si="733"/>
        <v>464.51612903225805</v>
      </c>
      <c r="J2582" s="16" t="s">
        <v>16</v>
      </c>
      <c r="K2582" s="15"/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30"/>
        <v>46098</v>
      </c>
      <c r="E2583" s="15"/>
      <c r="F2583" s="15"/>
      <c r="G2583" s="15">
        <f t="shared" si="734"/>
        <v>0</v>
      </c>
      <c r="H2583" s="16" t="s">
        <v>262</v>
      </c>
      <c r="I2583" s="10">
        <f t="shared" si="733"/>
        <v>464.51612903225805</v>
      </c>
      <c r="J2583" s="16" t="s">
        <v>16</v>
      </c>
      <c r="K2583" s="15"/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30"/>
        <v>46099</v>
      </c>
      <c r="E2584" s="15"/>
      <c r="F2584" s="15"/>
      <c r="G2584" s="15">
        <f t="shared" si="734"/>
        <v>0</v>
      </c>
      <c r="H2584" s="16" t="s">
        <v>262</v>
      </c>
      <c r="I2584" s="10">
        <f t="shared" si="733"/>
        <v>464.51612903225805</v>
      </c>
      <c r="J2584" s="16" t="s">
        <v>16</v>
      </c>
      <c r="K2584" s="15"/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30"/>
        <v>46100</v>
      </c>
      <c r="E2585" s="15"/>
      <c r="F2585" s="15"/>
      <c r="G2585" s="15">
        <f t="shared" si="734"/>
        <v>0</v>
      </c>
      <c r="H2585" s="16" t="s">
        <v>262</v>
      </c>
      <c r="I2585" s="10">
        <f t="shared" si="733"/>
        <v>464.51612903225805</v>
      </c>
      <c r="J2585" s="16" t="s">
        <v>16</v>
      </c>
      <c r="K2585" s="15"/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30"/>
        <v>46101</v>
      </c>
      <c r="E2586" s="15"/>
      <c r="F2586" s="15"/>
      <c r="G2586" s="15">
        <f t="shared" si="734"/>
        <v>0</v>
      </c>
      <c r="H2586" s="16" t="s">
        <v>262</v>
      </c>
      <c r="I2586" s="10">
        <f t="shared" si="733"/>
        <v>464.51612903225805</v>
      </c>
      <c r="J2586" s="16" t="s">
        <v>16</v>
      </c>
      <c r="K2586" s="15"/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30"/>
        <v>46102</v>
      </c>
      <c r="E2587" s="15"/>
      <c r="F2587" s="15"/>
      <c r="G2587" s="15">
        <f t="shared" si="734"/>
        <v>0</v>
      </c>
      <c r="H2587" s="16" t="s">
        <v>262</v>
      </c>
      <c r="I2587" s="10">
        <f t="shared" si="733"/>
        <v>464.51612903225805</v>
      </c>
      <c r="J2587" s="16" t="s">
        <v>16</v>
      </c>
      <c r="K2587" s="15"/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30"/>
        <v>46103</v>
      </c>
      <c r="E2588" s="15"/>
      <c r="F2588" s="15"/>
      <c r="G2588" s="15">
        <f t="shared" si="734"/>
        <v>0</v>
      </c>
      <c r="H2588" s="16" t="s">
        <v>262</v>
      </c>
      <c r="I2588" s="10">
        <f t="shared" si="733"/>
        <v>464.51612903225805</v>
      </c>
      <c r="J2588" s="16" t="s">
        <v>16</v>
      </c>
      <c r="K2588" s="15"/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30"/>
        <v>46104</v>
      </c>
      <c r="E2589" s="15"/>
      <c r="F2589" s="15"/>
      <c r="G2589" s="15">
        <f t="shared" si="734"/>
        <v>0</v>
      </c>
      <c r="H2589" s="16" t="s">
        <v>262</v>
      </c>
      <c r="I2589" s="10">
        <f t="shared" si="733"/>
        <v>464.51612903225805</v>
      </c>
      <c r="J2589" s="16" t="s">
        <v>16</v>
      </c>
      <c r="K2589" s="15"/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30"/>
        <v>46105</v>
      </c>
      <c r="E2590" s="15"/>
      <c r="F2590" s="15"/>
      <c r="G2590" s="15">
        <f t="shared" si="734"/>
        <v>0</v>
      </c>
      <c r="H2590" s="16" t="s">
        <v>262</v>
      </c>
      <c r="I2590" s="10">
        <f t="shared" si="733"/>
        <v>464.51612903225805</v>
      </c>
      <c r="J2590" s="16" t="s">
        <v>16</v>
      </c>
      <c r="K2590" s="15"/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30"/>
        <v>46106</v>
      </c>
      <c r="E2591" s="15"/>
      <c r="F2591" s="15"/>
      <c r="G2591" s="15">
        <f t="shared" si="734"/>
        <v>0</v>
      </c>
      <c r="H2591" s="16" t="s">
        <v>262</v>
      </c>
      <c r="I2591" s="10">
        <f t="shared" si="733"/>
        <v>464.51612903225805</v>
      </c>
      <c r="J2591" s="16" t="s">
        <v>16</v>
      </c>
      <c r="K2591" s="15"/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30"/>
        <v>46107</v>
      </c>
      <c r="E2592" s="15"/>
      <c r="F2592" s="15"/>
      <c r="G2592" s="15">
        <f t="shared" si="734"/>
        <v>0</v>
      </c>
      <c r="H2592" s="16" t="s">
        <v>262</v>
      </c>
      <c r="I2592" s="10">
        <f t="shared" si="733"/>
        <v>464.51612903225805</v>
      </c>
      <c r="J2592" s="16" t="s">
        <v>16</v>
      </c>
      <c r="K2592" s="15"/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30"/>
        <v>46108</v>
      </c>
      <c r="E2593" s="15"/>
      <c r="F2593" s="15"/>
      <c r="G2593" s="15">
        <f t="shared" si="734"/>
        <v>0</v>
      </c>
      <c r="H2593" s="16" t="s">
        <v>262</v>
      </c>
      <c r="I2593" s="10">
        <f t="shared" si="733"/>
        <v>464.51612903225805</v>
      </c>
      <c r="J2593" s="16" t="s">
        <v>16</v>
      </c>
      <c r="K2593" s="15"/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ref="G2594:G2596" si="737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8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9">D2527</f>
        <v>46110</v>
      </c>
      <c r="E2595" s="15"/>
      <c r="F2595" s="15"/>
      <c r="G2595" s="15">
        <f t="shared" si="737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8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9"/>
        <v>46111</v>
      </c>
      <c r="E2596" s="15"/>
      <c r="F2596" s="15"/>
      <c r="G2596" s="15">
        <f t="shared" si="737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8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9"/>
        <v>46112</v>
      </c>
      <c r="E2597" s="15"/>
      <c r="F2597" s="15"/>
      <c r="G2597" s="15">
        <f t="shared" si="734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0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1">SUM(R2601+Q2601+I2601)</f>
        <v>645.16129032258061</v>
      </c>
    </row>
    <row r="2602" spans="2:19" outlineLevel="1">
      <c r="B2602" s="13" t="s">
        <v>174</v>
      </c>
      <c r="C2602" s="7" t="str">
        <f t="shared" ref="C2602:C2631" si="742">C$2599</f>
        <v>ESPARGIDOR MERCEDES ATEGO 1719 PLACA OLX-8A75 ANO 2012</v>
      </c>
      <c r="D2602" s="8">
        <f t="shared" si="740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1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0"/>
        <v>46084</v>
      </c>
      <c r="E2603" s="15">
        <v>52815</v>
      </c>
      <c r="F2603" s="15">
        <v>52897</v>
      </c>
      <c r="G2603" s="15">
        <f t="shared" ref="G2603:G2631" si="743">F2603-E2603</f>
        <v>82</v>
      </c>
      <c r="H2603" s="16" t="s">
        <v>279</v>
      </c>
      <c r="I2603" s="10">
        <f t="shared" ref="I2603:I2627" si="744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1"/>
        <v>645.16129032258061</v>
      </c>
    </row>
    <row r="2604" spans="2:19" outlineLevel="1">
      <c r="B2604" s="13" t="s">
        <v>174</v>
      </c>
      <c r="C2604" s="7" t="str">
        <f t="shared" si="742"/>
        <v>ESPARGIDOR MERCEDES ATEGO 1719 PLACA OLX-8A75 ANO 2012</v>
      </c>
      <c r="D2604" s="8">
        <f t="shared" si="740"/>
        <v>46085</v>
      </c>
      <c r="E2604" s="15">
        <v>52897</v>
      </c>
      <c r="F2604" s="15">
        <v>52968</v>
      </c>
      <c r="G2604" s="15">
        <f t="shared" si="743"/>
        <v>71</v>
      </c>
      <c r="H2604" s="16" t="s">
        <v>279</v>
      </c>
      <c r="I2604" s="10">
        <f t="shared" si="744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1"/>
        <v>645.16129032258061</v>
      </c>
    </row>
    <row r="2605" spans="2:19" outlineLevel="1">
      <c r="B2605" s="13" t="s">
        <v>174</v>
      </c>
      <c r="C2605" s="7" t="str">
        <f t="shared" si="742"/>
        <v>ESPARGIDOR MERCEDES ATEGO 1719 PLACA OLX-8A75 ANO 2012</v>
      </c>
      <c r="D2605" s="8">
        <f t="shared" si="740"/>
        <v>46086</v>
      </c>
      <c r="E2605" s="15"/>
      <c r="F2605" s="15"/>
      <c r="G2605" s="15">
        <f t="shared" si="743"/>
        <v>0</v>
      </c>
      <c r="H2605" s="16" t="s">
        <v>279</v>
      </c>
      <c r="I2605" s="10">
        <f t="shared" si="744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1"/>
        <v>645.16129032258061</v>
      </c>
    </row>
    <row r="2606" spans="2:19" outlineLevel="1">
      <c r="B2606" s="13" t="s">
        <v>174</v>
      </c>
      <c r="C2606" s="7" t="str">
        <f t="shared" si="742"/>
        <v>ESPARGIDOR MERCEDES ATEGO 1719 PLACA OLX-8A75 ANO 2012</v>
      </c>
      <c r="D2606" s="8">
        <f t="shared" si="740"/>
        <v>46087</v>
      </c>
      <c r="E2606" s="15"/>
      <c r="F2606" s="15"/>
      <c r="G2606" s="15">
        <f t="shared" si="743"/>
        <v>0</v>
      </c>
      <c r="H2606" s="16" t="s">
        <v>279</v>
      </c>
      <c r="I2606" s="10">
        <f t="shared" si="744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1"/>
        <v>645.16129032258061</v>
      </c>
    </row>
    <row r="2607" spans="2:19" outlineLevel="1">
      <c r="B2607" s="13" t="s">
        <v>174</v>
      </c>
      <c r="C2607" s="7" t="str">
        <f t="shared" si="742"/>
        <v>ESPARGIDOR MERCEDES ATEGO 1719 PLACA OLX-8A75 ANO 2012</v>
      </c>
      <c r="D2607" s="8">
        <f t="shared" si="740"/>
        <v>46088</v>
      </c>
      <c r="E2607" s="15"/>
      <c r="F2607" s="15"/>
      <c r="G2607" s="15">
        <f t="shared" si="743"/>
        <v>0</v>
      </c>
      <c r="H2607" s="16" t="s">
        <v>279</v>
      </c>
      <c r="I2607" s="10">
        <f t="shared" si="744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1"/>
        <v>645.16129032258061</v>
      </c>
    </row>
    <row r="2608" spans="2:19" outlineLevel="1">
      <c r="B2608" s="13" t="s">
        <v>174</v>
      </c>
      <c r="C2608" s="7" t="str">
        <f t="shared" si="742"/>
        <v>ESPARGIDOR MERCEDES ATEGO 1719 PLACA OLX-8A75 ANO 2012</v>
      </c>
      <c r="D2608" s="8">
        <f t="shared" si="740"/>
        <v>46089</v>
      </c>
      <c r="E2608" s="15"/>
      <c r="F2608" s="15"/>
      <c r="G2608" s="15">
        <f t="shared" si="743"/>
        <v>0</v>
      </c>
      <c r="H2608" s="16" t="s">
        <v>279</v>
      </c>
      <c r="I2608" s="10">
        <f t="shared" si="74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1"/>
        <v>645.16129032258061</v>
      </c>
    </row>
    <row r="2609" spans="2:19" outlineLevel="1">
      <c r="B2609" s="13" t="s">
        <v>174</v>
      </c>
      <c r="C2609" s="7" t="str">
        <f t="shared" si="742"/>
        <v>ESPARGIDOR MERCEDES ATEGO 1719 PLACA OLX-8A75 ANO 2012</v>
      </c>
      <c r="D2609" s="8">
        <f t="shared" si="740"/>
        <v>46090</v>
      </c>
      <c r="E2609" s="15"/>
      <c r="F2609" s="15"/>
      <c r="G2609" s="15">
        <f t="shared" si="743"/>
        <v>0</v>
      </c>
      <c r="H2609" s="16" t="s">
        <v>279</v>
      </c>
      <c r="I2609" s="10">
        <f t="shared" si="744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1"/>
        <v>645.16129032258061</v>
      </c>
    </row>
    <row r="2610" spans="2:19" outlineLevel="1">
      <c r="B2610" s="13" t="s">
        <v>174</v>
      </c>
      <c r="C2610" s="7" t="str">
        <f t="shared" si="742"/>
        <v>ESPARGIDOR MERCEDES ATEGO 1719 PLACA OLX-8A75 ANO 2012</v>
      </c>
      <c r="D2610" s="8">
        <f t="shared" si="740"/>
        <v>46091</v>
      </c>
      <c r="E2610" s="15"/>
      <c r="F2610" s="15"/>
      <c r="G2610" s="15">
        <f t="shared" si="743"/>
        <v>0</v>
      </c>
      <c r="H2610" s="16" t="s">
        <v>279</v>
      </c>
      <c r="I2610" s="10">
        <f t="shared" si="744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1"/>
        <v>645.16129032258061</v>
      </c>
    </row>
    <row r="2611" spans="2:19" outlineLevel="1">
      <c r="B2611" s="13" t="s">
        <v>174</v>
      </c>
      <c r="C2611" s="7" t="str">
        <f t="shared" si="742"/>
        <v>ESPARGIDOR MERCEDES ATEGO 1719 PLACA OLX-8A75 ANO 2012</v>
      </c>
      <c r="D2611" s="8">
        <f t="shared" si="740"/>
        <v>46092</v>
      </c>
      <c r="E2611" s="15"/>
      <c r="F2611" s="15"/>
      <c r="G2611" s="15">
        <f t="shared" si="743"/>
        <v>0</v>
      </c>
      <c r="H2611" s="16" t="s">
        <v>279</v>
      </c>
      <c r="I2611" s="10">
        <f t="shared" si="74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1"/>
        <v>645.16129032258061</v>
      </c>
    </row>
    <row r="2612" spans="2:19" outlineLevel="1">
      <c r="B2612" s="13" t="s">
        <v>174</v>
      </c>
      <c r="C2612" s="7" t="str">
        <f t="shared" si="742"/>
        <v>ESPARGIDOR MERCEDES ATEGO 1719 PLACA OLX-8A75 ANO 2012</v>
      </c>
      <c r="D2612" s="8">
        <f t="shared" si="740"/>
        <v>46093</v>
      </c>
      <c r="E2612" s="15"/>
      <c r="F2612" s="15"/>
      <c r="G2612" s="15">
        <f t="shared" si="743"/>
        <v>0</v>
      </c>
      <c r="H2612" s="16" t="s">
        <v>279</v>
      </c>
      <c r="I2612" s="10">
        <f t="shared" si="744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5">O2611</f>
        <v>0</v>
      </c>
      <c r="P2612" s="9"/>
      <c r="Q2612" s="9"/>
      <c r="R2612" s="9"/>
      <c r="S2612" s="10">
        <f t="shared" si="741"/>
        <v>645.16129032258061</v>
      </c>
    </row>
    <row r="2613" spans="2:19" outlineLevel="1">
      <c r="B2613" s="13" t="s">
        <v>174</v>
      </c>
      <c r="C2613" s="7" t="str">
        <f t="shared" si="742"/>
        <v>ESPARGIDOR MERCEDES ATEGO 1719 PLACA OLX-8A75 ANO 2012</v>
      </c>
      <c r="D2613" s="8">
        <f t="shared" si="740"/>
        <v>46094</v>
      </c>
      <c r="E2613" s="15"/>
      <c r="F2613" s="15"/>
      <c r="G2613" s="15">
        <f t="shared" si="743"/>
        <v>0</v>
      </c>
      <c r="H2613" s="16" t="s">
        <v>279</v>
      </c>
      <c r="I2613" s="10">
        <f t="shared" si="744"/>
        <v>645.16129032258061</v>
      </c>
      <c r="J2613" s="16" t="s">
        <v>16</v>
      </c>
      <c r="K2613" s="15"/>
      <c r="L2613" s="15"/>
      <c r="M2613" s="17"/>
      <c r="N2613" s="9"/>
      <c r="O2613" s="18">
        <f t="shared" si="745"/>
        <v>0</v>
      </c>
      <c r="P2613" s="9"/>
      <c r="Q2613" s="9"/>
      <c r="R2613" s="9"/>
      <c r="S2613" s="10">
        <f t="shared" si="741"/>
        <v>645.16129032258061</v>
      </c>
    </row>
    <row r="2614" spans="2:19" outlineLevel="1">
      <c r="B2614" s="13" t="s">
        <v>174</v>
      </c>
      <c r="C2614" s="7" t="str">
        <f t="shared" si="742"/>
        <v>ESPARGIDOR MERCEDES ATEGO 1719 PLACA OLX-8A75 ANO 2012</v>
      </c>
      <c r="D2614" s="8">
        <f t="shared" si="740"/>
        <v>46095</v>
      </c>
      <c r="E2614" s="15"/>
      <c r="F2614" s="15"/>
      <c r="G2614" s="15">
        <f t="shared" si="743"/>
        <v>0</v>
      </c>
      <c r="H2614" s="16" t="s">
        <v>279</v>
      </c>
      <c r="I2614" s="10">
        <f t="shared" si="744"/>
        <v>645.16129032258061</v>
      </c>
      <c r="J2614" s="16" t="s">
        <v>16</v>
      </c>
      <c r="K2614" s="15"/>
      <c r="L2614" s="15"/>
      <c r="M2614" s="17"/>
      <c r="N2614" s="9"/>
      <c r="O2614" s="18">
        <f t="shared" si="745"/>
        <v>0</v>
      </c>
      <c r="P2614" s="9"/>
      <c r="Q2614" s="9"/>
      <c r="R2614" s="9"/>
      <c r="S2614" s="10">
        <f t="shared" si="741"/>
        <v>645.16129032258061</v>
      </c>
    </row>
    <row r="2615" spans="2:19" outlineLevel="1">
      <c r="B2615" s="13" t="s">
        <v>174</v>
      </c>
      <c r="C2615" s="7" t="str">
        <f t="shared" si="742"/>
        <v>ESPARGIDOR MERCEDES ATEGO 1719 PLACA OLX-8A75 ANO 2012</v>
      </c>
      <c r="D2615" s="8">
        <f t="shared" si="740"/>
        <v>46096</v>
      </c>
      <c r="E2615" s="15"/>
      <c r="F2615" s="15"/>
      <c r="G2615" s="15">
        <f t="shared" si="743"/>
        <v>0</v>
      </c>
      <c r="H2615" s="16" t="s">
        <v>279</v>
      </c>
      <c r="I2615" s="10">
        <f t="shared" si="744"/>
        <v>645.16129032258061</v>
      </c>
      <c r="J2615" s="16" t="s">
        <v>16</v>
      </c>
      <c r="K2615" s="15"/>
      <c r="L2615" s="15"/>
      <c r="M2615" s="17"/>
      <c r="N2615" s="9"/>
      <c r="O2615" s="18">
        <f t="shared" si="745"/>
        <v>0</v>
      </c>
      <c r="P2615" s="9"/>
      <c r="Q2615" s="9"/>
      <c r="R2615" s="9"/>
      <c r="S2615" s="10">
        <f t="shared" si="741"/>
        <v>645.16129032258061</v>
      </c>
    </row>
    <row r="2616" spans="2:19" outlineLevel="1">
      <c r="B2616" s="13" t="s">
        <v>174</v>
      </c>
      <c r="C2616" s="7" t="str">
        <f t="shared" si="742"/>
        <v>ESPARGIDOR MERCEDES ATEGO 1719 PLACA OLX-8A75 ANO 2012</v>
      </c>
      <c r="D2616" s="8">
        <f t="shared" si="740"/>
        <v>46097</v>
      </c>
      <c r="E2616" s="15"/>
      <c r="F2616" s="15"/>
      <c r="G2616" s="15">
        <f t="shared" si="743"/>
        <v>0</v>
      </c>
      <c r="H2616" s="16" t="s">
        <v>279</v>
      </c>
      <c r="I2616" s="10">
        <f t="shared" si="744"/>
        <v>645.16129032258061</v>
      </c>
      <c r="J2616" s="16" t="s">
        <v>16</v>
      </c>
      <c r="K2616" s="15"/>
      <c r="L2616" s="15"/>
      <c r="M2616" s="17"/>
      <c r="N2616" s="9"/>
      <c r="O2616" s="18">
        <f t="shared" si="745"/>
        <v>0</v>
      </c>
      <c r="P2616" s="9"/>
      <c r="Q2616" s="9"/>
      <c r="R2616" s="9"/>
      <c r="S2616" s="10">
        <f t="shared" si="741"/>
        <v>645.16129032258061</v>
      </c>
    </row>
    <row r="2617" spans="2:19" outlineLevel="1">
      <c r="B2617" s="13" t="s">
        <v>174</v>
      </c>
      <c r="C2617" s="7" t="str">
        <f t="shared" si="742"/>
        <v>ESPARGIDOR MERCEDES ATEGO 1719 PLACA OLX-8A75 ANO 2012</v>
      </c>
      <c r="D2617" s="8">
        <f t="shared" si="740"/>
        <v>46098</v>
      </c>
      <c r="E2617" s="15"/>
      <c r="F2617" s="15"/>
      <c r="G2617" s="15">
        <f t="shared" si="743"/>
        <v>0</v>
      </c>
      <c r="H2617" s="16" t="s">
        <v>279</v>
      </c>
      <c r="I2617" s="10">
        <f t="shared" si="744"/>
        <v>645.16129032258061</v>
      </c>
      <c r="J2617" s="16" t="s">
        <v>16</v>
      </c>
      <c r="K2617" s="15"/>
      <c r="L2617" s="15"/>
      <c r="M2617" s="17"/>
      <c r="N2617" s="9"/>
      <c r="O2617" s="18">
        <f t="shared" si="745"/>
        <v>0</v>
      </c>
      <c r="P2617" s="9"/>
      <c r="Q2617" s="9"/>
      <c r="R2617" s="9"/>
      <c r="S2617" s="10">
        <f t="shared" si="741"/>
        <v>645.16129032258061</v>
      </c>
    </row>
    <row r="2618" spans="2:19" outlineLevel="1">
      <c r="B2618" s="13" t="s">
        <v>174</v>
      </c>
      <c r="C2618" s="7" t="str">
        <f t="shared" si="742"/>
        <v>ESPARGIDOR MERCEDES ATEGO 1719 PLACA OLX-8A75 ANO 2012</v>
      </c>
      <c r="D2618" s="8">
        <f t="shared" si="740"/>
        <v>46099</v>
      </c>
      <c r="E2618" s="15"/>
      <c r="F2618" s="15"/>
      <c r="G2618" s="15">
        <f t="shared" si="743"/>
        <v>0</v>
      </c>
      <c r="H2618" s="16" t="s">
        <v>279</v>
      </c>
      <c r="I2618" s="10">
        <f t="shared" si="744"/>
        <v>645.16129032258061</v>
      </c>
      <c r="J2618" s="16" t="s">
        <v>16</v>
      </c>
      <c r="K2618" s="15"/>
      <c r="L2618" s="15"/>
      <c r="M2618" s="17"/>
      <c r="N2618" s="9"/>
      <c r="O2618" s="18">
        <f t="shared" si="745"/>
        <v>0</v>
      </c>
      <c r="P2618" s="9"/>
      <c r="Q2618" s="9"/>
      <c r="R2618" s="9"/>
      <c r="S2618" s="10">
        <f t="shared" si="741"/>
        <v>645.16129032258061</v>
      </c>
    </row>
    <row r="2619" spans="2:19" outlineLevel="1">
      <c r="B2619" s="13" t="s">
        <v>174</v>
      </c>
      <c r="C2619" s="7" t="str">
        <f t="shared" si="742"/>
        <v>ESPARGIDOR MERCEDES ATEGO 1719 PLACA OLX-8A75 ANO 2012</v>
      </c>
      <c r="D2619" s="8">
        <f t="shared" si="740"/>
        <v>46100</v>
      </c>
      <c r="E2619" s="15"/>
      <c r="F2619" s="15"/>
      <c r="G2619" s="15">
        <f t="shared" si="743"/>
        <v>0</v>
      </c>
      <c r="H2619" s="16" t="s">
        <v>279</v>
      </c>
      <c r="I2619" s="10">
        <f t="shared" si="744"/>
        <v>645.16129032258061</v>
      </c>
      <c r="J2619" s="16" t="s">
        <v>16</v>
      </c>
      <c r="K2619" s="15"/>
      <c r="L2619" s="15"/>
      <c r="M2619" s="17"/>
      <c r="N2619" s="9"/>
      <c r="O2619" s="18">
        <f t="shared" si="745"/>
        <v>0</v>
      </c>
      <c r="P2619" s="9"/>
      <c r="Q2619" s="9"/>
      <c r="R2619" s="9"/>
      <c r="S2619" s="10">
        <f t="shared" si="741"/>
        <v>645.16129032258061</v>
      </c>
    </row>
    <row r="2620" spans="2:19" outlineLevel="1">
      <c r="B2620" s="13" t="s">
        <v>174</v>
      </c>
      <c r="C2620" s="7" t="str">
        <f t="shared" si="742"/>
        <v>ESPARGIDOR MERCEDES ATEGO 1719 PLACA OLX-8A75 ANO 2012</v>
      </c>
      <c r="D2620" s="8">
        <f t="shared" si="740"/>
        <v>46101</v>
      </c>
      <c r="E2620" s="15"/>
      <c r="F2620" s="15"/>
      <c r="G2620" s="15">
        <f t="shared" si="743"/>
        <v>0</v>
      </c>
      <c r="H2620" s="16" t="s">
        <v>279</v>
      </c>
      <c r="I2620" s="10">
        <f t="shared" si="744"/>
        <v>645.16129032258061</v>
      </c>
      <c r="J2620" s="16" t="s">
        <v>16</v>
      </c>
      <c r="K2620" s="15"/>
      <c r="L2620" s="15"/>
      <c r="M2620" s="17"/>
      <c r="N2620" s="9"/>
      <c r="O2620" s="18">
        <f t="shared" si="745"/>
        <v>0</v>
      </c>
      <c r="P2620" s="9"/>
      <c r="Q2620" s="9"/>
      <c r="R2620" s="9"/>
      <c r="S2620" s="10">
        <f t="shared" si="741"/>
        <v>645.16129032258061</v>
      </c>
    </row>
    <row r="2621" spans="2:19" outlineLevel="1">
      <c r="B2621" s="13" t="s">
        <v>174</v>
      </c>
      <c r="C2621" s="7" t="str">
        <f t="shared" si="742"/>
        <v>ESPARGIDOR MERCEDES ATEGO 1719 PLACA OLX-8A75 ANO 2012</v>
      </c>
      <c r="D2621" s="8">
        <f t="shared" si="740"/>
        <v>46102</v>
      </c>
      <c r="E2621" s="15"/>
      <c r="F2621" s="15"/>
      <c r="G2621" s="15">
        <f t="shared" si="743"/>
        <v>0</v>
      </c>
      <c r="H2621" s="16" t="s">
        <v>279</v>
      </c>
      <c r="I2621" s="10">
        <f t="shared" si="744"/>
        <v>645.16129032258061</v>
      </c>
      <c r="J2621" s="16" t="s">
        <v>16</v>
      </c>
      <c r="K2621" s="15"/>
      <c r="L2621" s="15"/>
      <c r="M2621" s="17"/>
      <c r="N2621" s="9"/>
      <c r="O2621" s="18">
        <f t="shared" si="745"/>
        <v>0</v>
      </c>
      <c r="P2621" s="9"/>
      <c r="Q2621" s="9"/>
      <c r="R2621" s="9"/>
      <c r="S2621" s="10">
        <f t="shared" si="741"/>
        <v>645.16129032258061</v>
      </c>
    </row>
    <row r="2622" spans="2:19" outlineLevel="1">
      <c r="B2622" s="13" t="s">
        <v>174</v>
      </c>
      <c r="C2622" s="7" t="str">
        <f t="shared" si="742"/>
        <v>ESPARGIDOR MERCEDES ATEGO 1719 PLACA OLX-8A75 ANO 2012</v>
      </c>
      <c r="D2622" s="8">
        <f t="shared" si="740"/>
        <v>46103</v>
      </c>
      <c r="E2622" s="15"/>
      <c r="F2622" s="15"/>
      <c r="G2622" s="15">
        <f t="shared" si="743"/>
        <v>0</v>
      </c>
      <c r="H2622" s="16" t="s">
        <v>279</v>
      </c>
      <c r="I2622" s="10">
        <f t="shared" si="744"/>
        <v>645.16129032258061</v>
      </c>
      <c r="J2622" s="16" t="s">
        <v>16</v>
      </c>
      <c r="K2622" s="15"/>
      <c r="L2622" s="15"/>
      <c r="M2622" s="17"/>
      <c r="N2622" s="9"/>
      <c r="O2622" s="18">
        <f t="shared" si="745"/>
        <v>0</v>
      </c>
      <c r="P2622" s="9"/>
      <c r="Q2622" s="9"/>
      <c r="R2622" s="9"/>
      <c r="S2622" s="10">
        <f t="shared" si="741"/>
        <v>645.16129032258061</v>
      </c>
    </row>
    <row r="2623" spans="2:19" outlineLevel="1">
      <c r="B2623" s="13" t="s">
        <v>174</v>
      </c>
      <c r="C2623" s="7" t="str">
        <f t="shared" si="742"/>
        <v>ESPARGIDOR MERCEDES ATEGO 1719 PLACA OLX-8A75 ANO 2012</v>
      </c>
      <c r="D2623" s="8">
        <f t="shared" si="740"/>
        <v>46104</v>
      </c>
      <c r="E2623" s="15"/>
      <c r="F2623" s="15"/>
      <c r="G2623" s="15">
        <f t="shared" si="743"/>
        <v>0</v>
      </c>
      <c r="H2623" s="16" t="s">
        <v>279</v>
      </c>
      <c r="I2623" s="10">
        <f t="shared" si="744"/>
        <v>645.16129032258061</v>
      </c>
      <c r="J2623" s="16" t="s">
        <v>16</v>
      </c>
      <c r="K2623" s="15"/>
      <c r="L2623" s="15"/>
      <c r="M2623" s="17"/>
      <c r="N2623" s="9"/>
      <c r="O2623" s="18">
        <f t="shared" si="745"/>
        <v>0</v>
      </c>
      <c r="P2623" s="9"/>
      <c r="Q2623" s="9"/>
      <c r="R2623" s="9"/>
      <c r="S2623" s="10">
        <f t="shared" si="741"/>
        <v>645.16129032258061</v>
      </c>
    </row>
    <row r="2624" spans="2:19" outlineLevel="1">
      <c r="B2624" s="13" t="s">
        <v>174</v>
      </c>
      <c r="C2624" s="7" t="str">
        <f t="shared" si="742"/>
        <v>ESPARGIDOR MERCEDES ATEGO 1719 PLACA OLX-8A75 ANO 2012</v>
      </c>
      <c r="D2624" s="8">
        <f t="shared" si="740"/>
        <v>46105</v>
      </c>
      <c r="E2624" s="15"/>
      <c r="F2624" s="15"/>
      <c r="G2624" s="15">
        <f t="shared" si="743"/>
        <v>0</v>
      </c>
      <c r="H2624" s="16" t="s">
        <v>279</v>
      </c>
      <c r="I2624" s="10">
        <f t="shared" si="744"/>
        <v>645.16129032258061</v>
      </c>
      <c r="J2624" s="16" t="s">
        <v>16</v>
      </c>
      <c r="K2624" s="15"/>
      <c r="L2624" s="15"/>
      <c r="M2624" s="17"/>
      <c r="N2624" s="9"/>
      <c r="O2624" s="18">
        <f t="shared" si="745"/>
        <v>0</v>
      </c>
      <c r="P2624" s="9"/>
      <c r="Q2624" s="9"/>
      <c r="R2624" s="9"/>
      <c r="S2624" s="10">
        <f t="shared" si="741"/>
        <v>645.16129032258061</v>
      </c>
    </row>
    <row r="2625" spans="2:19" outlineLevel="1">
      <c r="B2625" s="13" t="s">
        <v>174</v>
      </c>
      <c r="C2625" s="7" t="str">
        <f t="shared" si="742"/>
        <v>ESPARGIDOR MERCEDES ATEGO 1719 PLACA OLX-8A75 ANO 2012</v>
      </c>
      <c r="D2625" s="8">
        <f t="shared" si="740"/>
        <v>46106</v>
      </c>
      <c r="E2625" s="15"/>
      <c r="F2625" s="15"/>
      <c r="G2625" s="15">
        <f t="shared" si="743"/>
        <v>0</v>
      </c>
      <c r="H2625" s="16" t="s">
        <v>279</v>
      </c>
      <c r="I2625" s="10">
        <f t="shared" si="744"/>
        <v>645.16129032258061</v>
      </c>
      <c r="J2625" s="16" t="s">
        <v>16</v>
      </c>
      <c r="K2625" s="15"/>
      <c r="L2625" s="15"/>
      <c r="M2625" s="17"/>
      <c r="N2625" s="9"/>
      <c r="O2625" s="18">
        <f t="shared" si="745"/>
        <v>0</v>
      </c>
      <c r="P2625" s="9"/>
      <c r="Q2625" s="9"/>
      <c r="R2625" s="9"/>
      <c r="S2625" s="10">
        <f t="shared" si="741"/>
        <v>645.16129032258061</v>
      </c>
    </row>
    <row r="2626" spans="2:19" outlineLevel="1">
      <c r="B2626" s="13" t="s">
        <v>174</v>
      </c>
      <c r="C2626" s="7" t="str">
        <f t="shared" si="742"/>
        <v>ESPARGIDOR MERCEDES ATEGO 1719 PLACA OLX-8A75 ANO 2012</v>
      </c>
      <c r="D2626" s="8">
        <f t="shared" si="740"/>
        <v>46107</v>
      </c>
      <c r="E2626" s="15"/>
      <c r="F2626" s="15"/>
      <c r="G2626" s="15">
        <f t="shared" si="743"/>
        <v>0</v>
      </c>
      <c r="H2626" s="16" t="s">
        <v>279</v>
      </c>
      <c r="I2626" s="10">
        <f t="shared" si="744"/>
        <v>645.16129032258061</v>
      </c>
      <c r="J2626" s="16" t="s">
        <v>16</v>
      </c>
      <c r="K2626" s="15"/>
      <c r="L2626" s="15"/>
      <c r="M2626" s="17"/>
      <c r="N2626" s="9"/>
      <c r="O2626" s="18">
        <f t="shared" si="745"/>
        <v>0</v>
      </c>
      <c r="P2626" s="9"/>
      <c r="Q2626" s="9"/>
      <c r="R2626" s="9"/>
      <c r="S2626" s="10">
        <f t="shared" si="741"/>
        <v>645.16129032258061</v>
      </c>
    </row>
    <row r="2627" spans="2:19" outlineLevel="1">
      <c r="B2627" s="13" t="s">
        <v>174</v>
      </c>
      <c r="C2627" s="7" t="str">
        <f t="shared" si="742"/>
        <v>ESPARGIDOR MERCEDES ATEGO 1719 PLACA OLX-8A75 ANO 2012</v>
      </c>
      <c r="D2627" s="8">
        <f t="shared" si="740"/>
        <v>46108</v>
      </c>
      <c r="E2627" s="15"/>
      <c r="F2627" s="15"/>
      <c r="G2627" s="15">
        <f t="shared" si="743"/>
        <v>0</v>
      </c>
      <c r="H2627" s="16" t="s">
        <v>279</v>
      </c>
      <c r="I2627" s="10">
        <f t="shared" si="744"/>
        <v>645.16129032258061</v>
      </c>
      <c r="J2627" s="16" t="s">
        <v>16</v>
      </c>
      <c r="K2627" s="15"/>
      <c r="L2627" s="15"/>
      <c r="M2627" s="17"/>
      <c r="N2627" s="9"/>
      <c r="O2627" s="18">
        <f t="shared" si="745"/>
        <v>0</v>
      </c>
      <c r="P2627" s="9"/>
      <c r="Q2627" s="9"/>
      <c r="R2627" s="9"/>
      <c r="S2627" s="10">
        <f t="shared" si="741"/>
        <v>645.16129032258061</v>
      </c>
    </row>
    <row r="2628" spans="2:19" outlineLevel="1">
      <c r="B2628" s="13" t="s">
        <v>174</v>
      </c>
      <c r="C2628" s="7" t="str">
        <f t="shared" si="742"/>
        <v>ESPARGIDOR MERCEDES ATEGO 1719 PLACA OLX-8A75 ANO 2012</v>
      </c>
      <c r="D2628" s="8">
        <f t="shared" ref="D2628" si="746">D2560</f>
        <v>46109</v>
      </c>
      <c r="E2628" s="15"/>
      <c r="F2628" s="15"/>
      <c r="G2628" s="15">
        <f t="shared" si="743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7">SUM(R2628+Q2628+I2628)</f>
        <v>645.16129032258061</v>
      </c>
    </row>
    <row r="2629" spans="2:19" outlineLevel="1">
      <c r="B2629" s="13" t="s">
        <v>174</v>
      </c>
      <c r="C2629" s="7" t="str">
        <f t="shared" si="742"/>
        <v>ESPARGIDOR MERCEDES ATEGO 1719 PLACA OLX-8A75 ANO 2012</v>
      </c>
      <c r="D2629" s="8">
        <f t="shared" ref="D2629:D2631" si="748">D2561</f>
        <v>46110</v>
      </c>
      <c r="E2629" s="15"/>
      <c r="F2629" s="15"/>
      <c r="G2629" s="15">
        <f t="shared" si="743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7"/>
        <v>645.16129032258061</v>
      </c>
    </row>
    <row r="2630" spans="2:19" outlineLevel="1">
      <c r="B2630" s="13" t="s">
        <v>174</v>
      </c>
      <c r="C2630" s="7" t="str">
        <f t="shared" si="742"/>
        <v>ESPARGIDOR MERCEDES ATEGO 1719 PLACA OLX-8A75 ANO 2012</v>
      </c>
      <c r="D2630" s="8">
        <f t="shared" si="748"/>
        <v>46111</v>
      </c>
      <c r="E2630" s="15"/>
      <c r="F2630" s="15"/>
      <c r="G2630" s="15">
        <f t="shared" si="743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7"/>
        <v>645.16129032258061</v>
      </c>
    </row>
    <row r="2631" spans="2:19" outlineLevel="1">
      <c r="B2631" s="13" t="s">
        <v>174</v>
      </c>
      <c r="C2631" s="7" t="str">
        <f t="shared" si="742"/>
        <v>ESPARGIDOR MERCEDES ATEGO 1719 PLACA OLX-8A75 ANO 2012</v>
      </c>
      <c r="D2631" s="8">
        <f t="shared" si="748"/>
        <v>46112</v>
      </c>
      <c r="E2631" s="15"/>
      <c r="F2631" s="15"/>
      <c r="G2631" s="15">
        <f t="shared" si="743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1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9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0">C$2633</f>
        <v>ESPARGIDOR BM 1518 LK ANO 1988 PLACA GNU5976</v>
      </c>
      <c r="D2636" s="8">
        <f t="shared" si="749"/>
        <v>46083</v>
      </c>
      <c r="E2636" s="15"/>
      <c r="F2636" s="15"/>
      <c r="G2636" s="15">
        <f t="shared" ref="G2636:G2638" si="751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2">SUM(R2636+Q2636+I2636)</f>
        <v>645.16129032258061</v>
      </c>
    </row>
    <row r="2637" spans="2:19" outlineLevel="1">
      <c r="B2637" s="13" t="s">
        <v>175</v>
      </c>
      <c r="C2637" s="7" t="str">
        <f t="shared" si="750"/>
        <v>ESPARGIDOR BM 1518 LK ANO 1988 PLACA GNU5976</v>
      </c>
      <c r="D2637" s="8">
        <f t="shared" si="749"/>
        <v>46084</v>
      </c>
      <c r="E2637" s="15"/>
      <c r="F2637" s="15"/>
      <c r="G2637" s="15">
        <f t="shared" si="751"/>
        <v>0</v>
      </c>
      <c r="H2637" s="16" t="s">
        <v>6</v>
      </c>
      <c r="I2637" s="10">
        <f t="shared" ref="I2637:I2661" si="753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2"/>
        <v>645.16129032258061</v>
      </c>
    </row>
    <row r="2638" spans="2:19" outlineLevel="1">
      <c r="B2638" s="13" t="s">
        <v>175</v>
      </c>
      <c r="C2638" s="7" t="str">
        <f t="shared" si="750"/>
        <v>ESPARGIDOR BM 1518 LK ANO 1988 PLACA GNU5976</v>
      </c>
      <c r="D2638" s="8">
        <f t="shared" si="749"/>
        <v>46085</v>
      </c>
      <c r="E2638" s="15"/>
      <c r="F2638" s="15"/>
      <c r="G2638" s="15">
        <f t="shared" si="751"/>
        <v>0</v>
      </c>
      <c r="H2638" s="16" t="s">
        <v>6</v>
      </c>
      <c r="I2638" s="10">
        <f t="shared" si="753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2"/>
        <v>645.16129032258061</v>
      </c>
    </row>
    <row r="2639" spans="2:19" outlineLevel="1">
      <c r="B2639" s="13" t="s">
        <v>175</v>
      </c>
      <c r="C2639" s="7" t="str">
        <f t="shared" si="750"/>
        <v>ESPARGIDOR BM 1518 LK ANO 1988 PLACA GNU5976</v>
      </c>
      <c r="D2639" s="8">
        <f t="shared" si="749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3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2"/>
        <v>645.16129032258061</v>
      </c>
    </row>
    <row r="2640" spans="2:19" outlineLevel="1">
      <c r="B2640" s="13" t="s">
        <v>175</v>
      </c>
      <c r="C2640" s="7" t="str">
        <f t="shared" si="750"/>
        <v>ESPARGIDOR BM 1518 LK ANO 1988 PLACA GNU5976</v>
      </c>
      <c r="D2640" s="8">
        <f t="shared" si="749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3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2"/>
        <v>645.16129032258061</v>
      </c>
    </row>
    <row r="2641" spans="2:19" outlineLevel="1">
      <c r="B2641" s="13" t="s">
        <v>175</v>
      </c>
      <c r="C2641" s="7" t="str">
        <f t="shared" si="750"/>
        <v>ESPARGIDOR BM 1518 LK ANO 1988 PLACA GNU5976</v>
      </c>
      <c r="D2641" s="8">
        <f t="shared" si="749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3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2"/>
        <v>645.16129032258061</v>
      </c>
    </row>
    <row r="2642" spans="2:19" outlineLevel="1">
      <c r="B2642" s="13" t="s">
        <v>175</v>
      </c>
      <c r="C2642" s="7" t="str">
        <f t="shared" si="750"/>
        <v>ESPARGIDOR BM 1518 LK ANO 1988 PLACA GNU5976</v>
      </c>
      <c r="D2642" s="8">
        <f t="shared" si="749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3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2"/>
        <v>645.16129032258061</v>
      </c>
    </row>
    <row r="2643" spans="2:19" outlineLevel="1">
      <c r="B2643" s="13" t="s">
        <v>175</v>
      </c>
      <c r="C2643" s="7" t="str">
        <f t="shared" si="750"/>
        <v>ESPARGIDOR BM 1518 LK ANO 1988 PLACA GNU5976</v>
      </c>
      <c r="D2643" s="8">
        <f t="shared" si="749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3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2"/>
        <v>645.16129032258061</v>
      </c>
    </row>
    <row r="2644" spans="2:19" outlineLevel="1">
      <c r="B2644" s="13" t="s">
        <v>175</v>
      </c>
      <c r="C2644" s="7" t="str">
        <f t="shared" si="750"/>
        <v>ESPARGIDOR BM 1518 LK ANO 1988 PLACA GNU5976</v>
      </c>
      <c r="D2644" s="8">
        <f t="shared" si="749"/>
        <v>46091</v>
      </c>
      <c r="E2644" s="15"/>
      <c r="F2644" s="15"/>
      <c r="G2644" s="15">
        <f t="shared" ref="G2644:G2665" si="754">F2644-E2644</f>
        <v>0</v>
      </c>
      <c r="H2644" s="16" t="s">
        <v>6</v>
      </c>
      <c r="I2644" s="10">
        <f t="shared" si="753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5">O2643</f>
        <v>0</v>
      </c>
      <c r="P2644" s="9"/>
      <c r="Q2644" s="9"/>
      <c r="R2644" s="72"/>
      <c r="S2644" s="10">
        <f t="shared" si="752"/>
        <v>645.16129032258061</v>
      </c>
    </row>
    <row r="2645" spans="2:19" outlineLevel="1">
      <c r="B2645" s="13" t="s">
        <v>175</v>
      </c>
      <c r="C2645" s="7" t="str">
        <f t="shared" si="750"/>
        <v>ESPARGIDOR BM 1518 LK ANO 1988 PLACA GNU5976</v>
      </c>
      <c r="D2645" s="8">
        <f t="shared" si="749"/>
        <v>46092</v>
      </c>
      <c r="E2645" s="15"/>
      <c r="F2645" s="15"/>
      <c r="G2645" s="15">
        <f t="shared" si="754"/>
        <v>0</v>
      </c>
      <c r="H2645" s="16" t="s">
        <v>6</v>
      </c>
      <c r="I2645" s="10">
        <f t="shared" si="753"/>
        <v>645.16129032258061</v>
      </c>
      <c r="J2645" s="16" t="s">
        <v>201</v>
      </c>
      <c r="K2645" s="15"/>
      <c r="L2645" s="15"/>
      <c r="M2645" s="17"/>
      <c r="N2645" s="9"/>
      <c r="O2645" s="18">
        <f t="shared" si="755"/>
        <v>0</v>
      </c>
      <c r="P2645" s="9"/>
      <c r="Q2645" s="9"/>
      <c r="R2645" s="72"/>
      <c r="S2645" s="10">
        <f t="shared" si="752"/>
        <v>645.16129032258061</v>
      </c>
    </row>
    <row r="2646" spans="2:19" outlineLevel="1">
      <c r="B2646" s="13" t="s">
        <v>175</v>
      </c>
      <c r="C2646" s="7" t="str">
        <f t="shared" si="750"/>
        <v>ESPARGIDOR BM 1518 LK ANO 1988 PLACA GNU5976</v>
      </c>
      <c r="D2646" s="8">
        <f t="shared" si="749"/>
        <v>46093</v>
      </c>
      <c r="E2646" s="15"/>
      <c r="F2646" s="15"/>
      <c r="G2646" s="15">
        <f t="shared" si="754"/>
        <v>0</v>
      </c>
      <c r="H2646" s="16" t="s">
        <v>6</v>
      </c>
      <c r="I2646" s="10">
        <f t="shared" si="753"/>
        <v>645.16129032258061</v>
      </c>
      <c r="J2646" s="16" t="s">
        <v>201</v>
      </c>
      <c r="K2646" s="15"/>
      <c r="L2646" s="15"/>
      <c r="M2646" s="17"/>
      <c r="N2646" s="9"/>
      <c r="O2646" s="18">
        <f t="shared" si="755"/>
        <v>0</v>
      </c>
      <c r="P2646" s="9"/>
      <c r="Q2646" s="9"/>
      <c r="R2646" s="72"/>
      <c r="S2646" s="10">
        <f t="shared" si="752"/>
        <v>645.16129032258061</v>
      </c>
    </row>
    <row r="2647" spans="2:19" outlineLevel="1">
      <c r="B2647" s="13" t="s">
        <v>175</v>
      </c>
      <c r="C2647" s="7" t="str">
        <f t="shared" si="750"/>
        <v>ESPARGIDOR BM 1518 LK ANO 1988 PLACA GNU5976</v>
      </c>
      <c r="D2647" s="8">
        <f t="shared" si="749"/>
        <v>46094</v>
      </c>
      <c r="E2647" s="15"/>
      <c r="F2647" s="15"/>
      <c r="G2647" s="15">
        <f t="shared" si="754"/>
        <v>0</v>
      </c>
      <c r="H2647" s="16" t="s">
        <v>6</v>
      </c>
      <c r="I2647" s="10">
        <f t="shared" si="753"/>
        <v>645.16129032258061</v>
      </c>
      <c r="J2647" s="16" t="s">
        <v>201</v>
      </c>
      <c r="K2647" s="15"/>
      <c r="L2647" s="15"/>
      <c r="M2647" s="17"/>
      <c r="N2647" s="9"/>
      <c r="O2647" s="18">
        <f t="shared" si="755"/>
        <v>0</v>
      </c>
      <c r="P2647" s="9"/>
      <c r="Q2647" s="9"/>
      <c r="R2647" s="72"/>
      <c r="S2647" s="10">
        <f t="shared" si="752"/>
        <v>645.16129032258061</v>
      </c>
    </row>
    <row r="2648" spans="2:19" outlineLevel="1">
      <c r="B2648" s="13" t="s">
        <v>175</v>
      </c>
      <c r="C2648" s="7" t="str">
        <f t="shared" si="750"/>
        <v>ESPARGIDOR BM 1518 LK ANO 1988 PLACA GNU5976</v>
      </c>
      <c r="D2648" s="8">
        <f t="shared" si="749"/>
        <v>46095</v>
      </c>
      <c r="E2648" s="15"/>
      <c r="F2648" s="15"/>
      <c r="G2648" s="15">
        <f t="shared" si="754"/>
        <v>0</v>
      </c>
      <c r="H2648" s="16" t="s">
        <v>6</v>
      </c>
      <c r="I2648" s="10">
        <f t="shared" si="753"/>
        <v>645.16129032258061</v>
      </c>
      <c r="J2648" s="16" t="s">
        <v>201</v>
      </c>
      <c r="K2648" s="15"/>
      <c r="L2648" s="15"/>
      <c r="M2648" s="17"/>
      <c r="N2648" s="9"/>
      <c r="O2648" s="18">
        <f t="shared" si="755"/>
        <v>0</v>
      </c>
      <c r="P2648" s="9"/>
      <c r="Q2648" s="9"/>
      <c r="R2648" s="72"/>
      <c r="S2648" s="10">
        <f t="shared" si="752"/>
        <v>645.16129032258061</v>
      </c>
    </row>
    <row r="2649" spans="2:19" outlineLevel="1">
      <c r="B2649" s="13" t="s">
        <v>175</v>
      </c>
      <c r="C2649" s="7" t="str">
        <f t="shared" si="750"/>
        <v>ESPARGIDOR BM 1518 LK ANO 1988 PLACA GNU5976</v>
      </c>
      <c r="D2649" s="8">
        <f t="shared" si="749"/>
        <v>46096</v>
      </c>
      <c r="E2649" s="15"/>
      <c r="F2649" s="15"/>
      <c r="G2649" s="15">
        <f t="shared" si="754"/>
        <v>0</v>
      </c>
      <c r="H2649" s="16" t="s">
        <v>6</v>
      </c>
      <c r="I2649" s="10">
        <f t="shared" si="753"/>
        <v>645.16129032258061</v>
      </c>
      <c r="J2649" s="16" t="s">
        <v>201</v>
      </c>
      <c r="K2649" s="15"/>
      <c r="L2649" s="15"/>
      <c r="M2649" s="17"/>
      <c r="N2649" s="9"/>
      <c r="O2649" s="18">
        <f t="shared" si="755"/>
        <v>0</v>
      </c>
      <c r="P2649" s="9"/>
      <c r="Q2649" s="9"/>
      <c r="R2649" s="72"/>
      <c r="S2649" s="10">
        <f t="shared" si="752"/>
        <v>645.16129032258061</v>
      </c>
    </row>
    <row r="2650" spans="2:19" outlineLevel="1">
      <c r="B2650" s="13" t="s">
        <v>175</v>
      </c>
      <c r="C2650" s="7" t="str">
        <f t="shared" si="750"/>
        <v>ESPARGIDOR BM 1518 LK ANO 1988 PLACA GNU5976</v>
      </c>
      <c r="D2650" s="8">
        <f t="shared" si="749"/>
        <v>46097</v>
      </c>
      <c r="E2650" s="15"/>
      <c r="F2650" s="15"/>
      <c r="G2650" s="15">
        <f t="shared" si="754"/>
        <v>0</v>
      </c>
      <c r="H2650" s="16" t="s">
        <v>6</v>
      </c>
      <c r="I2650" s="10">
        <f t="shared" si="753"/>
        <v>645.16129032258061</v>
      </c>
      <c r="J2650" s="16" t="s">
        <v>201</v>
      </c>
      <c r="K2650" s="15"/>
      <c r="L2650" s="15"/>
      <c r="M2650" s="17"/>
      <c r="N2650" s="9"/>
      <c r="O2650" s="18">
        <f t="shared" si="755"/>
        <v>0</v>
      </c>
      <c r="P2650" s="9"/>
      <c r="Q2650" s="9"/>
      <c r="R2650" s="72"/>
      <c r="S2650" s="10">
        <f t="shared" si="752"/>
        <v>645.16129032258061</v>
      </c>
    </row>
    <row r="2651" spans="2:19" outlineLevel="1">
      <c r="B2651" s="13" t="s">
        <v>175</v>
      </c>
      <c r="C2651" s="7" t="str">
        <f t="shared" si="750"/>
        <v>ESPARGIDOR BM 1518 LK ANO 1988 PLACA GNU5976</v>
      </c>
      <c r="D2651" s="8">
        <f t="shared" si="749"/>
        <v>46098</v>
      </c>
      <c r="E2651" s="15"/>
      <c r="F2651" s="15"/>
      <c r="G2651" s="15">
        <f t="shared" si="754"/>
        <v>0</v>
      </c>
      <c r="H2651" s="16" t="s">
        <v>6</v>
      </c>
      <c r="I2651" s="10">
        <f t="shared" si="753"/>
        <v>645.16129032258061</v>
      </c>
      <c r="J2651" s="16" t="s">
        <v>201</v>
      </c>
      <c r="K2651" s="15"/>
      <c r="L2651" s="15"/>
      <c r="M2651" s="17"/>
      <c r="N2651" s="9"/>
      <c r="O2651" s="18">
        <f t="shared" si="755"/>
        <v>0</v>
      </c>
      <c r="P2651" s="9"/>
      <c r="Q2651" s="9"/>
      <c r="R2651" s="72"/>
      <c r="S2651" s="10">
        <f t="shared" si="752"/>
        <v>645.16129032258061</v>
      </c>
    </row>
    <row r="2652" spans="2:19" outlineLevel="1">
      <c r="B2652" s="13" t="s">
        <v>175</v>
      </c>
      <c r="C2652" s="7" t="str">
        <f t="shared" si="750"/>
        <v>ESPARGIDOR BM 1518 LK ANO 1988 PLACA GNU5976</v>
      </c>
      <c r="D2652" s="8">
        <f t="shared" si="749"/>
        <v>46099</v>
      </c>
      <c r="E2652" s="15"/>
      <c r="F2652" s="15"/>
      <c r="G2652" s="15">
        <f t="shared" si="754"/>
        <v>0</v>
      </c>
      <c r="H2652" s="16" t="s">
        <v>6</v>
      </c>
      <c r="I2652" s="10">
        <f t="shared" si="753"/>
        <v>645.16129032258061</v>
      </c>
      <c r="J2652" s="16" t="s">
        <v>201</v>
      </c>
      <c r="K2652" s="15"/>
      <c r="L2652" s="15"/>
      <c r="M2652" s="17"/>
      <c r="N2652" s="9"/>
      <c r="O2652" s="18">
        <f t="shared" si="755"/>
        <v>0</v>
      </c>
      <c r="P2652" s="9"/>
      <c r="Q2652" s="9"/>
      <c r="R2652" s="72"/>
      <c r="S2652" s="10">
        <f t="shared" si="752"/>
        <v>645.16129032258061</v>
      </c>
    </row>
    <row r="2653" spans="2:19" outlineLevel="1">
      <c r="B2653" s="13" t="s">
        <v>175</v>
      </c>
      <c r="C2653" s="7" t="str">
        <f t="shared" si="750"/>
        <v>ESPARGIDOR BM 1518 LK ANO 1988 PLACA GNU5976</v>
      </c>
      <c r="D2653" s="8">
        <f t="shared" si="749"/>
        <v>46100</v>
      </c>
      <c r="E2653" s="15"/>
      <c r="F2653" s="15"/>
      <c r="G2653" s="15">
        <f t="shared" si="754"/>
        <v>0</v>
      </c>
      <c r="H2653" s="16" t="s">
        <v>6</v>
      </c>
      <c r="I2653" s="10">
        <f t="shared" si="753"/>
        <v>645.16129032258061</v>
      </c>
      <c r="J2653" s="16" t="s">
        <v>201</v>
      </c>
      <c r="K2653" s="15"/>
      <c r="L2653" s="15"/>
      <c r="M2653" s="17"/>
      <c r="N2653" s="9"/>
      <c r="O2653" s="18">
        <f t="shared" si="755"/>
        <v>0</v>
      </c>
      <c r="P2653" s="9"/>
      <c r="Q2653" s="9"/>
      <c r="R2653" s="72"/>
      <c r="S2653" s="10">
        <f t="shared" si="752"/>
        <v>645.16129032258061</v>
      </c>
    </row>
    <row r="2654" spans="2:19" outlineLevel="1">
      <c r="B2654" s="13" t="s">
        <v>175</v>
      </c>
      <c r="C2654" s="7" t="str">
        <f t="shared" si="750"/>
        <v>ESPARGIDOR BM 1518 LK ANO 1988 PLACA GNU5976</v>
      </c>
      <c r="D2654" s="8">
        <f t="shared" si="749"/>
        <v>46101</v>
      </c>
      <c r="E2654" s="15"/>
      <c r="F2654" s="15"/>
      <c r="G2654" s="15">
        <f t="shared" si="754"/>
        <v>0</v>
      </c>
      <c r="H2654" s="16" t="s">
        <v>6</v>
      </c>
      <c r="I2654" s="10">
        <f t="shared" si="753"/>
        <v>645.16129032258061</v>
      </c>
      <c r="J2654" s="16" t="s">
        <v>201</v>
      </c>
      <c r="K2654" s="15"/>
      <c r="L2654" s="15"/>
      <c r="M2654" s="17"/>
      <c r="N2654" s="9"/>
      <c r="O2654" s="18">
        <f t="shared" si="755"/>
        <v>0</v>
      </c>
      <c r="P2654" s="9"/>
      <c r="Q2654" s="9"/>
      <c r="R2654" s="72"/>
      <c r="S2654" s="10">
        <f t="shared" si="752"/>
        <v>645.16129032258061</v>
      </c>
    </row>
    <row r="2655" spans="2:19" outlineLevel="1">
      <c r="B2655" s="13" t="s">
        <v>175</v>
      </c>
      <c r="C2655" s="7" t="str">
        <f t="shared" si="750"/>
        <v>ESPARGIDOR BM 1518 LK ANO 1988 PLACA GNU5976</v>
      </c>
      <c r="D2655" s="8">
        <f t="shared" si="749"/>
        <v>46102</v>
      </c>
      <c r="E2655" s="15"/>
      <c r="F2655" s="15"/>
      <c r="G2655" s="15">
        <f t="shared" si="754"/>
        <v>0</v>
      </c>
      <c r="H2655" s="16" t="s">
        <v>6</v>
      </c>
      <c r="I2655" s="10">
        <f t="shared" si="753"/>
        <v>645.16129032258061</v>
      </c>
      <c r="J2655" s="16" t="s">
        <v>201</v>
      </c>
      <c r="K2655" s="15"/>
      <c r="L2655" s="15"/>
      <c r="M2655" s="17"/>
      <c r="N2655" s="9"/>
      <c r="O2655" s="18">
        <f t="shared" si="755"/>
        <v>0</v>
      </c>
      <c r="P2655" s="9"/>
      <c r="Q2655" s="9"/>
      <c r="R2655" s="72"/>
      <c r="S2655" s="10">
        <f t="shared" si="752"/>
        <v>645.16129032258061</v>
      </c>
    </row>
    <row r="2656" spans="2:19" outlineLevel="1">
      <c r="B2656" s="13" t="s">
        <v>175</v>
      </c>
      <c r="C2656" s="7" t="str">
        <f t="shared" si="750"/>
        <v>ESPARGIDOR BM 1518 LK ANO 1988 PLACA GNU5976</v>
      </c>
      <c r="D2656" s="8">
        <f t="shared" si="749"/>
        <v>46103</v>
      </c>
      <c r="E2656" s="15"/>
      <c r="F2656" s="15"/>
      <c r="G2656" s="15">
        <f t="shared" si="754"/>
        <v>0</v>
      </c>
      <c r="H2656" s="16" t="s">
        <v>6</v>
      </c>
      <c r="I2656" s="10">
        <f t="shared" si="753"/>
        <v>645.16129032258061</v>
      </c>
      <c r="J2656" s="16" t="s">
        <v>201</v>
      </c>
      <c r="K2656" s="15"/>
      <c r="L2656" s="15"/>
      <c r="M2656" s="17"/>
      <c r="N2656" s="9"/>
      <c r="O2656" s="18">
        <f t="shared" si="755"/>
        <v>0</v>
      </c>
      <c r="P2656" s="9"/>
      <c r="Q2656" s="9"/>
      <c r="R2656" s="72"/>
      <c r="S2656" s="10">
        <f t="shared" si="752"/>
        <v>645.16129032258061</v>
      </c>
    </row>
    <row r="2657" spans="2:19" outlineLevel="1">
      <c r="B2657" s="13" t="s">
        <v>175</v>
      </c>
      <c r="C2657" s="7" t="str">
        <f t="shared" si="750"/>
        <v>ESPARGIDOR BM 1518 LK ANO 1988 PLACA GNU5976</v>
      </c>
      <c r="D2657" s="8">
        <f t="shared" si="749"/>
        <v>46104</v>
      </c>
      <c r="E2657" s="15"/>
      <c r="F2657" s="15"/>
      <c r="G2657" s="15">
        <f t="shared" si="754"/>
        <v>0</v>
      </c>
      <c r="H2657" s="16" t="s">
        <v>6</v>
      </c>
      <c r="I2657" s="10">
        <f t="shared" si="753"/>
        <v>645.16129032258061</v>
      </c>
      <c r="J2657" s="16" t="s">
        <v>201</v>
      </c>
      <c r="K2657" s="15"/>
      <c r="L2657" s="15"/>
      <c r="M2657" s="17"/>
      <c r="N2657" s="9"/>
      <c r="O2657" s="18">
        <f t="shared" si="755"/>
        <v>0</v>
      </c>
      <c r="P2657" s="9"/>
      <c r="Q2657" s="9"/>
      <c r="R2657" s="72"/>
      <c r="S2657" s="10">
        <f t="shared" si="752"/>
        <v>645.16129032258061</v>
      </c>
    </row>
    <row r="2658" spans="2:19" outlineLevel="1">
      <c r="B2658" s="13" t="s">
        <v>175</v>
      </c>
      <c r="C2658" s="7" t="str">
        <f t="shared" si="750"/>
        <v>ESPARGIDOR BM 1518 LK ANO 1988 PLACA GNU5976</v>
      </c>
      <c r="D2658" s="8">
        <f t="shared" si="749"/>
        <v>46105</v>
      </c>
      <c r="E2658" s="15"/>
      <c r="F2658" s="15"/>
      <c r="G2658" s="15">
        <f t="shared" si="754"/>
        <v>0</v>
      </c>
      <c r="H2658" s="16" t="s">
        <v>6</v>
      </c>
      <c r="I2658" s="10">
        <f t="shared" si="753"/>
        <v>645.16129032258061</v>
      </c>
      <c r="J2658" s="16" t="s">
        <v>201</v>
      </c>
      <c r="K2658" s="15"/>
      <c r="L2658" s="15"/>
      <c r="M2658" s="17"/>
      <c r="N2658" s="9"/>
      <c r="O2658" s="18">
        <f t="shared" si="755"/>
        <v>0</v>
      </c>
      <c r="P2658" s="9"/>
      <c r="Q2658" s="9"/>
      <c r="R2658" s="72"/>
      <c r="S2658" s="10">
        <f t="shared" si="752"/>
        <v>645.16129032258061</v>
      </c>
    </row>
    <row r="2659" spans="2:19" outlineLevel="1">
      <c r="B2659" s="13" t="s">
        <v>175</v>
      </c>
      <c r="C2659" s="7" t="str">
        <f t="shared" si="750"/>
        <v>ESPARGIDOR BM 1518 LK ANO 1988 PLACA GNU5976</v>
      </c>
      <c r="D2659" s="8">
        <f t="shared" si="749"/>
        <v>46106</v>
      </c>
      <c r="E2659" s="15"/>
      <c r="F2659" s="15"/>
      <c r="G2659" s="15">
        <f t="shared" si="754"/>
        <v>0</v>
      </c>
      <c r="H2659" s="16" t="s">
        <v>6</v>
      </c>
      <c r="I2659" s="10">
        <f t="shared" si="753"/>
        <v>645.16129032258061</v>
      </c>
      <c r="J2659" s="16" t="s">
        <v>201</v>
      </c>
      <c r="K2659" s="15"/>
      <c r="L2659" s="15"/>
      <c r="M2659" s="17"/>
      <c r="N2659" s="9"/>
      <c r="O2659" s="18">
        <f t="shared" si="755"/>
        <v>0</v>
      </c>
      <c r="P2659" s="9"/>
      <c r="Q2659" s="9"/>
      <c r="R2659" s="72"/>
      <c r="S2659" s="10">
        <f t="shared" si="752"/>
        <v>645.16129032258061</v>
      </c>
    </row>
    <row r="2660" spans="2:19" outlineLevel="1">
      <c r="B2660" s="13" t="s">
        <v>175</v>
      </c>
      <c r="C2660" s="7" t="str">
        <f t="shared" si="750"/>
        <v>ESPARGIDOR BM 1518 LK ANO 1988 PLACA GNU5976</v>
      </c>
      <c r="D2660" s="8">
        <f t="shared" si="749"/>
        <v>46107</v>
      </c>
      <c r="E2660" s="15"/>
      <c r="F2660" s="15"/>
      <c r="G2660" s="15">
        <f t="shared" si="754"/>
        <v>0</v>
      </c>
      <c r="H2660" s="16" t="s">
        <v>6</v>
      </c>
      <c r="I2660" s="10">
        <f t="shared" si="753"/>
        <v>645.16129032258061</v>
      </c>
      <c r="J2660" s="16" t="s">
        <v>201</v>
      </c>
      <c r="K2660" s="15"/>
      <c r="L2660" s="15"/>
      <c r="M2660" s="17"/>
      <c r="N2660" s="9"/>
      <c r="O2660" s="18">
        <f t="shared" si="755"/>
        <v>0</v>
      </c>
      <c r="P2660" s="9"/>
      <c r="Q2660" s="9"/>
      <c r="R2660" s="72"/>
      <c r="S2660" s="10">
        <f t="shared" si="752"/>
        <v>645.16129032258061</v>
      </c>
    </row>
    <row r="2661" spans="2:19" outlineLevel="1">
      <c r="B2661" s="13" t="s">
        <v>175</v>
      </c>
      <c r="C2661" s="7" t="str">
        <f t="shared" si="750"/>
        <v>ESPARGIDOR BM 1518 LK ANO 1988 PLACA GNU5976</v>
      </c>
      <c r="D2661" s="8">
        <f t="shared" si="749"/>
        <v>46108</v>
      </c>
      <c r="E2661" s="15"/>
      <c r="F2661" s="15"/>
      <c r="G2661" s="15">
        <f t="shared" si="754"/>
        <v>0</v>
      </c>
      <c r="H2661" s="16" t="s">
        <v>6</v>
      </c>
      <c r="I2661" s="10">
        <f t="shared" si="753"/>
        <v>645.16129032258061</v>
      </c>
      <c r="J2661" s="16" t="s">
        <v>201</v>
      </c>
      <c r="K2661" s="15"/>
      <c r="L2661" s="15"/>
      <c r="M2661" s="17"/>
      <c r="N2661" s="9"/>
      <c r="O2661" s="18">
        <f t="shared" si="755"/>
        <v>0</v>
      </c>
      <c r="P2661" s="9"/>
      <c r="Q2661" s="9"/>
      <c r="R2661" s="72"/>
      <c r="S2661" s="10">
        <f t="shared" si="752"/>
        <v>645.16129032258061</v>
      </c>
    </row>
    <row r="2662" spans="2:19" outlineLevel="1">
      <c r="B2662" s="13" t="s">
        <v>175</v>
      </c>
      <c r="C2662" s="7" t="str">
        <f t="shared" si="750"/>
        <v>ESPARGIDOR BM 1518 LK ANO 1988 PLACA GNU5976</v>
      </c>
      <c r="D2662" s="8">
        <f t="shared" ref="D2662" si="756">D2594</f>
        <v>46109</v>
      </c>
      <c r="E2662" s="15"/>
      <c r="F2662" s="15"/>
      <c r="G2662" s="15">
        <f t="shared" ref="G2662:G2664" si="757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8">SUM(R2662+Q2662+I2662)</f>
        <v>645.16129032258061</v>
      </c>
    </row>
    <row r="2663" spans="2:19" outlineLevel="1">
      <c r="B2663" s="13" t="s">
        <v>175</v>
      </c>
      <c r="C2663" s="7" t="str">
        <f t="shared" si="750"/>
        <v>ESPARGIDOR BM 1518 LK ANO 1988 PLACA GNU5976</v>
      </c>
      <c r="D2663" s="8">
        <f t="shared" ref="D2663:D2665" si="759">D2595</f>
        <v>46110</v>
      </c>
      <c r="E2663" s="15"/>
      <c r="F2663" s="15"/>
      <c r="G2663" s="15">
        <f t="shared" si="757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8"/>
        <v>645.16129032258061</v>
      </c>
    </row>
    <row r="2664" spans="2:19" outlineLevel="1">
      <c r="B2664" s="13" t="s">
        <v>175</v>
      </c>
      <c r="C2664" s="7" t="str">
        <f t="shared" si="750"/>
        <v>ESPARGIDOR BM 1518 LK ANO 1988 PLACA GNU5976</v>
      </c>
      <c r="D2664" s="8">
        <f t="shared" si="759"/>
        <v>46111</v>
      </c>
      <c r="E2664" s="15"/>
      <c r="F2664" s="15"/>
      <c r="G2664" s="15">
        <f t="shared" si="757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8"/>
        <v>645.16129032258061</v>
      </c>
    </row>
    <row r="2665" spans="2:19" outlineLevel="1">
      <c r="B2665" s="13" t="s">
        <v>175</v>
      </c>
      <c r="C2665" s="7" t="str">
        <f t="shared" si="750"/>
        <v>ESPARGIDOR BM 1518 LK ANO 1988 PLACA GNU5976</v>
      </c>
      <c r="D2665" s="8">
        <f t="shared" si="759"/>
        <v>46112</v>
      </c>
      <c r="E2665" s="15"/>
      <c r="F2665" s="15"/>
      <c r="G2665" s="15">
        <f t="shared" si="754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2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0">C$2667</f>
        <v>MDR CARRETA ESPALHADOR DE AGREGADOS 20 M3</v>
      </c>
      <c r="D2669" s="8">
        <f t="shared" ref="D2669:D2695" si="761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0"/>
        <v>MDR CARRETA ESPALHADOR DE AGREGADOS 20 M3</v>
      </c>
      <c r="D2670" s="8">
        <f t="shared" si="761"/>
        <v>46083</v>
      </c>
      <c r="E2670" s="15"/>
      <c r="F2670" s="15"/>
      <c r="G2670" s="15">
        <f t="shared" ref="G2670:G2699" si="762">F2670*E2670</f>
        <v>0</v>
      </c>
      <c r="H2670" s="16" t="s">
        <v>6</v>
      </c>
      <c r="I2670" s="10">
        <f t="shared" ref="I2670:I2699" si="763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4">O2670*G2670</f>
        <v>0</v>
      </c>
      <c r="Q2670" s="9"/>
      <c r="R2670" s="85">
        <v>0</v>
      </c>
      <c r="S2670" s="10">
        <f t="shared" ref="S2670:S2699" si="765">SUM(R2670+Q2670+I2670)</f>
        <v>0</v>
      </c>
    </row>
    <row r="2671" spans="2:19" outlineLevel="1">
      <c r="B2671" s="13" t="s">
        <v>177</v>
      </c>
      <c r="C2671" s="7" t="str">
        <f t="shared" si="760"/>
        <v>MDR CARRETA ESPALHADOR DE AGREGADOS 20 M3</v>
      </c>
      <c r="D2671" s="8">
        <f t="shared" si="761"/>
        <v>46084</v>
      </c>
      <c r="E2671" s="15"/>
      <c r="F2671" s="15"/>
      <c r="G2671" s="15">
        <f t="shared" si="762"/>
        <v>0</v>
      </c>
      <c r="H2671" s="16" t="s">
        <v>6</v>
      </c>
      <c r="I2671" s="10">
        <f t="shared" si="763"/>
        <v>0</v>
      </c>
      <c r="J2671" s="16" t="s">
        <v>201</v>
      </c>
      <c r="K2671" s="15"/>
      <c r="L2671" s="15"/>
      <c r="M2671" s="16"/>
      <c r="N2671" s="8"/>
      <c r="O2671" s="18">
        <f t="shared" ref="O2671:O2695" si="766">O2670</f>
        <v>1</v>
      </c>
      <c r="P2671" s="9">
        <f t="shared" si="764"/>
        <v>0</v>
      </c>
      <c r="Q2671" s="9"/>
      <c r="R2671" s="85">
        <v>0</v>
      </c>
      <c r="S2671" s="10">
        <f t="shared" si="765"/>
        <v>0</v>
      </c>
    </row>
    <row r="2672" spans="2:19" outlineLevel="1">
      <c r="B2672" s="13" t="s">
        <v>177</v>
      </c>
      <c r="C2672" s="7" t="str">
        <f t="shared" si="760"/>
        <v>MDR CARRETA ESPALHADOR DE AGREGADOS 20 M3</v>
      </c>
      <c r="D2672" s="8">
        <f t="shared" si="761"/>
        <v>46085</v>
      </c>
      <c r="E2672" s="15"/>
      <c r="F2672" s="15"/>
      <c r="G2672" s="15">
        <f t="shared" si="762"/>
        <v>0</v>
      </c>
      <c r="H2672" s="16" t="s">
        <v>6</v>
      </c>
      <c r="I2672" s="10">
        <f t="shared" si="763"/>
        <v>0</v>
      </c>
      <c r="J2672" s="16" t="s">
        <v>201</v>
      </c>
      <c r="K2672" s="15"/>
      <c r="L2672" s="15"/>
      <c r="M2672" s="16"/>
      <c r="N2672" s="8"/>
      <c r="O2672" s="18">
        <f t="shared" si="766"/>
        <v>1</v>
      </c>
      <c r="P2672" s="9">
        <f t="shared" si="764"/>
        <v>0</v>
      </c>
      <c r="Q2672" s="9"/>
      <c r="R2672" s="85">
        <v>0</v>
      </c>
      <c r="S2672" s="10">
        <f t="shared" si="765"/>
        <v>0</v>
      </c>
    </row>
    <row r="2673" spans="2:19" outlineLevel="1">
      <c r="B2673" s="13" t="s">
        <v>177</v>
      </c>
      <c r="C2673" s="7" t="str">
        <f t="shared" si="760"/>
        <v>MDR CARRETA ESPALHADOR DE AGREGADOS 20 M3</v>
      </c>
      <c r="D2673" s="8">
        <f t="shared" si="761"/>
        <v>46086</v>
      </c>
      <c r="E2673" s="15"/>
      <c r="F2673" s="15"/>
      <c r="G2673" s="15">
        <f t="shared" si="762"/>
        <v>0</v>
      </c>
      <c r="H2673" s="16" t="s">
        <v>6</v>
      </c>
      <c r="I2673" s="10">
        <f t="shared" si="763"/>
        <v>0</v>
      </c>
      <c r="J2673" s="16" t="s">
        <v>201</v>
      </c>
      <c r="K2673" s="15"/>
      <c r="L2673" s="15"/>
      <c r="M2673" s="16"/>
      <c r="N2673" s="8"/>
      <c r="O2673" s="18">
        <f t="shared" si="766"/>
        <v>1</v>
      </c>
      <c r="P2673" s="9">
        <f t="shared" si="764"/>
        <v>0</v>
      </c>
      <c r="Q2673" s="9"/>
      <c r="R2673" s="85">
        <v>0</v>
      </c>
      <c r="S2673" s="10">
        <f t="shared" si="765"/>
        <v>0</v>
      </c>
    </row>
    <row r="2674" spans="2:19" outlineLevel="1">
      <c r="B2674" s="13" t="s">
        <v>177</v>
      </c>
      <c r="C2674" s="7" t="str">
        <f t="shared" si="760"/>
        <v>MDR CARRETA ESPALHADOR DE AGREGADOS 20 M3</v>
      </c>
      <c r="D2674" s="8">
        <f t="shared" si="761"/>
        <v>46087</v>
      </c>
      <c r="E2674" s="15"/>
      <c r="F2674" s="15"/>
      <c r="G2674" s="15">
        <f t="shared" si="762"/>
        <v>0</v>
      </c>
      <c r="H2674" s="16" t="s">
        <v>6</v>
      </c>
      <c r="I2674" s="10">
        <f t="shared" si="763"/>
        <v>0</v>
      </c>
      <c r="J2674" s="16" t="s">
        <v>201</v>
      </c>
      <c r="K2674" s="15"/>
      <c r="L2674" s="15"/>
      <c r="M2674" s="16"/>
      <c r="N2674" s="8"/>
      <c r="O2674" s="18">
        <f t="shared" si="766"/>
        <v>1</v>
      </c>
      <c r="P2674" s="9">
        <f t="shared" si="764"/>
        <v>0</v>
      </c>
      <c r="Q2674" s="9"/>
      <c r="R2674" s="85">
        <v>0</v>
      </c>
      <c r="S2674" s="10">
        <f t="shared" si="765"/>
        <v>0</v>
      </c>
    </row>
    <row r="2675" spans="2:19" outlineLevel="1">
      <c r="B2675" s="13" t="s">
        <v>177</v>
      </c>
      <c r="C2675" s="7" t="str">
        <f t="shared" si="760"/>
        <v>MDR CARRETA ESPALHADOR DE AGREGADOS 20 M3</v>
      </c>
      <c r="D2675" s="8">
        <f t="shared" si="761"/>
        <v>46088</v>
      </c>
      <c r="E2675" s="15"/>
      <c r="F2675" s="15"/>
      <c r="G2675" s="15">
        <f t="shared" si="762"/>
        <v>0</v>
      </c>
      <c r="H2675" s="16" t="s">
        <v>6</v>
      </c>
      <c r="I2675" s="10">
        <f t="shared" si="763"/>
        <v>0</v>
      </c>
      <c r="J2675" s="16" t="s">
        <v>201</v>
      </c>
      <c r="K2675" s="15"/>
      <c r="L2675" s="15"/>
      <c r="M2675" s="16"/>
      <c r="N2675" s="8"/>
      <c r="O2675" s="18">
        <f t="shared" si="766"/>
        <v>1</v>
      </c>
      <c r="P2675" s="9">
        <f t="shared" si="764"/>
        <v>0</v>
      </c>
      <c r="Q2675" s="9"/>
      <c r="R2675" s="85">
        <v>0</v>
      </c>
      <c r="S2675" s="10">
        <f t="shared" si="765"/>
        <v>0</v>
      </c>
    </row>
    <row r="2676" spans="2:19" outlineLevel="1">
      <c r="B2676" s="13" t="s">
        <v>177</v>
      </c>
      <c r="C2676" s="7" t="str">
        <f t="shared" si="760"/>
        <v>MDR CARRETA ESPALHADOR DE AGREGADOS 20 M3</v>
      </c>
      <c r="D2676" s="8">
        <f t="shared" si="761"/>
        <v>46089</v>
      </c>
      <c r="E2676" s="15"/>
      <c r="F2676" s="15"/>
      <c r="G2676" s="15">
        <f t="shared" si="762"/>
        <v>0</v>
      </c>
      <c r="H2676" s="16" t="s">
        <v>6</v>
      </c>
      <c r="I2676" s="10">
        <f t="shared" si="763"/>
        <v>0</v>
      </c>
      <c r="J2676" s="16" t="s">
        <v>201</v>
      </c>
      <c r="K2676" s="15"/>
      <c r="L2676" s="15"/>
      <c r="M2676" s="16"/>
      <c r="N2676" s="8"/>
      <c r="O2676" s="18">
        <f t="shared" si="766"/>
        <v>1</v>
      </c>
      <c r="P2676" s="9">
        <f t="shared" si="764"/>
        <v>0</v>
      </c>
      <c r="Q2676" s="9"/>
      <c r="R2676" s="85">
        <v>0</v>
      </c>
      <c r="S2676" s="10">
        <f t="shared" si="765"/>
        <v>0</v>
      </c>
    </row>
    <row r="2677" spans="2:19" outlineLevel="1">
      <c r="B2677" s="13" t="s">
        <v>177</v>
      </c>
      <c r="C2677" s="7" t="str">
        <f t="shared" si="760"/>
        <v>MDR CARRETA ESPALHADOR DE AGREGADOS 20 M3</v>
      </c>
      <c r="D2677" s="8">
        <f t="shared" si="761"/>
        <v>46090</v>
      </c>
      <c r="E2677" s="15"/>
      <c r="F2677" s="15"/>
      <c r="G2677" s="15">
        <f t="shared" si="762"/>
        <v>0</v>
      </c>
      <c r="H2677" s="16" t="s">
        <v>6</v>
      </c>
      <c r="I2677" s="10">
        <f t="shared" si="763"/>
        <v>0</v>
      </c>
      <c r="J2677" s="16" t="s">
        <v>201</v>
      </c>
      <c r="K2677" s="15"/>
      <c r="L2677" s="15"/>
      <c r="M2677" s="16"/>
      <c r="N2677" s="8"/>
      <c r="O2677" s="18">
        <f t="shared" si="766"/>
        <v>1</v>
      </c>
      <c r="P2677" s="9">
        <f t="shared" si="764"/>
        <v>0</v>
      </c>
      <c r="Q2677" s="9"/>
      <c r="R2677" s="85">
        <v>0</v>
      </c>
      <c r="S2677" s="10">
        <f t="shared" si="765"/>
        <v>0</v>
      </c>
    </row>
    <row r="2678" spans="2:19" outlineLevel="1">
      <c r="B2678" s="13" t="s">
        <v>177</v>
      </c>
      <c r="C2678" s="7" t="str">
        <f t="shared" si="760"/>
        <v>MDR CARRETA ESPALHADOR DE AGREGADOS 20 M3</v>
      </c>
      <c r="D2678" s="8">
        <f t="shared" si="761"/>
        <v>46091</v>
      </c>
      <c r="E2678" s="15"/>
      <c r="F2678" s="15"/>
      <c r="G2678" s="15">
        <f t="shared" si="762"/>
        <v>0</v>
      </c>
      <c r="H2678" s="16" t="s">
        <v>6</v>
      </c>
      <c r="I2678" s="10">
        <f t="shared" si="763"/>
        <v>0</v>
      </c>
      <c r="J2678" s="16" t="s">
        <v>201</v>
      </c>
      <c r="K2678" s="15"/>
      <c r="L2678" s="15"/>
      <c r="M2678" s="16"/>
      <c r="N2678" s="8"/>
      <c r="O2678" s="18">
        <f t="shared" si="766"/>
        <v>1</v>
      </c>
      <c r="P2678" s="9">
        <f t="shared" si="764"/>
        <v>0</v>
      </c>
      <c r="Q2678" s="9"/>
      <c r="R2678" s="85">
        <v>0</v>
      </c>
      <c r="S2678" s="10">
        <f t="shared" si="765"/>
        <v>0</v>
      </c>
    </row>
    <row r="2679" spans="2:19" outlineLevel="1">
      <c r="B2679" s="13" t="s">
        <v>177</v>
      </c>
      <c r="C2679" s="7" t="str">
        <f t="shared" si="760"/>
        <v>MDR CARRETA ESPALHADOR DE AGREGADOS 20 M3</v>
      </c>
      <c r="D2679" s="8">
        <f t="shared" si="761"/>
        <v>46092</v>
      </c>
      <c r="E2679" s="15"/>
      <c r="F2679" s="15"/>
      <c r="G2679" s="15">
        <f t="shared" si="762"/>
        <v>0</v>
      </c>
      <c r="H2679" s="16" t="s">
        <v>6</v>
      </c>
      <c r="I2679" s="10">
        <f t="shared" si="763"/>
        <v>0</v>
      </c>
      <c r="J2679" s="16" t="s">
        <v>201</v>
      </c>
      <c r="K2679" s="15"/>
      <c r="L2679" s="15"/>
      <c r="M2679" s="16"/>
      <c r="N2679" s="8"/>
      <c r="O2679" s="18">
        <f t="shared" si="766"/>
        <v>1</v>
      </c>
      <c r="P2679" s="9">
        <f t="shared" si="764"/>
        <v>0</v>
      </c>
      <c r="Q2679" s="9"/>
      <c r="R2679" s="85">
        <v>0</v>
      </c>
      <c r="S2679" s="10">
        <f t="shared" si="765"/>
        <v>0</v>
      </c>
    </row>
    <row r="2680" spans="2:19" outlineLevel="1">
      <c r="B2680" s="13" t="s">
        <v>177</v>
      </c>
      <c r="C2680" s="7" t="str">
        <f t="shared" si="760"/>
        <v>MDR CARRETA ESPALHADOR DE AGREGADOS 20 M3</v>
      </c>
      <c r="D2680" s="8">
        <f t="shared" si="761"/>
        <v>46093</v>
      </c>
      <c r="E2680" s="15"/>
      <c r="F2680" s="15"/>
      <c r="G2680" s="15">
        <f t="shared" si="762"/>
        <v>0</v>
      </c>
      <c r="H2680" s="16" t="s">
        <v>6</v>
      </c>
      <c r="I2680" s="10">
        <f t="shared" si="763"/>
        <v>0</v>
      </c>
      <c r="J2680" s="16" t="s">
        <v>201</v>
      </c>
      <c r="K2680" s="15"/>
      <c r="L2680" s="15"/>
      <c r="M2680" s="16"/>
      <c r="N2680" s="8"/>
      <c r="O2680" s="18">
        <f t="shared" si="766"/>
        <v>1</v>
      </c>
      <c r="P2680" s="9">
        <f t="shared" si="764"/>
        <v>0</v>
      </c>
      <c r="Q2680" s="9"/>
      <c r="R2680" s="85">
        <v>0</v>
      </c>
      <c r="S2680" s="10">
        <f t="shared" si="765"/>
        <v>0</v>
      </c>
    </row>
    <row r="2681" spans="2:19" outlineLevel="1">
      <c r="B2681" s="13" t="s">
        <v>177</v>
      </c>
      <c r="C2681" s="7" t="str">
        <f t="shared" si="760"/>
        <v>MDR CARRETA ESPALHADOR DE AGREGADOS 20 M3</v>
      </c>
      <c r="D2681" s="8">
        <f t="shared" si="761"/>
        <v>46094</v>
      </c>
      <c r="E2681" s="15"/>
      <c r="F2681" s="15"/>
      <c r="G2681" s="15">
        <f t="shared" si="762"/>
        <v>0</v>
      </c>
      <c r="H2681" s="16" t="s">
        <v>6</v>
      </c>
      <c r="I2681" s="10">
        <f t="shared" si="763"/>
        <v>0</v>
      </c>
      <c r="J2681" s="16" t="s">
        <v>201</v>
      </c>
      <c r="K2681" s="15"/>
      <c r="L2681" s="15"/>
      <c r="M2681" s="16"/>
      <c r="N2681" s="8"/>
      <c r="O2681" s="18">
        <f t="shared" si="766"/>
        <v>1</v>
      </c>
      <c r="P2681" s="9">
        <f t="shared" si="764"/>
        <v>0</v>
      </c>
      <c r="Q2681" s="9"/>
      <c r="R2681" s="85">
        <v>0</v>
      </c>
      <c r="S2681" s="10">
        <f t="shared" si="765"/>
        <v>0</v>
      </c>
    </row>
    <row r="2682" spans="2:19" outlineLevel="1">
      <c r="B2682" s="13" t="s">
        <v>177</v>
      </c>
      <c r="C2682" s="7" t="str">
        <f t="shared" si="760"/>
        <v>MDR CARRETA ESPALHADOR DE AGREGADOS 20 M3</v>
      </c>
      <c r="D2682" s="8">
        <f t="shared" si="761"/>
        <v>46095</v>
      </c>
      <c r="E2682" s="15"/>
      <c r="F2682" s="15"/>
      <c r="G2682" s="15">
        <f t="shared" si="762"/>
        <v>0</v>
      </c>
      <c r="H2682" s="16" t="s">
        <v>6</v>
      </c>
      <c r="I2682" s="10">
        <f t="shared" si="763"/>
        <v>0</v>
      </c>
      <c r="J2682" s="16" t="s">
        <v>201</v>
      </c>
      <c r="K2682" s="15"/>
      <c r="L2682" s="15"/>
      <c r="M2682" s="16"/>
      <c r="N2682" s="8"/>
      <c r="O2682" s="18">
        <f t="shared" si="766"/>
        <v>1</v>
      </c>
      <c r="P2682" s="9">
        <f t="shared" si="764"/>
        <v>0</v>
      </c>
      <c r="Q2682" s="9"/>
      <c r="R2682" s="85">
        <v>0</v>
      </c>
      <c r="S2682" s="10">
        <f t="shared" si="765"/>
        <v>0</v>
      </c>
    </row>
    <row r="2683" spans="2:19" outlineLevel="1">
      <c r="B2683" s="13" t="s">
        <v>177</v>
      </c>
      <c r="C2683" s="7" t="str">
        <f t="shared" si="760"/>
        <v>MDR CARRETA ESPALHADOR DE AGREGADOS 20 M3</v>
      </c>
      <c r="D2683" s="8">
        <f t="shared" si="761"/>
        <v>46096</v>
      </c>
      <c r="E2683" s="15"/>
      <c r="F2683" s="15"/>
      <c r="G2683" s="15">
        <f t="shared" si="762"/>
        <v>0</v>
      </c>
      <c r="H2683" s="16" t="s">
        <v>6</v>
      </c>
      <c r="I2683" s="10">
        <f t="shared" si="763"/>
        <v>0</v>
      </c>
      <c r="J2683" s="16" t="s">
        <v>201</v>
      </c>
      <c r="K2683" s="15"/>
      <c r="L2683" s="15"/>
      <c r="M2683" s="16"/>
      <c r="N2683" s="8"/>
      <c r="O2683" s="18">
        <f t="shared" si="766"/>
        <v>1</v>
      </c>
      <c r="P2683" s="9">
        <f t="shared" si="764"/>
        <v>0</v>
      </c>
      <c r="Q2683" s="9"/>
      <c r="R2683" s="85">
        <v>0</v>
      </c>
      <c r="S2683" s="10">
        <f t="shared" si="765"/>
        <v>0</v>
      </c>
    </row>
    <row r="2684" spans="2:19" outlineLevel="1">
      <c r="B2684" s="13" t="s">
        <v>177</v>
      </c>
      <c r="C2684" s="7" t="str">
        <f t="shared" si="760"/>
        <v>MDR CARRETA ESPALHADOR DE AGREGADOS 20 M3</v>
      </c>
      <c r="D2684" s="8">
        <f t="shared" si="761"/>
        <v>46097</v>
      </c>
      <c r="E2684" s="15"/>
      <c r="F2684" s="15"/>
      <c r="G2684" s="15">
        <f t="shared" si="762"/>
        <v>0</v>
      </c>
      <c r="H2684" s="16" t="s">
        <v>6</v>
      </c>
      <c r="I2684" s="10">
        <f t="shared" si="763"/>
        <v>0</v>
      </c>
      <c r="J2684" s="16" t="s">
        <v>201</v>
      </c>
      <c r="K2684" s="15"/>
      <c r="L2684" s="15"/>
      <c r="M2684" s="16"/>
      <c r="N2684" s="8"/>
      <c r="O2684" s="18">
        <f t="shared" si="766"/>
        <v>1</v>
      </c>
      <c r="P2684" s="9">
        <f t="shared" si="764"/>
        <v>0</v>
      </c>
      <c r="Q2684" s="9"/>
      <c r="R2684" s="85">
        <v>0</v>
      </c>
      <c r="S2684" s="10">
        <f t="shared" si="765"/>
        <v>0</v>
      </c>
    </row>
    <row r="2685" spans="2:19" outlineLevel="1">
      <c r="B2685" s="13" t="s">
        <v>177</v>
      </c>
      <c r="C2685" s="7" t="str">
        <f t="shared" si="760"/>
        <v>MDR CARRETA ESPALHADOR DE AGREGADOS 20 M3</v>
      </c>
      <c r="D2685" s="8">
        <f t="shared" si="761"/>
        <v>46098</v>
      </c>
      <c r="E2685" s="15"/>
      <c r="F2685" s="15"/>
      <c r="G2685" s="15">
        <f t="shared" si="762"/>
        <v>0</v>
      </c>
      <c r="H2685" s="16" t="s">
        <v>6</v>
      </c>
      <c r="I2685" s="10">
        <f t="shared" si="763"/>
        <v>0</v>
      </c>
      <c r="J2685" s="16" t="s">
        <v>201</v>
      </c>
      <c r="K2685" s="15"/>
      <c r="L2685" s="15"/>
      <c r="M2685" s="16"/>
      <c r="N2685" s="8"/>
      <c r="O2685" s="18">
        <f t="shared" si="766"/>
        <v>1</v>
      </c>
      <c r="P2685" s="9">
        <f t="shared" si="764"/>
        <v>0</v>
      </c>
      <c r="Q2685" s="9"/>
      <c r="R2685" s="85">
        <v>0</v>
      </c>
      <c r="S2685" s="10">
        <f t="shared" si="765"/>
        <v>0</v>
      </c>
    </row>
    <row r="2686" spans="2:19" outlineLevel="1">
      <c r="B2686" s="13" t="s">
        <v>177</v>
      </c>
      <c r="C2686" s="7" t="str">
        <f t="shared" si="760"/>
        <v>MDR CARRETA ESPALHADOR DE AGREGADOS 20 M3</v>
      </c>
      <c r="D2686" s="8">
        <f t="shared" si="761"/>
        <v>46099</v>
      </c>
      <c r="E2686" s="15"/>
      <c r="F2686" s="15"/>
      <c r="G2686" s="15">
        <f t="shared" si="762"/>
        <v>0</v>
      </c>
      <c r="H2686" s="16" t="s">
        <v>6</v>
      </c>
      <c r="I2686" s="10">
        <f t="shared" si="763"/>
        <v>0</v>
      </c>
      <c r="J2686" s="16" t="s">
        <v>201</v>
      </c>
      <c r="K2686" s="15"/>
      <c r="L2686" s="15"/>
      <c r="M2686" s="16"/>
      <c r="N2686" s="8"/>
      <c r="O2686" s="18">
        <f t="shared" si="766"/>
        <v>1</v>
      </c>
      <c r="P2686" s="9">
        <f t="shared" si="764"/>
        <v>0</v>
      </c>
      <c r="Q2686" s="9"/>
      <c r="R2686" s="85">
        <v>0</v>
      </c>
      <c r="S2686" s="10">
        <f t="shared" si="765"/>
        <v>0</v>
      </c>
    </row>
    <row r="2687" spans="2:19" outlineLevel="1">
      <c r="B2687" s="13" t="s">
        <v>177</v>
      </c>
      <c r="C2687" s="7" t="str">
        <f t="shared" si="760"/>
        <v>MDR CARRETA ESPALHADOR DE AGREGADOS 20 M3</v>
      </c>
      <c r="D2687" s="8">
        <f t="shared" si="761"/>
        <v>46100</v>
      </c>
      <c r="E2687" s="15"/>
      <c r="F2687" s="15"/>
      <c r="G2687" s="15">
        <f t="shared" si="762"/>
        <v>0</v>
      </c>
      <c r="H2687" s="16" t="s">
        <v>6</v>
      </c>
      <c r="I2687" s="10">
        <f t="shared" si="763"/>
        <v>0</v>
      </c>
      <c r="J2687" s="16" t="s">
        <v>201</v>
      </c>
      <c r="K2687" s="15"/>
      <c r="L2687" s="15"/>
      <c r="M2687" s="16"/>
      <c r="N2687" s="8"/>
      <c r="O2687" s="18">
        <f t="shared" si="766"/>
        <v>1</v>
      </c>
      <c r="P2687" s="9">
        <f t="shared" si="764"/>
        <v>0</v>
      </c>
      <c r="Q2687" s="9"/>
      <c r="R2687" s="85">
        <v>0</v>
      </c>
      <c r="S2687" s="10">
        <f t="shared" si="765"/>
        <v>0</v>
      </c>
    </row>
    <row r="2688" spans="2:19" outlineLevel="1">
      <c r="B2688" s="13" t="s">
        <v>177</v>
      </c>
      <c r="C2688" s="7" t="str">
        <f t="shared" si="760"/>
        <v>MDR CARRETA ESPALHADOR DE AGREGADOS 20 M3</v>
      </c>
      <c r="D2688" s="8">
        <f t="shared" si="761"/>
        <v>46101</v>
      </c>
      <c r="E2688" s="15"/>
      <c r="F2688" s="15"/>
      <c r="G2688" s="15">
        <f t="shared" si="762"/>
        <v>0</v>
      </c>
      <c r="H2688" s="16" t="s">
        <v>6</v>
      </c>
      <c r="I2688" s="10">
        <f t="shared" si="763"/>
        <v>0</v>
      </c>
      <c r="J2688" s="16" t="s">
        <v>201</v>
      </c>
      <c r="K2688" s="15"/>
      <c r="L2688" s="15"/>
      <c r="M2688" s="16"/>
      <c r="N2688" s="8"/>
      <c r="O2688" s="18">
        <f t="shared" si="766"/>
        <v>1</v>
      </c>
      <c r="P2688" s="9">
        <f t="shared" si="764"/>
        <v>0</v>
      </c>
      <c r="Q2688" s="9"/>
      <c r="R2688" s="85">
        <v>0</v>
      </c>
      <c r="S2688" s="10">
        <f t="shared" si="765"/>
        <v>0</v>
      </c>
    </row>
    <row r="2689" spans="2:19" outlineLevel="1">
      <c r="B2689" s="13" t="s">
        <v>177</v>
      </c>
      <c r="C2689" s="7" t="str">
        <f t="shared" si="760"/>
        <v>MDR CARRETA ESPALHADOR DE AGREGADOS 20 M3</v>
      </c>
      <c r="D2689" s="8">
        <f t="shared" si="761"/>
        <v>46102</v>
      </c>
      <c r="E2689" s="15"/>
      <c r="F2689" s="15"/>
      <c r="G2689" s="15">
        <f t="shared" si="762"/>
        <v>0</v>
      </c>
      <c r="H2689" s="16" t="s">
        <v>6</v>
      </c>
      <c r="I2689" s="10">
        <f t="shared" si="763"/>
        <v>0</v>
      </c>
      <c r="J2689" s="16" t="s">
        <v>201</v>
      </c>
      <c r="K2689" s="15"/>
      <c r="L2689" s="15"/>
      <c r="M2689" s="16"/>
      <c r="N2689" s="8"/>
      <c r="O2689" s="18">
        <f t="shared" si="766"/>
        <v>1</v>
      </c>
      <c r="P2689" s="9">
        <f t="shared" si="764"/>
        <v>0</v>
      </c>
      <c r="Q2689" s="9"/>
      <c r="R2689" s="85">
        <v>0</v>
      </c>
      <c r="S2689" s="10">
        <f t="shared" si="765"/>
        <v>0</v>
      </c>
    </row>
    <row r="2690" spans="2:19" outlineLevel="1">
      <c r="B2690" s="13" t="s">
        <v>177</v>
      </c>
      <c r="C2690" s="7" t="str">
        <f t="shared" si="760"/>
        <v>MDR CARRETA ESPALHADOR DE AGREGADOS 20 M3</v>
      </c>
      <c r="D2690" s="8">
        <f t="shared" si="761"/>
        <v>46103</v>
      </c>
      <c r="E2690" s="15"/>
      <c r="F2690" s="15"/>
      <c r="G2690" s="15">
        <f t="shared" si="762"/>
        <v>0</v>
      </c>
      <c r="H2690" s="16" t="s">
        <v>6</v>
      </c>
      <c r="I2690" s="10">
        <f t="shared" si="763"/>
        <v>0</v>
      </c>
      <c r="J2690" s="16" t="s">
        <v>201</v>
      </c>
      <c r="K2690" s="15"/>
      <c r="L2690" s="15"/>
      <c r="M2690" s="16"/>
      <c r="N2690" s="8"/>
      <c r="O2690" s="18">
        <f t="shared" si="766"/>
        <v>1</v>
      </c>
      <c r="P2690" s="9">
        <f t="shared" si="764"/>
        <v>0</v>
      </c>
      <c r="Q2690" s="9"/>
      <c r="R2690" s="85">
        <v>0</v>
      </c>
      <c r="S2690" s="10">
        <f t="shared" si="765"/>
        <v>0</v>
      </c>
    </row>
    <row r="2691" spans="2:19" outlineLevel="1">
      <c r="B2691" s="13" t="s">
        <v>177</v>
      </c>
      <c r="C2691" s="7" t="str">
        <f t="shared" si="760"/>
        <v>MDR CARRETA ESPALHADOR DE AGREGADOS 20 M3</v>
      </c>
      <c r="D2691" s="8">
        <f t="shared" si="761"/>
        <v>46104</v>
      </c>
      <c r="E2691" s="15"/>
      <c r="F2691" s="15"/>
      <c r="G2691" s="15">
        <f t="shared" si="762"/>
        <v>0</v>
      </c>
      <c r="H2691" s="16" t="s">
        <v>6</v>
      </c>
      <c r="I2691" s="10">
        <f t="shared" si="763"/>
        <v>0</v>
      </c>
      <c r="J2691" s="16" t="s">
        <v>201</v>
      </c>
      <c r="K2691" s="15"/>
      <c r="L2691" s="15"/>
      <c r="M2691" s="16"/>
      <c r="N2691" s="8"/>
      <c r="O2691" s="18">
        <f t="shared" si="766"/>
        <v>1</v>
      </c>
      <c r="P2691" s="9">
        <f t="shared" si="764"/>
        <v>0</v>
      </c>
      <c r="Q2691" s="9"/>
      <c r="R2691" s="85">
        <v>0</v>
      </c>
      <c r="S2691" s="10">
        <f t="shared" si="765"/>
        <v>0</v>
      </c>
    </row>
    <row r="2692" spans="2:19" outlineLevel="1">
      <c r="B2692" s="13" t="s">
        <v>177</v>
      </c>
      <c r="C2692" s="7" t="str">
        <f t="shared" si="760"/>
        <v>MDR CARRETA ESPALHADOR DE AGREGADOS 20 M3</v>
      </c>
      <c r="D2692" s="8">
        <f t="shared" si="761"/>
        <v>46105</v>
      </c>
      <c r="E2692" s="15"/>
      <c r="F2692" s="15"/>
      <c r="G2692" s="15">
        <f t="shared" si="762"/>
        <v>0</v>
      </c>
      <c r="H2692" s="16" t="s">
        <v>6</v>
      </c>
      <c r="I2692" s="10">
        <f t="shared" si="763"/>
        <v>0</v>
      </c>
      <c r="J2692" s="16" t="s">
        <v>201</v>
      </c>
      <c r="K2692" s="15"/>
      <c r="L2692" s="15"/>
      <c r="M2692" s="16"/>
      <c r="N2692" s="8"/>
      <c r="O2692" s="18">
        <f t="shared" si="766"/>
        <v>1</v>
      </c>
      <c r="P2692" s="9">
        <f t="shared" si="764"/>
        <v>0</v>
      </c>
      <c r="Q2692" s="9"/>
      <c r="R2692" s="85">
        <v>0</v>
      </c>
      <c r="S2692" s="10">
        <f t="shared" si="765"/>
        <v>0</v>
      </c>
    </row>
    <row r="2693" spans="2:19" outlineLevel="1">
      <c r="B2693" s="13" t="s">
        <v>177</v>
      </c>
      <c r="C2693" s="7" t="str">
        <f t="shared" si="760"/>
        <v>MDR CARRETA ESPALHADOR DE AGREGADOS 20 M3</v>
      </c>
      <c r="D2693" s="8">
        <f t="shared" si="761"/>
        <v>46106</v>
      </c>
      <c r="E2693" s="15"/>
      <c r="F2693" s="15"/>
      <c r="G2693" s="15">
        <f t="shared" si="762"/>
        <v>0</v>
      </c>
      <c r="H2693" s="16" t="s">
        <v>6</v>
      </c>
      <c r="I2693" s="10">
        <f t="shared" si="763"/>
        <v>0</v>
      </c>
      <c r="J2693" s="16" t="s">
        <v>201</v>
      </c>
      <c r="K2693" s="15"/>
      <c r="L2693" s="15"/>
      <c r="M2693" s="16"/>
      <c r="N2693" s="8"/>
      <c r="O2693" s="18">
        <f t="shared" si="766"/>
        <v>1</v>
      </c>
      <c r="P2693" s="9">
        <f t="shared" si="764"/>
        <v>0</v>
      </c>
      <c r="Q2693" s="9"/>
      <c r="R2693" s="85">
        <v>0</v>
      </c>
      <c r="S2693" s="10">
        <f t="shared" si="765"/>
        <v>0</v>
      </c>
    </row>
    <row r="2694" spans="2:19" outlineLevel="1">
      <c r="B2694" s="13" t="s">
        <v>177</v>
      </c>
      <c r="C2694" s="7" t="str">
        <f t="shared" si="760"/>
        <v>MDR CARRETA ESPALHADOR DE AGREGADOS 20 M3</v>
      </c>
      <c r="D2694" s="8">
        <f t="shared" si="761"/>
        <v>46107</v>
      </c>
      <c r="E2694" s="15"/>
      <c r="F2694" s="15"/>
      <c r="G2694" s="15">
        <f t="shared" si="762"/>
        <v>0</v>
      </c>
      <c r="H2694" s="16" t="s">
        <v>6</v>
      </c>
      <c r="I2694" s="10">
        <f t="shared" si="763"/>
        <v>0</v>
      </c>
      <c r="J2694" s="16" t="s">
        <v>201</v>
      </c>
      <c r="K2694" s="15"/>
      <c r="L2694" s="15"/>
      <c r="M2694" s="16"/>
      <c r="N2694" s="8"/>
      <c r="O2694" s="18">
        <f t="shared" si="766"/>
        <v>1</v>
      </c>
      <c r="P2694" s="9">
        <f t="shared" si="764"/>
        <v>0</v>
      </c>
      <c r="Q2694" s="9"/>
      <c r="R2694" s="85">
        <v>0</v>
      </c>
      <c r="S2694" s="10">
        <f t="shared" si="765"/>
        <v>0</v>
      </c>
    </row>
    <row r="2695" spans="2:19" outlineLevel="1">
      <c r="B2695" s="13" t="s">
        <v>177</v>
      </c>
      <c r="C2695" s="7" t="str">
        <f t="shared" si="760"/>
        <v>MDR CARRETA ESPALHADOR DE AGREGADOS 20 M3</v>
      </c>
      <c r="D2695" s="8">
        <f t="shared" si="761"/>
        <v>46108</v>
      </c>
      <c r="E2695" s="15"/>
      <c r="F2695" s="15"/>
      <c r="G2695" s="15">
        <f t="shared" si="762"/>
        <v>0</v>
      </c>
      <c r="H2695" s="16" t="s">
        <v>6</v>
      </c>
      <c r="I2695" s="10">
        <f t="shared" si="763"/>
        <v>0</v>
      </c>
      <c r="J2695" s="16" t="s">
        <v>201</v>
      </c>
      <c r="K2695" s="15"/>
      <c r="L2695" s="15"/>
      <c r="M2695" s="16"/>
      <c r="N2695" s="8"/>
      <c r="O2695" s="18">
        <f t="shared" si="766"/>
        <v>1</v>
      </c>
      <c r="P2695" s="9">
        <f t="shared" si="764"/>
        <v>0</v>
      </c>
      <c r="Q2695" s="9"/>
      <c r="R2695" s="85">
        <v>0</v>
      </c>
      <c r="S2695" s="10">
        <f t="shared" si="765"/>
        <v>0</v>
      </c>
    </row>
    <row r="2696" spans="2:19" outlineLevel="1">
      <c r="B2696" s="13" t="s">
        <v>177</v>
      </c>
      <c r="C2696" s="7" t="str">
        <f t="shared" si="760"/>
        <v>MDR CARRETA ESPALHADOR DE AGREGADOS 20 M3</v>
      </c>
      <c r="D2696" s="8">
        <f t="shared" ref="D2696" si="767">D2628</f>
        <v>46109</v>
      </c>
      <c r="E2696" s="15"/>
      <c r="F2696" s="15"/>
      <c r="G2696" s="15">
        <f t="shared" ref="G2696:G2698" si="768">F2696*E2696</f>
        <v>0</v>
      </c>
      <c r="H2696" s="16" t="s">
        <v>6</v>
      </c>
      <c r="I2696" s="10">
        <f t="shared" ref="I2696:I2698" si="769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0">O2696*G2696</f>
        <v>0</v>
      </c>
      <c r="Q2696" s="9"/>
      <c r="R2696" s="85">
        <v>0</v>
      </c>
      <c r="S2696" s="10">
        <f t="shared" ref="S2696:S2698" si="771">SUM(R2696+Q2696+I2696)</f>
        <v>0</v>
      </c>
    </row>
    <row r="2697" spans="2:19" outlineLevel="1">
      <c r="B2697" s="13" t="s">
        <v>177</v>
      </c>
      <c r="C2697" s="7" t="str">
        <f t="shared" si="760"/>
        <v>MDR CARRETA ESPALHADOR DE AGREGADOS 20 M3</v>
      </c>
      <c r="D2697" s="8">
        <f t="shared" ref="D2697:D2699" si="772">D2629</f>
        <v>46110</v>
      </c>
      <c r="E2697" s="15"/>
      <c r="F2697" s="15"/>
      <c r="G2697" s="15">
        <f t="shared" si="768"/>
        <v>0</v>
      </c>
      <c r="H2697" s="16" t="s">
        <v>6</v>
      </c>
      <c r="I2697" s="10">
        <f t="shared" si="769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0"/>
        <v>0</v>
      </c>
      <c r="Q2697" s="9"/>
      <c r="R2697" s="85">
        <v>0</v>
      </c>
      <c r="S2697" s="10">
        <f t="shared" si="771"/>
        <v>0</v>
      </c>
    </row>
    <row r="2698" spans="2:19" outlineLevel="1">
      <c r="B2698" s="13" t="s">
        <v>177</v>
      </c>
      <c r="C2698" s="7" t="str">
        <f t="shared" si="760"/>
        <v>MDR CARRETA ESPALHADOR DE AGREGADOS 20 M3</v>
      </c>
      <c r="D2698" s="8">
        <f t="shared" si="772"/>
        <v>46111</v>
      </c>
      <c r="E2698" s="15"/>
      <c r="F2698" s="15"/>
      <c r="G2698" s="15">
        <f t="shared" si="768"/>
        <v>0</v>
      </c>
      <c r="H2698" s="16" t="s">
        <v>6</v>
      </c>
      <c r="I2698" s="10">
        <f t="shared" si="769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0"/>
        <v>0</v>
      </c>
      <c r="Q2698" s="9"/>
      <c r="R2698" s="85">
        <v>0</v>
      </c>
      <c r="S2698" s="10">
        <f t="shared" si="771"/>
        <v>0</v>
      </c>
    </row>
    <row r="2699" spans="2:19" outlineLevel="1">
      <c r="B2699" s="13" t="s">
        <v>177</v>
      </c>
      <c r="C2699" s="7" t="str">
        <f t="shared" si="760"/>
        <v>MDR CARRETA ESPALHADOR DE AGREGADOS 20 M3</v>
      </c>
      <c r="D2699" s="8">
        <f t="shared" si="772"/>
        <v>46112</v>
      </c>
      <c r="E2699" s="15"/>
      <c r="F2699" s="15"/>
      <c r="G2699" s="15">
        <f t="shared" si="762"/>
        <v>0</v>
      </c>
      <c r="H2699" s="16" t="s">
        <v>6</v>
      </c>
      <c r="I2699" s="10">
        <f t="shared" si="76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4"/>
        <v>0</v>
      </c>
      <c r="Q2699" s="9"/>
      <c r="R2699" s="85">
        <v>0</v>
      </c>
      <c r="S2699" s="10">
        <f t="shared" si="765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3">C$2701</f>
        <v>VASSOURA MEC EMAQ SERIE 24072</v>
      </c>
      <c r="D2703" s="8">
        <f t="shared" ref="D2703:D2729" si="774">D2635</f>
        <v>46082</v>
      </c>
      <c r="E2703" s="15"/>
      <c r="F2703" s="15"/>
      <c r="G2703" s="15">
        <f t="shared" ref="G2703:G2706" si="775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6">SUM(R2703+Q2703+I2703)</f>
        <v>0</v>
      </c>
    </row>
    <row r="2704" spans="2:19" outlineLevel="1">
      <c r="B2704" s="13" t="s">
        <v>180</v>
      </c>
      <c r="C2704" s="7" t="str">
        <f t="shared" si="773"/>
        <v>VASSOURA MEC EMAQ SERIE 24072</v>
      </c>
      <c r="D2704" s="8">
        <f t="shared" si="774"/>
        <v>46083</v>
      </c>
      <c r="E2704" s="15"/>
      <c r="F2704" s="15"/>
      <c r="G2704" s="15">
        <f t="shared" si="775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6"/>
        <v>0</v>
      </c>
    </row>
    <row r="2705" spans="2:19" outlineLevel="1">
      <c r="B2705" s="13" t="s">
        <v>180</v>
      </c>
      <c r="C2705" s="7" t="str">
        <f t="shared" si="773"/>
        <v>VASSOURA MEC EMAQ SERIE 24072</v>
      </c>
      <c r="D2705" s="8">
        <f t="shared" si="774"/>
        <v>46084</v>
      </c>
      <c r="E2705" s="15"/>
      <c r="F2705" s="15"/>
      <c r="G2705" s="15">
        <f t="shared" si="775"/>
        <v>0</v>
      </c>
      <c r="H2705" s="16" t="s">
        <v>6</v>
      </c>
      <c r="I2705" s="10">
        <f t="shared" ref="I2705:I2729" si="777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6"/>
        <v>0</v>
      </c>
    </row>
    <row r="2706" spans="2:19" outlineLevel="1">
      <c r="B2706" s="13" t="s">
        <v>180</v>
      </c>
      <c r="C2706" s="7" t="str">
        <f t="shared" si="773"/>
        <v>VASSOURA MEC EMAQ SERIE 24072</v>
      </c>
      <c r="D2706" s="8">
        <f t="shared" si="774"/>
        <v>46085</v>
      </c>
      <c r="E2706" s="15"/>
      <c r="F2706" s="15"/>
      <c r="G2706" s="15">
        <f t="shared" si="775"/>
        <v>0</v>
      </c>
      <c r="H2706" s="16" t="s">
        <v>6</v>
      </c>
      <c r="I2706" s="10">
        <f t="shared" si="777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6"/>
        <v>0</v>
      </c>
    </row>
    <row r="2707" spans="2:19" outlineLevel="1">
      <c r="B2707" s="13" t="s">
        <v>180</v>
      </c>
      <c r="C2707" s="7" t="str">
        <f t="shared" si="773"/>
        <v>VASSOURA MEC EMAQ SERIE 24072</v>
      </c>
      <c r="D2707" s="8">
        <f t="shared" si="774"/>
        <v>46086</v>
      </c>
      <c r="E2707" s="15"/>
      <c r="F2707" s="15"/>
      <c r="G2707" s="15">
        <f t="shared" ref="G2707:G2733" si="778">F2707-E2707</f>
        <v>0</v>
      </c>
      <c r="H2707" s="16" t="s">
        <v>6</v>
      </c>
      <c r="I2707" s="10">
        <f t="shared" si="777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6"/>
        <v>0</v>
      </c>
    </row>
    <row r="2708" spans="2:19" outlineLevel="1">
      <c r="B2708" s="13" t="s">
        <v>180</v>
      </c>
      <c r="C2708" s="7" t="str">
        <f t="shared" si="773"/>
        <v>VASSOURA MEC EMAQ SERIE 24072</v>
      </c>
      <c r="D2708" s="8">
        <f t="shared" si="774"/>
        <v>46087</v>
      </c>
      <c r="E2708" s="15"/>
      <c r="F2708" s="15"/>
      <c r="G2708" s="15">
        <f t="shared" si="778"/>
        <v>0</v>
      </c>
      <c r="H2708" s="16" t="s">
        <v>6</v>
      </c>
      <c r="I2708" s="10">
        <f t="shared" si="777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6"/>
        <v>0</v>
      </c>
    </row>
    <row r="2709" spans="2:19" outlineLevel="1">
      <c r="B2709" s="13" t="s">
        <v>180</v>
      </c>
      <c r="C2709" s="7" t="str">
        <f t="shared" si="773"/>
        <v>VASSOURA MEC EMAQ SERIE 24072</v>
      </c>
      <c r="D2709" s="8">
        <f t="shared" si="774"/>
        <v>46088</v>
      </c>
      <c r="E2709" s="15"/>
      <c r="F2709" s="15"/>
      <c r="G2709" s="15">
        <f t="shared" si="778"/>
        <v>0</v>
      </c>
      <c r="H2709" s="16" t="s">
        <v>6</v>
      </c>
      <c r="I2709" s="10">
        <f t="shared" si="777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6"/>
        <v>0</v>
      </c>
    </row>
    <row r="2710" spans="2:19" outlineLevel="1">
      <c r="B2710" s="13" t="s">
        <v>180</v>
      </c>
      <c r="C2710" s="7" t="str">
        <f t="shared" si="773"/>
        <v>VASSOURA MEC EMAQ SERIE 24072</v>
      </c>
      <c r="D2710" s="8">
        <f t="shared" si="774"/>
        <v>46089</v>
      </c>
      <c r="E2710" s="15"/>
      <c r="F2710" s="15"/>
      <c r="G2710" s="15">
        <f t="shared" si="778"/>
        <v>0</v>
      </c>
      <c r="H2710" s="16" t="s">
        <v>6</v>
      </c>
      <c r="I2710" s="10">
        <f t="shared" si="777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6"/>
        <v>0</v>
      </c>
    </row>
    <row r="2711" spans="2:19" outlineLevel="1">
      <c r="B2711" s="13" t="s">
        <v>180</v>
      </c>
      <c r="C2711" s="7" t="str">
        <f t="shared" si="773"/>
        <v>VASSOURA MEC EMAQ SERIE 24072</v>
      </c>
      <c r="D2711" s="8">
        <f t="shared" si="774"/>
        <v>46090</v>
      </c>
      <c r="E2711" s="15"/>
      <c r="F2711" s="15"/>
      <c r="G2711" s="15">
        <f t="shared" si="778"/>
        <v>0</v>
      </c>
      <c r="H2711" s="16" t="s">
        <v>6</v>
      </c>
      <c r="I2711" s="10">
        <f t="shared" si="777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6"/>
        <v>0</v>
      </c>
    </row>
    <row r="2712" spans="2:19" outlineLevel="1">
      <c r="B2712" s="13" t="s">
        <v>180</v>
      </c>
      <c r="C2712" s="7" t="str">
        <f t="shared" si="773"/>
        <v>VASSOURA MEC EMAQ SERIE 24072</v>
      </c>
      <c r="D2712" s="8">
        <f t="shared" si="774"/>
        <v>46091</v>
      </c>
      <c r="E2712" s="15"/>
      <c r="F2712" s="15"/>
      <c r="G2712" s="15">
        <f t="shared" si="778"/>
        <v>0</v>
      </c>
      <c r="H2712" s="16" t="s">
        <v>6</v>
      </c>
      <c r="I2712" s="10">
        <f t="shared" si="777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6"/>
        <v>0</v>
      </c>
    </row>
    <row r="2713" spans="2:19" outlineLevel="1">
      <c r="B2713" s="13" t="s">
        <v>180</v>
      </c>
      <c r="C2713" s="7" t="str">
        <f t="shared" si="773"/>
        <v>VASSOURA MEC EMAQ SERIE 24072</v>
      </c>
      <c r="D2713" s="8">
        <f t="shared" si="774"/>
        <v>46092</v>
      </c>
      <c r="E2713" s="15"/>
      <c r="F2713" s="15"/>
      <c r="G2713" s="15">
        <f t="shared" si="778"/>
        <v>0</v>
      </c>
      <c r="H2713" s="16" t="s">
        <v>6</v>
      </c>
      <c r="I2713" s="10">
        <f t="shared" si="777"/>
        <v>0</v>
      </c>
      <c r="J2713" s="16" t="s">
        <v>201</v>
      </c>
      <c r="K2713" s="15"/>
      <c r="L2713" s="15"/>
      <c r="M2713" s="16"/>
      <c r="N2713" s="8"/>
      <c r="O2713" s="18">
        <f t="shared" ref="O2713:O2729" si="779">O2712</f>
        <v>0</v>
      </c>
      <c r="P2713" s="9"/>
      <c r="Q2713" s="9"/>
      <c r="R2713" s="85">
        <v>0</v>
      </c>
      <c r="S2713" s="10">
        <f t="shared" si="776"/>
        <v>0</v>
      </c>
    </row>
    <row r="2714" spans="2:19" outlineLevel="1">
      <c r="B2714" s="13" t="s">
        <v>180</v>
      </c>
      <c r="C2714" s="7" t="str">
        <f t="shared" si="773"/>
        <v>VASSOURA MEC EMAQ SERIE 24072</v>
      </c>
      <c r="D2714" s="8">
        <f t="shared" si="774"/>
        <v>46093</v>
      </c>
      <c r="E2714" s="15"/>
      <c r="F2714" s="15"/>
      <c r="G2714" s="15">
        <f t="shared" si="778"/>
        <v>0</v>
      </c>
      <c r="H2714" s="16" t="s">
        <v>6</v>
      </c>
      <c r="I2714" s="10">
        <f t="shared" si="777"/>
        <v>0</v>
      </c>
      <c r="J2714" s="16" t="s">
        <v>201</v>
      </c>
      <c r="K2714" s="15"/>
      <c r="L2714" s="15"/>
      <c r="M2714" s="16"/>
      <c r="N2714" s="8"/>
      <c r="O2714" s="18">
        <f t="shared" si="779"/>
        <v>0</v>
      </c>
      <c r="P2714" s="9"/>
      <c r="Q2714" s="9"/>
      <c r="R2714" s="85">
        <v>0</v>
      </c>
      <c r="S2714" s="10">
        <f t="shared" si="776"/>
        <v>0</v>
      </c>
    </row>
    <row r="2715" spans="2:19" outlineLevel="1">
      <c r="B2715" s="13" t="s">
        <v>180</v>
      </c>
      <c r="C2715" s="7" t="str">
        <f t="shared" si="773"/>
        <v>VASSOURA MEC EMAQ SERIE 24072</v>
      </c>
      <c r="D2715" s="8">
        <f t="shared" si="774"/>
        <v>46094</v>
      </c>
      <c r="E2715" s="15"/>
      <c r="F2715" s="15"/>
      <c r="G2715" s="15">
        <f t="shared" si="778"/>
        <v>0</v>
      </c>
      <c r="H2715" s="16" t="s">
        <v>6</v>
      </c>
      <c r="I2715" s="10">
        <f t="shared" si="777"/>
        <v>0</v>
      </c>
      <c r="J2715" s="16" t="s">
        <v>201</v>
      </c>
      <c r="K2715" s="15"/>
      <c r="L2715" s="15"/>
      <c r="M2715" s="16"/>
      <c r="N2715" s="8"/>
      <c r="O2715" s="18">
        <f t="shared" si="779"/>
        <v>0</v>
      </c>
      <c r="P2715" s="9"/>
      <c r="Q2715" s="9"/>
      <c r="R2715" s="85">
        <v>0</v>
      </c>
      <c r="S2715" s="10">
        <f t="shared" si="776"/>
        <v>0</v>
      </c>
    </row>
    <row r="2716" spans="2:19" outlineLevel="1">
      <c r="B2716" s="13" t="s">
        <v>180</v>
      </c>
      <c r="C2716" s="7" t="str">
        <f t="shared" si="773"/>
        <v>VASSOURA MEC EMAQ SERIE 24072</v>
      </c>
      <c r="D2716" s="8">
        <f t="shared" si="774"/>
        <v>46095</v>
      </c>
      <c r="E2716" s="15"/>
      <c r="F2716" s="15"/>
      <c r="G2716" s="15">
        <f t="shared" si="778"/>
        <v>0</v>
      </c>
      <c r="H2716" s="16" t="s">
        <v>6</v>
      </c>
      <c r="I2716" s="10">
        <f t="shared" si="777"/>
        <v>0</v>
      </c>
      <c r="J2716" s="16" t="s">
        <v>201</v>
      </c>
      <c r="K2716" s="15"/>
      <c r="L2716" s="15"/>
      <c r="M2716" s="16"/>
      <c r="N2716" s="8"/>
      <c r="O2716" s="18">
        <f t="shared" si="779"/>
        <v>0</v>
      </c>
      <c r="P2716" s="9"/>
      <c r="Q2716" s="9"/>
      <c r="R2716" s="85">
        <v>0</v>
      </c>
      <c r="S2716" s="10">
        <f t="shared" si="776"/>
        <v>0</v>
      </c>
    </row>
    <row r="2717" spans="2:19" outlineLevel="1">
      <c r="B2717" s="13" t="s">
        <v>180</v>
      </c>
      <c r="C2717" s="7" t="str">
        <f t="shared" si="773"/>
        <v>VASSOURA MEC EMAQ SERIE 24072</v>
      </c>
      <c r="D2717" s="8">
        <f t="shared" si="774"/>
        <v>46096</v>
      </c>
      <c r="E2717" s="15"/>
      <c r="F2717" s="15"/>
      <c r="G2717" s="15">
        <f t="shared" si="778"/>
        <v>0</v>
      </c>
      <c r="H2717" s="16" t="s">
        <v>6</v>
      </c>
      <c r="I2717" s="10">
        <f t="shared" si="777"/>
        <v>0</v>
      </c>
      <c r="J2717" s="16" t="s">
        <v>201</v>
      </c>
      <c r="K2717" s="15"/>
      <c r="L2717" s="15"/>
      <c r="M2717" s="16"/>
      <c r="N2717" s="8"/>
      <c r="O2717" s="18">
        <f t="shared" si="779"/>
        <v>0</v>
      </c>
      <c r="P2717" s="9"/>
      <c r="Q2717" s="9"/>
      <c r="R2717" s="85">
        <v>0</v>
      </c>
      <c r="S2717" s="10">
        <f t="shared" si="776"/>
        <v>0</v>
      </c>
    </row>
    <row r="2718" spans="2:19" outlineLevel="1">
      <c r="B2718" s="13" t="s">
        <v>180</v>
      </c>
      <c r="C2718" s="7" t="str">
        <f t="shared" si="773"/>
        <v>VASSOURA MEC EMAQ SERIE 24072</v>
      </c>
      <c r="D2718" s="8">
        <f t="shared" si="774"/>
        <v>46097</v>
      </c>
      <c r="E2718" s="15"/>
      <c r="F2718" s="15"/>
      <c r="G2718" s="15">
        <f t="shared" si="778"/>
        <v>0</v>
      </c>
      <c r="H2718" s="16" t="s">
        <v>6</v>
      </c>
      <c r="I2718" s="10">
        <f t="shared" si="777"/>
        <v>0</v>
      </c>
      <c r="J2718" s="16" t="s">
        <v>201</v>
      </c>
      <c r="K2718" s="15"/>
      <c r="L2718" s="15"/>
      <c r="M2718" s="16"/>
      <c r="N2718" s="8"/>
      <c r="O2718" s="18">
        <f t="shared" si="779"/>
        <v>0</v>
      </c>
      <c r="P2718" s="9"/>
      <c r="Q2718" s="9"/>
      <c r="R2718" s="85">
        <v>0</v>
      </c>
      <c r="S2718" s="10">
        <f t="shared" ref="S2718:S2733" si="780">SUM(R2718+Q2718+I2718)</f>
        <v>0</v>
      </c>
    </row>
    <row r="2719" spans="2:19" outlineLevel="1">
      <c r="B2719" s="13" t="s">
        <v>180</v>
      </c>
      <c r="C2719" s="7" t="str">
        <f t="shared" si="773"/>
        <v>VASSOURA MEC EMAQ SERIE 24072</v>
      </c>
      <c r="D2719" s="8">
        <f t="shared" si="774"/>
        <v>46098</v>
      </c>
      <c r="E2719" s="15"/>
      <c r="F2719" s="15"/>
      <c r="G2719" s="15">
        <f t="shared" si="778"/>
        <v>0</v>
      </c>
      <c r="H2719" s="16" t="s">
        <v>6</v>
      </c>
      <c r="I2719" s="10">
        <f t="shared" si="777"/>
        <v>0</v>
      </c>
      <c r="J2719" s="16" t="s">
        <v>201</v>
      </c>
      <c r="K2719" s="15"/>
      <c r="L2719" s="15"/>
      <c r="M2719" s="16"/>
      <c r="N2719" s="8"/>
      <c r="O2719" s="18">
        <f t="shared" si="779"/>
        <v>0</v>
      </c>
      <c r="P2719" s="9"/>
      <c r="Q2719" s="9"/>
      <c r="R2719" s="85">
        <v>0</v>
      </c>
      <c r="S2719" s="10">
        <f t="shared" si="780"/>
        <v>0</v>
      </c>
    </row>
    <row r="2720" spans="2:19" outlineLevel="1">
      <c r="B2720" s="13" t="s">
        <v>180</v>
      </c>
      <c r="C2720" s="7" t="str">
        <f t="shared" si="773"/>
        <v>VASSOURA MEC EMAQ SERIE 24072</v>
      </c>
      <c r="D2720" s="8">
        <f t="shared" si="774"/>
        <v>46099</v>
      </c>
      <c r="E2720" s="15"/>
      <c r="F2720" s="15"/>
      <c r="G2720" s="15">
        <f t="shared" si="778"/>
        <v>0</v>
      </c>
      <c r="H2720" s="16" t="s">
        <v>6</v>
      </c>
      <c r="I2720" s="10">
        <f t="shared" si="777"/>
        <v>0</v>
      </c>
      <c r="J2720" s="16" t="s">
        <v>201</v>
      </c>
      <c r="K2720" s="15"/>
      <c r="L2720" s="15"/>
      <c r="M2720" s="16"/>
      <c r="N2720" s="8"/>
      <c r="O2720" s="18">
        <f t="shared" si="779"/>
        <v>0</v>
      </c>
      <c r="P2720" s="9"/>
      <c r="Q2720" s="9"/>
      <c r="R2720" s="85">
        <v>0</v>
      </c>
      <c r="S2720" s="10">
        <f t="shared" si="780"/>
        <v>0</v>
      </c>
    </row>
    <row r="2721" spans="2:19" outlineLevel="1">
      <c r="B2721" s="13" t="s">
        <v>180</v>
      </c>
      <c r="C2721" s="7" t="str">
        <f t="shared" si="773"/>
        <v>VASSOURA MEC EMAQ SERIE 24072</v>
      </c>
      <c r="D2721" s="8">
        <f t="shared" si="774"/>
        <v>46100</v>
      </c>
      <c r="E2721" s="15"/>
      <c r="F2721" s="15"/>
      <c r="G2721" s="15">
        <f t="shared" si="778"/>
        <v>0</v>
      </c>
      <c r="H2721" s="16" t="s">
        <v>6</v>
      </c>
      <c r="I2721" s="10">
        <f t="shared" si="777"/>
        <v>0</v>
      </c>
      <c r="J2721" s="16" t="s">
        <v>201</v>
      </c>
      <c r="K2721" s="15"/>
      <c r="L2721" s="15"/>
      <c r="M2721" s="16"/>
      <c r="N2721" s="8"/>
      <c r="O2721" s="18">
        <f t="shared" si="779"/>
        <v>0</v>
      </c>
      <c r="P2721" s="9"/>
      <c r="Q2721" s="9"/>
      <c r="R2721" s="85">
        <v>0</v>
      </c>
      <c r="S2721" s="10">
        <f t="shared" si="780"/>
        <v>0</v>
      </c>
    </row>
    <row r="2722" spans="2:19" outlineLevel="1">
      <c r="B2722" s="13" t="s">
        <v>180</v>
      </c>
      <c r="C2722" s="7" t="str">
        <f t="shared" si="773"/>
        <v>VASSOURA MEC EMAQ SERIE 24072</v>
      </c>
      <c r="D2722" s="8">
        <f t="shared" si="774"/>
        <v>46101</v>
      </c>
      <c r="E2722" s="15"/>
      <c r="F2722" s="15"/>
      <c r="G2722" s="15">
        <f t="shared" si="778"/>
        <v>0</v>
      </c>
      <c r="H2722" s="16" t="s">
        <v>6</v>
      </c>
      <c r="I2722" s="10">
        <f t="shared" si="777"/>
        <v>0</v>
      </c>
      <c r="J2722" s="16" t="s">
        <v>201</v>
      </c>
      <c r="K2722" s="15"/>
      <c r="L2722" s="15"/>
      <c r="M2722" s="16"/>
      <c r="N2722" s="8"/>
      <c r="O2722" s="18">
        <f t="shared" si="779"/>
        <v>0</v>
      </c>
      <c r="P2722" s="9"/>
      <c r="Q2722" s="9"/>
      <c r="R2722" s="85">
        <v>0</v>
      </c>
      <c r="S2722" s="10">
        <f t="shared" si="780"/>
        <v>0</v>
      </c>
    </row>
    <row r="2723" spans="2:19" outlineLevel="1">
      <c r="B2723" s="13" t="s">
        <v>180</v>
      </c>
      <c r="C2723" s="7" t="str">
        <f t="shared" si="773"/>
        <v>VASSOURA MEC EMAQ SERIE 24072</v>
      </c>
      <c r="D2723" s="8">
        <f t="shared" si="774"/>
        <v>46102</v>
      </c>
      <c r="E2723" s="15"/>
      <c r="F2723" s="15"/>
      <c r="G2723" s="15">
        <f t="shared" si="778"/>
        <v>0</v>
      </c>
      <c r="H2723" s="16" t="s">
        <v>6</v>
      </c>
      <c r="I2723" s="10">
        <f t="shared" si="777"/>
        <v>0</v>
      </c>
      <c r="J2723" s="16" t="s">
        <v>201</v>
      </c>
      <c r="K2723" s="15"/>
      <c r="L2723" s="15"/>
      <c r="M2723" s="16"/>
      <c r="N2723" s="8"/>
      <c r="O2723" s="18">
        <f t="shared" si="779"/>
        <v>0</v>
      </c>
      <c r="P2723" s="9"/>
      <c r="Q2723" s="9"/>
      <c r="R2723" s="85">
        <v>0</v>
      </c>
      <c r="S2723" s="10">
        <f t="shared" si="780"/>
        <v>0</v>
      </c>
    </row>
    <row r="2724" spans="2:19" outlineLevel="1">
      <c r="B2724" s="13" t="s">
        <v>180</v>
      </c>
      <c r="C2724" s="7" t="str">
        <f t="shared" si="773"/>
        <v>VASSOURA MEC EMAQ SERIE 24072</v>
      </c>
      <c r="D2724" s="8">
        <f t="shared" si="774"/>
        <v>46103</v>
      </c>
      <c r="E2724" s="15"/>
      <c r="F2724" s="15"/>
      <c r="G2724" s="15">
        <f t="shared" si="778"/>
        <v>0</v>
      </c>
      <c r="H2724" s="16" t="s">
        <v>6</v>
      </c>
      <c r="I2724" s="10">
        <f t="shared" si="777"/>
        <v>0</v>
      </c>
      <c r="J2724" s="16" t="s">
        <v>201</v>
      </c>
      <c r="K2724" s="15"/>
      <c r="L2724" s="15"/>
      <c r="M2724" s="16"/>
      <c r="N2724" s="8"/>
      <c r="O2724" s="18">
        <f t="shared" si="779"/>
        <v>0</v>
      </c>
      <c r="P2724" s="9"/>
      <c r="Q2724" s="9"/>
      <c r="R2724" s="85">
        <v>0</v>
      </c>
      <c r="S2724" s="10">
        <f t="shared" si="780"/>
        <v>0</v>
      </c>
    </row>
    <row r="2725" spans="2:19" outlineLevel="1">
      <c r="B2725" s="13" t="s">
        <v>180</v>
      </c>
      <c r="C2725" s="7" t="str">
        <f t="shared" si="773"/>
        <v>VASSOURA MEC EMAQ SERIE 24072</v>
      </c>
      <c r="D2725" s="8">
        <f t="shared" si="774"/>
        <v>46104</v>
      </c>
      <c r="E2725" s="15"/>
      <c r="F2725" s="15"/>
      <c r="G2725" s="15">
        <f t="shared" si="778"/>
        <v>0</v>
      </c>
      <c r="H2725" s="16" t="s">
        <v>6</v>
      </c>
      <c r="I2725" s="10">
        <f t="shared" si="777"/>
        <v>0</v>
      </c>
      <c r="J2725" s="16" t="s">
        <v>201</v>
      </c>
      <c r="K2725" s="15"/>
      <c r="L2725" s="15"/>
      <c r="M2725" s="16"/>
      <c r="N2725" s="8"/>
      <c r="O2725" s="18">
        <f t="shared" si="779"/>
        <v>0</v>
      </c>
      <c r="P2725" s="9"/>
      <c r="Q2725" s="9"/>
      <c r="R2725" s="85">
        <v>0</v>
      </c>
      <c r="S2725" s="10">
        <f t="shared" si="780"/>
        <v>0</v>
      </c>
    </row>
    <row r="2726" spans="2:19" outlineLevel="1">
      <c r="B2726" s="13" t="s">
        <v>180</v>
      </c>
      <c r="C2726" s="7" t="str">
        <f t="shared" si="773"/>
        <v>VASSOURA MEC EMAQ SERIE 24072</v>
      </c>
      <c r="D2726" s="8">
        <f t="shared" si="774"/>
        <v>46105</v>
      </c>
      <c r="E2726" s="15"/>
      <c r="F2726" s="15"/>
      <c r="G2726" s="15">
        <f t="shared" si="778"/>
        <v>0</v>
      </c>
      <c r="H2726" s="16" t="s">
        <v>6</v>
      </c>
      <c r="I2726" s="10">
        <f t="shared" si="777"/>
        <v>0</v>
      </c>
      <c r="J2726" s="16" t="s">
        <v>201</v>
      </c>
      <c r="K2726" s="15"/>
      <c r="L2726" s="15"/>
      <c r="M2726" s="16"/>
      <c r="N2726" s="8"/>
      <c r="O2726" s="18">
        <f t="shared" si="779"/>
        <v>0</v>
      </c>
      <c r="P2726" s="9"/>
      <c r="Q2726" s="9"/>
      <c r="R2726" s="85">
        <v>0</v>
      </c>
      <c r="S2726" s="10">
        <f t="shared" si="780"/>
        <v>0</v>
      </c>
    </row>
    <row r="2727" spans="2:19" outlineLevel="1">
      <c r="B2727" s="13" t="s">
        <v>180</v>
      </c>
      <c r="C2727" s="7" t="str">
        <f t="shared" si="773"/>
        <v>VASSOURA MEC EMAQ SERIE 24072</v>
      </c>
      <c r="D2727" s="8">
        <f t="shared" si="774"/>
        <v>46106</v>
      </c>
      <c r="E2727" s="15"/>
      <c r="F2727" s="15"/>
      <c r="G2727" s="15">
        <f t="shared" si="778"/>
        <v>0</v>
      </c>
      <c r="H2727" s="16" t="s">
        <v>6</v>
      </c>
      <c r="I2727" s="10">
        <f t="shared" si="777"/>
        <v>0</v>
      </c>
      <c r="J2727" s="16" t="s">
        <v>201</v>
      </c>
      <c r="K2727" s="15"/>
      <c r="L2727" s="15"/>
      <c r="M2727" s="16"/>
      <c r="N2727" s="8"/>
      <c r="O2727" s="18">
        <f t="shared" si="779"/>
        <v>0</v>
      </c>
      <c r="P2727" s="9"/>
      <c r="Q2727" s="9"/>
      <c r="R2727" s="85">
        <v>0</v>
      </c>
      <c r="S2727" s="10">
        <f t="shared" si="780"/>
        <v>0</v>
      </c>
    </row>
    <row r="2728" spans="2:19" outlineLevel="1">
      <c r="B2728" s="13" t="s">
        <v>180</v>
      </c>
      <c r="C2728" s="7" t="str">
        <f t="shared" si="773"/>
        <v>VASSOURA MEC EMAQ SERIE 24072</v>
      </c>
      <c r="D2728" s="8">
        <f t="shared" si="774"/>
        <v>46107</v>
      </c>
      <c r="E2728" s="15"/>
      <c r="F2728" s="15"/>
      <c r="G2728" s="15">
        <f t="shared" si="778"/>
        <v>0</v>
      </c>
      <c r="H2728" s="16" t="s">
        <v>6</v>
      </c>
      <c r="I2728" s="10">
        <f t="shared" si="777"/>
        <v>0</v>
      </c>
      <c r="J2728" s="16" t="s">
        <v>201</v>
      </c>
      <c r="K2728" s="15"/>
      <c r="L2728" s="15"/>
      <c r="M2728" s="16"/>
      <c r="N2728" s="8"/>
      <c r="O2728" s="18">
        <f t="shared" si="779"/>
        <v>0</v>
      </c>
      <c r="P2728" s="9"/>
      <c r="Q2728" s="9"/>
      <c r="R2728" s="85">
        <v>0</v>
      </c>
      <c r="S2728" s="10">
        <f t="shared" si="780"/>
        <v>0</v>
      </c>
    </row>
    <row r="2729" spans="2:19" outlineLevel="1">
      <c r="B2729" s="13" t="s">
        <v>180</v>
      </c>
      <c r="C2729" s="7" t="str">
        <f t="shared" si="773"/>
        <v>VASSOURA MEC EMAQ SERIE 24072</v>
      </c>
      <c r="D2729" s="8">
        <f t="shared" si="774"/>
        <v>46108</v>
      </c>
      <c r="E2729" s="15"/>
      <c r="F2729" s="15"/>
      <c r="G2729" s="15">
        <f t="shared" si="778"/>
        <v>0</v>
      </c>
      <c r="H2729" s="16" t="s">
        <v>6</v>
      </c>
      <c r="I2729" s="10">
        <f t="shared" si="777"/>
        <v>0</v>
      </c>
      <c r="J2729" s="16" t="s">
        <v>201</v>
      </c>
      <c r="K2729" s="15"/>
      <c r="L2729" s="15"/>
      <c r="M2729" s="16"/>
      <c r="N2729" s="8"/>
      <c r="O2729" s="18">
        <f t="shared" si="779"/>
        <v>0</v>
      </c>
      <c r="P2729" s="9"/>
      <c r="Q2729" s="9"/>
      <c r="R2729" s="85">
        <v>0</v>
      </c>
      <c r="S2729" s="10">
        <f t="shared" si="780"/>
        <v>0</v>
      </c>
    </row>
    <row r="2730" spans="2:19" outlineLevel="1">
      <c r="B2730" s="13" t="s">
        <v>180</v>
      </c>
      <c r="C2730" s="7" t="str">
        <f t="shared" si="773"/>
        <v>VASSOURA MEC EMAQ SERIE 24072</v>
      </c>
      <c r="D2730" s="8">
        <f t="shared" ref="D2730" si="781">D2662</f>
        <v>46109</v>
      </c>
      <c r="E2730" s="15"/>
      <c r="F2730" s="15"/>
      <c r="G2730" s="15">
        <f t="shared" ref="G2730:G2732" si="782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3">SUM(R2730+Q2730+I2730)</f>
        <v>0</v>
      </c>
    </row>
    <row r="2731" spans="2:19" outlineLevel="1">
      <c r="B2731" s="13" t="s">
        <v>180</v>
      </c>
      <c r="C2731" s="7" t="str">
        <f t="shared" si="773"/>
        <v>VASSOURA MEC EMAQ SERIE 24072</v>
      </c>
      <c r="D2731" s="8">
        <f t="shared" ref="D2731:D2733" si="784">D2663</f>
        <v>46110</v>
      </c>
      <c r="E2731" s="15"/>
      <c r="F2731" s="15"/>
      <c r="G2731" s="15">
        <f t="shared" si="782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3"/>
        <v>0</v>
      </c>
    </row>
    <row r="2732" spans="2:19" outlineLevel="1">
      <c r="B2732" s="13" t="s">
        <v>180</v>
      </c>
      <c r="C2732" s="7" t="str">
        <f t="shared" si="773"/>
        <v>VASSOURA MEC EMAQ SERIE 24072</v>
      </c>
      <c r="D2732" s="8">
        <f t="shared" si="784"/>
        <v>46111</v>
      </c>
      <c r="E2732" s="15"/>
      <c r="F2732" s="15"/>
      <c r="G2732" s="15">
        <f t="shared" si="782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3"/>
        <v>0</v>
      </c>
    </row>
    <row r="2733" spans="2:19" outlineLevel="1">
      <c r="B2733" s="13" t="s">
        <v>180</v>
      </c>
      <c r="C2733" s="7" t="str">
        <f t="shared" si="773"/>
        <v>VASSOURA MEC EMAQ SERIE 24072</v>
      </c>
      <c r="D2733" s="8">
        <f t="shared" si="784"/>
        <v>46112</v>
      </c>
      <c r="E2733" s="15"/>
      <c r="F2733" s="15"/>
      <c r="G2733" s="15">
        <f t="shared" si="778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0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5">C$2735</f>
        <v>VASSOURA MEC EMAQ SERIE A 24076</v>
      </c>
      <c r="D2737" s="8">
        <f t="shared" ref="D2737:D2763" si="786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5"/>
        <v>VASSOURA MEC EMAQ SERIE A 24076</v>
      </c>
      <c r="D2738" s="8">
        <f t="shared" si="786"/>
        <v>46083</v>
      </c>
      <c r="E2738" s="15"/>
      <c r="F2738" s="15"/>
      <c r="G2738" s="15">
        <f t="shared" ref="G2738:G2767" si="787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8">SUM(R2738+Q2738+I2738)</f>
        <v>161.29032258064515</v>
      </c>
    </row>
    <row r="2739" spans="2:19" outlineLevel="1">
      <c r="B2739" s="13" t="s">
        <v>182</v>
      </c>
      <c r="C2739" s="7" t="str">
        <f t="shared" si="785"/>
        <v>VASSOURA MEC EMAQ SERIE A 24076</v>
      </c>
      <c r="D2739" s="8">
        <f t="shared" si="786"/>
        <v>46084</v>
      </c>
      <c r="E2739" s="15"/>
      <c r="F2739" s="15"/>
      <c r="G2739" s="15">
        <f t="shared" si="787"/>
        <v>0</v>
      </c>
      <c r="H2739" s="16"/>
      <c r="I2739" s="10">
        <f t="shared" ref="I2739:I2763" si="789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8"/>
        <v>161.29032258064515</v>
      </c>
    </row>
    <row r="2740" spans="2:19" outlineLevel="1">
      <c r="B2740" s="13" t="s">
        <v>182</v>
      </c>
      <c r="C2740" s="7" t="str">
        <f t="shared" si="785"/>
        <v>VASSOURA MEC EMAQ SERIE A 24076</v>
      </c>
      <c r="D2740" s="8">
        <f t="shared" si="786"/>
        <v>46085</v>
      </c>
      <c r="E2740" s="15"/>
      <c r="F2740" s="15"/>
      <c r="G2740" s="15">
        <f t="shared" si="787"/>
        <v>0</v>
      </c>
      <c r="H2740" s="16"/>
      <c r="I2740" s="10">
        <f t="shared" si="789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8"/>
        <v>161.29032258064515</v>
      </c>
    </row>
    <row r="2741" spans="2:19" outlineLevel="1">
      <c r="B2741" s="13" t="s">
        <v>182</v>
      </c>
      <c r="C2741" s="7" t="str">
        <f t="shared" si="785"/>
        <v>VASSOURA MEC EMAQ SERIE A 24076</v>
      </c>
      <c r="D2741" s="8">
        <f t="shared" si="786"/>
        <v>46086</v>
      </c>
      <c r="E2741" s="15"/>
      <c r="F2741" s="15"/>
      <c r="G2741" s="15">
        <f t="shared" si="787"/>
        <v>0</v>
      </c>
      <c r="H2741" s="16"/>
      <c r="I2741" s="10">
        <f t="shared" si="789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8"/>
        <v>161.29032258064515</v>
      </c>
    </row>
    <row r="2742" spans="2:19" outlineLevel="1">
      <c r="B2742" s="13" t="s">
        <v>182</v>
      </c>
      <c r="C2742" s="7" t="str">
        <f t="shared" si="785"/>
        <v>VASSOURA MEC EMAQ SERIE A 24076</v>
      </c>
      <c r="D2742" s="8">
        <f t="shared" si="786"/>
        <v>46087</v>
      </c>
      <c r="E2742" s="15"/>
      <c r="F2742" s="15"/>
      <c r="G2742" s="15">
        <f t="shared" si="787"/>
        <v>0</v>
      </c>
      <c r="H2742" s="16"/>
      <c r="I2742" s="10">
        <f t="shared" si="789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8"/>
        <v>161.29032258064515</v>
      </c>
    </row>
    <row r="2743" spans="2:19" outlineLevel="1">
      <c r="B2743" s="13" t="s">
        <v>182</v>
      </c>
      <c r="C2743" s="7" t="str">
        <f t="shared" si="785"/>
        <v>VASSOURA MEC EMAQ SERIE A 24076</v>
      </c>
      <c r="D2743" s="8">
        <f t="shared" si="786"/>
        <v>46088</v>
      </c>
      <c r="E2743" s="15"/>
      <c r="F2743" s="15"/>
      <c r="G2743" s="15">
        <f t="shared" si="787"/>
        <v>0</v>
      </c>
      <c r="H2743" s="16"/>
      <c r="I2743" s="10">
        <f t="shared" si="789"/>
        <v>161.29032258064515</v>
      </c>
      <c r="J2743" s="16"/>
      <c r="K2743" s="15"/>
      <c r="L2743" s="15"/>
      <c r="M2743" s="16"/>
      <c r="N2743" s="8"/>
      <c r="O2743" s="18">
        <f t="shared" ref="O2743:O2763" si="790">O2742</f>
        <v>0</v>
      </c>
      <c r="P2743" s="9"/>
      <c r="Q2743" s="9"/>
      <c r="R2743" s="9"/>
      <c r="S2743" s="10">
        <f t="shared" si="788"/>
        <v>161.29032258064515</v>
      </c>
    </row>
    <row r="2744" spans="2:19" outlineLevel="1">
      <c r="B2744" s="13" t="s">
        <v>182</v>
      </c>
      <c r="C2744" s="7" t="str">
        <f t="shared" si="785"/>
        <v>VASSOURA MEC EMAQ SERIE A 24076</v>
      </c>
      <c r="D2744" s="8">
        <f t="shared" si="786"/>
        <v>46089</v>
      </c>
      <c r="E2744" s="15"/>
      <c r="F2744" s="15"/>
      <c r="G2744" s="15">
        <f t="shared" si="787"/>
        <v>0</v>
      </c>
      <c r="H2744" s="16"/>
      <c r="I2744" s="10">
        <f t="shared" si="789"/>
        <v>161.29032258064515</v>
      </c>
      <c r="J2744" s="16"/>
      <c r="K2744" s="15"/>
      <c r="L2744" s="15"/>
      <c r="M2744" s="16"/>
      <c r="N2744" s="8"/>
      <c r="O2744" s="18">
        <f t="shared" si="790"/>
        <v>0</v>
      </c>
      <c r="P2744" s="9"/>
      <c r="Q2744" s="9"/>
      <c r="R2744" s="9"/>
      <c r="S2744" s="10">
        <f t="shared" si="788"/>
        <v>161.29032258064515</v>
      </c>
    </row>
    <row r="2745" spans="2:19" outlineLevel="1">
      <c r="B2745" s="13" t="s">
        <v>182</v>
      </c>
      <c r="C2745" s="7" t="str">
        <f t="shared" si="785"/>
        <v>VASSOURA MEC EMAQ SERIE A 24076</v>
      </c>
      <c r="D2745" s="8">
        <f t="shared" si="786"/>
        <v>46090</v>
      </c>
      <c r="E2745" s="15"/>
      <c r="F2745" s="15"/>
      <c r="G2745" s="15">
        <f t="shared" si="787"/>
        <v>0</v>
      </c>
      <c r="H2745" s="16"/>
      <c r="I2745" s="10">
        <f t="shared" si="789"/>
        <v>161.29032258064515</v>
      </c>
      <c r="J2745" s="16"/>
      <c r="K2745" s="15"/>
      <c r="L2745" s="15"/>
      <c r="M2745" s="16"/>
      <c r="N2745" s="8"/>
      <c r="O2745" s="18">
        <f t="shared" si="790"/>
        <v>0</v>
      </c>
      <c r="P2745" s="9"/>
      <c r="Q2745" s="9"/>
      <c r="R2745" s="9"/>
      <c r="S2745" s="10">
        <f t="shared" si="788"/>
        <v>161.29032258064515</v>
      </c>
    </row>
    <row r="2746" spans="2:19" outlineLevel="1">
      <c r="B2746" s="13" t="s">
        <v>182</v>
      </c>
      <c r="C2746" s="7" t="str">
        <f t="shared" si="785"/>
        <v>VASSOURA MEC EMAQ SERIE A 24076</v>
      </c>
      <c r="D2746" s="8">
        <f t="shared" si="786"/>
        <v>46091</v>
      </c>
      <c r="E2746" s="15"/>
      <c r="F2746" s="15"/>
      <c r="G2746" s="15">
        <f t="shared" si="787"/>
        <v>0</v>
      </c>
      <c r="H2746" s="16"/>
      <c r="I2746" s="10">
        <f t="shared" si="789"/>
        <v>161.29032258064515</v>
      </c>
      <c r="J2746" s="16"/>
      <c r="K2746" s="15"/>
      <c r="L2746" s="15"/>
      <c r="M2746" s="16"/>
      <c r="N2746" s="8"/>
      <c r="O2746" s="18">
        <f t="shared" si="790"/>
        <v>0</v>
      </c>
      <c r="P2746" s="9"/>
      <c r="Q2746" s="9"/>
      <c r="R2746" s="9"/>
      <c r="S2746" s="10">
        <f t="shared" si="788"/>
        <v>161.29032258064515</v>
      </c>
    </row>
    <row r="2747" spans="2:19" outlineLevel="1">
      <c r="B2747" s="13" t="s">
        <v>182</v>
      </c>
      <c r="C2747" s="7" t="str">
        <f t="shared" si="785"/>
        <v>VASSOURA MEC EMAQ SERIE A 24076</v>
      </c>
      <c r="D2747" s="8">
        <f t="shared" si="786"/>
        <v>46092</v>
      </c>
      <c r="E2747" s="15"/>
      <c r="F2747" s="15"/>
      <c r="G2747" s="15">
        <f t="shared" si="787"/>
        <v>0</v>
      </c>
      <c r="H2747" s="16"/>
      <c r="I2747" s="10">
        <f t="shared" si="789"/>
        <v>161.29032258064515</v>
      </c>
      <c r="J2747" s="16"/>
      <c r="K2747" s="15"/>
      <c r="L2747" s="15"/>
      <c r="M2747" s="16"/>
      <c r="N2747" s="8"/>
      <c r="O2747" s="18">
        <f t="shared" si="790"/>
        <v>0</v>
      </c>
      <c r="P2747" s="9"/>
      <c r="Q2747" s="9"/>
      <c r="R2747" s="9"/>
      <c r="S2747" s="10">
        <f t="shared" si="788"/>
        <v>161.29032258064515</v>
      </c>
    </row>
    <row r="2748" spans="2:19" outlineLevel="1">
      <c r="B2748" s="13" t="s">
        <v>182</v>
      </c>
      <c r="C2748" s="7" t="str">
        <f t="shared" si="785"/>
        <v>VASSOURA MEC EMAQ SERIE A 24076</v>
      </c>
      <c r="D2748" s="8">
        <f t="shared" si="786"/>
        <v>46093</v>
      </c>
      <c r="E2748" s="15"/>
      <c r="F2748" s="15"/>
      <c r="G2748" s="15">
        <f t="shared" si="787"/>
        <v>0</v>
      </c>
      <c r="H2748" s="16"/>
      <c r="I2748" s="10">
        <f t="shared" si="789"/>
        <v>161.29032258064515</v>
      </c>
      <c r="J2748" s="16"/>
      <c r="K2748" s="15"/>
      <c r="L2748" s="15"/>
      <c r="M2748" s="16"/>
      <c r="N2748" s="8"/>
      <c r="O2748" s="18">
        <f t="shared" si="790"/>
        <v>0</v>
      </c>
      <c r="P2748" s="9"/>
      <c r="Q2748" s="9"/>
      <c r="R2748" s="9"/>
      <c r="S2748" s="10">
        <f t="shared" si="788"/>
        <v>161.29032258064515</v>
      </c>
    </row>
    <row r="2749" spans="2:19" outlineLevel="1">
      <c r="B2749" s="13" t="s">
        <v>182</v>
      </c>
      <c r="C2749" s="7" t="str">
        <f t="shared" si="785"/>
        <v>VASSOURA MEC EMAQ SERIE A 24076</v>
      </c>
      <c r="D2749" s="8">
        <f t="shared" si="786"/>
        <v>46094</v>
      </c>
      <c r="E2749" s="15"/>
      <c r="F2749" s="15"/>
      <c r="G2749" s="15">
        <f t="shared" si="787"/>
        <v>0</v>
      </c>
      <c r="H2749" s="16"/>
      <c r="I2749" s="10">
        <f t="shared" si="789"/>
        <v>161.29032258064515</v>
      </c>
      <c r="J2749" s="16"/>
      <c r="K2749" s="15"/>
      <c r="L2749" s="15"/>
      <c r="M2749" s="16"/>
      <c r="N2749" s="8"/>
      <c r="O2749" s="18">
        <f t="shared" si="790"/>
        <v>0</v>
      </c>
      <c r="P2749" s="9"/>
      <c r="Q2749" s="9"/>
      <c r="R2749" s="9"/>
      <c r="S2749" s="10">
        <f t="shared" si="788"/>
        <v>161.29032258064515</v>
      </c>
    </row>
    <row r="2750" spans="2:19" outlineLevel="1">
      <c r="B2750" s="13" t="s">
        <v>182</v>
      </c>
      <c r="C2750" s="7" t="str">
        <f t="shared" si="785"/>
        <v>VASSOURA MEC EMAQ SERIE A 24076</v>
      </c>
      <c r="D2750" s="8">
        <f t="shared" si="786"/>
        <v>46095</v>
      </c>
      <c r="E2750" s="15"/>
      <c r="F2750" s="15"/>
      <c r="G2750" s="15">
        <f t="shared" si="787"/>
        <v>0</v>
      </c>
      <c r="H2750" s="16"/>
      <c r="I2750" s="10">
        <f t="shared" si="789"/>
        <v>161.29032258064515</v>
      </c>
      <c r="J2750" s="16"/>
      <c r="K2750" s="15"/>
      <c r="L2750" s="15"/>
      <c r="M2750" s="16"/>
      <c r="N2750" s="8"/>
      <c r="O2750" s="18">
        <f t="shared" si="790"/>
        <v>0</v>
      </c>
      <c r="P2750" s="9"/>
      <c r="Q2750" s="9"/>
      <c r="R2750" s="9"/>
      <c r="S2750" s="10">
        <f t="shared" si="788"/>
        <v>161.29032258064515</v>
      </c>
    </row>
    <row r="2751" spans="2:19" outlineLevel="1">
      <c r="B2751" s="13" t="s">
        <v>182</v>
      </c>
      <c r="C2751" s="7" t="str">
        <f t="shared" si="785"/>
        <v>VASSOURA MEC EMAQ SERIE A 24076</v>
      </c>
      <c r="D2751" s="8">
        <f t="shared" si="786"/>
        <v>46096</v>
      </c>
      <c r="E2751" s="15"/>
      <c r="F2751" s="15"/>
      <c r="G2751" s="15">
        <f t="shared" si="787"/>
        <v>0</v>
      </c>
      <c r="H2751" s="16"/>
      <c r="I2751" s="10">
        <f t="shared" si="789"/>
        <v>161.29032258064515</v>
      </c>
      <c r="J2751" s="16"/>
      <c r="K2751" s="15"/>
      <c r="L2751" s="15"/>
      <c r="M2751" s="16"/>
      <c r="N2751" s="8"/>
      <c r="O2751" s="18">
        <f t="shared" si="790"/>
        <v>0</v>
      </c>
      <c r="P2751" s="9"/>
      <c r="Q2751" s="9"/>
      <c r="R2751" s="9"/>
      <c r="S2751" s="10">
        <f t="shared" si="788"/>
        <v>161.29032258064515</v>
      </c>
    </row>
    <row r="2752" spans="2:19" outlineLevel="1">
      <c r="B2752" s="13" t="s">
        <v>182</v>
      </c>
      <c r="C2752" s="7" t="str">
        <f t="shared" si="785"/>
        <v>VASSOURA MEC EMAQ SERIE A 24076</v>
      </c>
      <c r="D2752" s="8">
        <f t="shared" si="786"/>
        <v>46097</v>
      </c>
      <c r="E2752" s="15"/>
      <c r="F2752" s="15"/>
      <c r="G2752" s="15">
        <f t="shared" si="787"/>
        <v>0</v>
      </c>
      <c r="H2752" s="16"/>
      <c r="I2752" s="10">
        <f t="shared" si="789"/>
        <v>161.29032258064515</v>
      </c>
      <c r="J2752" s="16"/>
      <c r="K2752" s="15"/>
      <c r="L2752" s="15"/>
      <c r="M2752" s="16"/>
      <c r="N2752" s="8"/>
      <c r="O2752" s="18">
        <f t="shared" si="790"/>
        <v>0</v>
      </c>
      <c r="P2752" s="9"/>
      <c r="Q2752" s="9"/>
      <c r="R2752" s="9"/>
      <c r="S2752" s="10">
        <f t="shared" si="788"/>
        <v>161.29032258064515</v>
      </c>
    </row>
    <row r="2753" spans="2:19" outlineLevel="1">
      <c r="B2753" s="13" t="s">
        <v>182</v>
      </c>
      <c r="C2753" s="7" t="str">
        <f t="shared" si="785"/>
        <v>VASSOURA MEC EMAQ SERIE A 24076</v>
      </c>
      <c r="D2753" s="8">
        <f t="shared" si="786"/>
        <v>46098</v>
      </c>
      <c r="E2753" s="15"/>
      <c r="F2753" s="15"/>
      <c r="G2753" s="15">
        <f t="shared" si="787"/>
        <v>0</v>
      </c>
      <c r="H2753" s="16"/>
      <c r="I2753" s="10">
        <f t="shared" si="789"/>
        <v>161.29032258064515</v>
      </c>
      <c r="J2753" s="16"/>
      <c r="K2753" s="15"/>
      <c r="L2753" s="15"/>
      <c r="M2753" s="16"/>
      <c r="N2753" s="8"/>
      <c r="O2753" s="18">
        <f t="shared" si="790"/>
        <v>0</v>
      </c>
      <c r="P2753" s="9"/>
      <c r="Q2753" s="9"/>
      <c r="R2753" s="9"/>
      <c r="S2753" s="10">
        <f t="shared" si="788"/>
        <v>161.29032258064515</v>
      </c>
    </row>
    <row r="2754" spans="2:19" outlineLevel="1">
      <c r="B2754" s="13" t="s">
        <v>182</v>
      </c>
      <c r="C2754" s="7" t="str">
        <f t="shared" si="785"/>
        <v>VASSOURA MEC EMAQ SERIE A 24076</v>
      </c>
      <c r="D2754" s="8">
        <f t="shared" si="786"/>
        <v>46099</v>
      </c>
      <c r="E2754" s="15"/>
      <c r="F2754" s="15"/>
      <c r="G2754" s="15">
        <f t="shared" si="787"/>
        <v>0</v>
      </c>
      <c r="H2754" s="16"/>
      <c r="I2754" s="10">
        <f t="shared" si="789"/>
        <v>161.29032258064515</v>
      </c>
      <c r="J2754" s="16"/>
      <c r="K2754" s="15"/>
      <c r="L2754" s="15"/>
      <c r="M2754" s="16"/>
      <c r="N2754" s="8"/>
      <c r="O2754" s="18">
        <f t="shared" si="790"/>
        <v>0</v>
      </c>
      <c r="P2754" s="9"/>
      <c r="Q2754" s="9"/>
      <c r="R2754" s="9"/>
      <c r="S2754" s="10">
        <f t="shared" si="788"/>
        <v>161.29032258064515</v>
      </c>
    </row>
    <row r="2755" spans="2:19" outlineLevel="1">
      <c r="B2755" s="13" t="s">
        <v>182</v>
      </c>
      <c r="C2755" s="7" t="str">
        <f t="shared" si="785"/>
        <v>VASSOURA MEC EMAQ SERIE A 24076</v>
      </c>
      <c r="D2755" s="8">
        <f t="shared" si="786"/>
        <v>46100</v>
      </c>
      <c r="E2755" s="15"/>
      <c r="F2755" s="15"/>
      <c r="G2755" s="15">
        <f t="shared" si="787"/>
        <v>0</v>
      </c>
      <c r="H2755" s="16"/>
      <c r="I2755" s="10">
        <f t="shared" si="789"/>
        <v>161.29032258064515</v>
      </c>
      <c r="J2755" s="16"/>
      <c r="K2755" s="15"/>
      <c r="L2755" s="15"/>
      <c r="M2755" s="16"/>
      <c r="N2755" s="8"/>
      <c r="O2755" s="18">
        <f t="shared" si="790"/>
        <v>0</v>
      </c>
      <c r="P2755" s="9"/>
      <c r="Q2755" s="9"/>
      <c r="R2755" s="9"/>
      <c r="S2755" s="10">
        <f t="shared" si="788"/>
        <v>161.29032258064515</v>
      </c>
    </row>
    <row r="2756" spans="2:19" outlineLevel="1">
      <c r="B2756" s="13" t="s">
        <v>182</v>
      </c>
      <c r="C2756" s="7" t="str">
        <f t="shared" si="785"/>
        <v>VASSOURA MEC EMAQ SERIE A 24076</v>
      </c>
      <c r="D2756" s="8">
        <f t="shared" si="786"/>
        <v>46101</v>
      </c>
      <c r="E2756" s="15"/>
      <c r="F2756" s="15"/>
      <c r="G2756" s="15">
        <f t="shared" si="787"/>
        <v>0</v>
      </c>
      <c r="H2756" s="16"/>
      <c r="I2756" s="10">
        <f t="shared" si="789"/>
        <v>161.29032258064515</v>
      </c>
      <c r="J2756" s="16"/>
      <c r="K2756" s="15"/>
      <c r="L2756" s="15"/>
      <c r="M2756" s="16"/>
      <c r="N2756" s="8"/>
      <c r="O2756" s="18">
        <f t="shared" si="790"/>
        <v>0</v>
      </c>
      <c r="P2756" s="9"/>
      <c r="Q2756" s="9"/>
      <c r="R2756" s="9"/>
      <c r="S2756" s="10">
        <f t="shared" si="788"/>
        <v>161.29032258064515</v>
      </c>
    </row>
    <row r="2757" spans="2:19" outlineLevel="1">
      <c r="B2757" s="13" t="s">
        <v>182</v>
      </c>
      <c r="C2757" s="7" t="str">
        <f t="shared" si="785"/>
        <v>VASSOURA MEC EMAQ SERIE A 24076</v>
      </c>
      <c r="D2757" s="8">
        <f t="shared" si="786"/>
        <v>46102</v>
      </c>
      <c r="E2757" s="15"/>
      <c r="F2757" s="15"/>
      <c r="G2757" s="15">
        <f t="shared" si="787"/>
        <v>0</v>
      </c>
      <c r="H2757" s="16"/>
      <c r="I2757" s="10">
        <f t="shared" si="789"/>
        <v>161.29032258064515</v>
      </c>
      <c r="J2757" s="16"/>
      <c r="K2757" s="15"/>
      <c r="L2757" s="15"/>
      <c r="M2757" s="16"/>
      <c r="N2757" s="8"/>
      <c r="O2757" s="18">
        <f t="shared" si="790"/>
        <v>0</v>
      </c>
      <c r="P2757" s="9"/>
      <c r="Q2757" s="9"/>
      <c r="R2757" s="9"/>
      <c r="S2757" s="10">
        <f t="shared" si="788"/>
        <v>161.29032258064515</v>
      </c>
    </row>
    <row r="2758" spans="2:19" outlineLevel="1">
      <c r="B2758" s="13" t="s">
        <v>182</v>
      </c>
      <c r="C2758" s="7" t="str">
        <f t="shared" si="785"/>
        <v>VASSOURA MEC EMAQ SERIE A 24076</v>
      </c>
      <c r="D2758" s="8">
        <f t="shared" si="786"/>
        <v>46103</v>
      </c>
      <c r="E2758" s="15"/>
      <c r="F2758" s="15"/>
      <c r="G2758" s="15">
        <f t="shared" si="787"/>
        <v>0</v>
      </c>
      <c r="H2758" s="16"/>
      <c r="I2758" s="10">
        <f t="shared" si="789"/>
        <v>161.29032258064515</v>
      </c>
      <c r="J2758" s="16"/>
      <c r="K2758" s="15"/>
      <c r="L2758" s="15"/>
      <c r="M2758" s="16"/>
      <c r="N2758" s="8"/>
      <c r="O2758" s="18">
        <f t="shared" si="790"/>
        <v>0</v>
      </c>
      <c r="P2758" s="9"/>
      <c r="Q2758" s="9"/>
      <c r="R2758" s="9"/>
      <c r="S2758" s="10">
        <f t="shared" si="788"/>
        <v>161.29032258064515</v>
      </c>
    </row>
    <row r="2759" spans="2:19" outlineLevel="1">
      <c r="B2759" s="13" t="s">
        <v>182</v>
      </c>
      <c r="C2759" s="7" t="str">
        <f t="shared" si="785"/>
        <v>VASSOURA MEC EMAQ SERIE A 24076</v>
      </c>
      <c r="D2759" s="8">
        <f t="shared" si="786"/>
        <v>46104</v>
      </c>
      <c r="E2759" s="15"/>
      <c r="F2759" s="15"/>
      <c r="G2759" s="15">
        <f t="shared" si="787"/>
        <v>0</v>
      </c>
      <c r="H2759" s="16"/>
      <c r="I2759" s="10">
        <f t="shared" si="789"/>
        <v>161.29032258064515</v>
      </c>
      <c r="J2759" s="16"/>
      <c r="K2759" s="15"/>
      <c r="L2759" s="15"/>
      <c r="M2759" s="16"/>
      <c r="N2759" s="8"/>
      <c r="O2759" s="18">
        <f t="shared" si="790"/>
        <v>0</v>
      </c>
      <c r="P2759" s="9"/>
      <c r="Q2759" s="9"/>
      <c r="R2759" s="9"/>
      <c r="S2759" s="10">
        <f t="shared" si="788"/>
        <v>161.29032258064515</v>
      </c>
    </row>
    <row r="2760" spans="2:19" outlineLevel="1">
      <c r="B2760" s="13" t="s">
        <v>182</v>
      </c>
      <c r="C2760" s="7" t="str">
        <f t="shared" si="785"/>
        <v>VASSOURA MEC EMAQ SERIE A 24076</v>
      </c>
      <c r="D2760" s="8">
        <f t="shared" si="786"/>
        <v>46105</v>
      </c>
      <c r="E2760" s="15"/>
      <c r="F2760" s="15"/>
      <c r="G2760" s="15">
        <f t="shared" si="787"/>
        <v>0</v>
      </c>
      <c r="H2760" s="16"/>
      <c r="I2760" s="10">
        <f t="shared" si="789"/>
        <v>161.29032258064515</v>
      </c>
      <c r="J2760" s="16"/>
      <c r="K2760" s="15"/>
      <c r="L2760" s="15"/>
      <c r="M2760" s="16"/>
      <c r="N2760" s="8"/>
      <c r="O2760" s="18">
        <f t="shared" si="790"/>
        <v>0</v>
      </c>
      <c r="P2760" s="9"/>
      <c r="Q2760" s="9"/>
      <c r="R2760" s="9"/>
      <c r="S2760" s="10">
        <f t="shared" si="788"/>
        <v>161.29032258064515</v>
      </c>
    </row>
    <row r="2761" spans="2:19" outlineLevel="1">
      <c r="B2761" s="13" t="s">
        <v>182</v>
      </c>
      <c r="C2761" s="7" t="str">
        <f t="shared" si="785"/>
        <v>VASSOURA MEC EMAQ SERIE A 24076</v>
      </c>
      <c r="D2761" s="8">
        <f t="shared" si="786"/>
        <v>46106</v>
      </c>
      <c r="E2761" s="15"/>
      <c r="F2761" s="15"/>
      <c r="G2761" s="15">
        <f t="shared" si="787"/>
        <v>0</v>
      </c>
      <c r="H2761" s="16"/>
      <c r="I2761" s="10">
        <f t="shared" si="789"/>
        <v>161.29032258064515</v>
      </c>
      <c r="J2761" s="16"/>
      <c r="K2761" s="15"/>
      <c r="L2761" s="15"/>
      <c r="M2761" s="16"/>
      <c r="N2761" s="8"/>
      <c r="O2761" s="18">
        <f t="shared" si="790"/>
        <v>0</v>
      </c>
      <c r="P2761" s="9"/>
      <c r="Q2761" s="9"/>
      <c r="R2761" s="9"/>
      <c r="S2761" s="10">
        <f t="shared" si="788"/>
        <v>161.29032258064515</v>
      </c>
    </row>
    <row r="2762" spans="2:19" outlineLevel="1">
      <c r="B2762" s="13" t="s">
        <v>182</v>
      </c>
      <c r="C2762" s="7" t="str">
        <f t="shared" si="785"/>
        <v>VASSOURA MEC EMAQ SERIE A 24076</v>
      </c>
      <c r="D2762" s="8">
        <f t="shared" si="786"/>
        <v>46107</v>
      </c>
      <c r="E2762" s="15"/>
      <c r="F2762" s="15"/>
      <c r="G2762" s="15">
        <f t="shared" si="787"/>
        <v>0</v>
      </c>
      <c r="H2762" s="16"/>
      <c r="I2762" s="10">
        <f t="shared" si="789"/>
        <v>161.29032258064515</v>
      </c>
      <c r="J2762" s="16"/>
      <c r="K2762" s="15"/>
      <c r="L2762" s="15"/>
      <c r="M2762" s="16"/>
      <c r="N2762" s="8"/>
      <c r="O2762" s="18">
        <f t="shared" si="790"/>
        <v>0</v>
      </c>
      <c r="P2762" s="9"/>
      <c r="Q2762" s="9"/>
      <c r="R2762" s="9"/>
      <c r="S2762" s="10">
        <f t="shared" si="788"/>
        <v>161.29032258064515</v>
      </c>
    </row>
    <row r="2763" spans="2:19" outlineLevel="1">
      <c r="B2763" s="13" t="s">
        <v>182</v>
      </c>
      <c r="C2763" s="7" t="str">
        <f t="shared" si="785"/>
        <v>VASSOURA MEC EMAQ SERIE A 24076</v>
      </c>
      <c r="D2763" s="8">
        <f t="shared" si="786"/>
        <v>46108</v>
      </c>
      <c r="E2763" s="15"/>
      <c r="F2763" s="15"/>
      <c r="G2763" s="15">
        <f t="shared" si="787"/>
        <v>0</v>
      </c>
      <c r="H2763" s="16"/>
      <c r="I2763" s="10">
        <f t="shared" si="789"/>
        <v>161.29032258064515</v>
      </c>
      <c r="J2763" s="16"/>
      <c r="K2763" s="15"/>
      <c r="L2763" s="15"/>
      <c r="M2763" s="16"/>
      <c r="N2763" s="8"/>
      <c r="O2763" s="18">
        <f t="shared" si="790"/>
        <v>0</v>
      </c>
      <c r="P2763" s="9"/>
      <c r="Q2763" s="9"/>
      <c r="R2763" s="9"/>
      <c r="S2763" s="10">
        <f t="shared" si="788"/>
        <v>161.29032258064515</v>
      </c>
    </row>
    <row r="2764" spans="2:19" outlineLevel="1">
      <c r="B2764" s="13" t="s">
        <v>182</v>
      </c>
      <c r="C2764" s="7" t="str">
        <f t="shared" si="785"/>
        <v>VASSOURA MEC EMAQ SERIE A 24076</v>
      </c>
      <c r="D2764" s="8">
        <f t="shared" ref="D2764" si="791">D2696</f>
        <v>46109</v>
      </c>
      <c r="E2764" s="15"/>
      <c r="F2764" s="15"/>
      <c r="G2764" s="15">
        <f t="shared" ref="G2764:G2766" si="792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3">SUM(R2764+Q2764+I2764)</f>
        <v>161.29032258064515</v>
      </c>
    </row>
    <row r="2765" spans="2:19" outlineLevel="1">
      <c r="B2765" s="13" t="s">
        <v>182</v>
      </c>
      <c r="C2765" s="7" t="str">
        <f t="shared" si="785"/>
        <v>VASSOURA MEC EMAQ SERIE A 24076</v>
      </c>
      <c r="D2765" s="8">
        <f t="shared" ref="D2765:D2767" si="794">D2697</f>
        <v>46110</v>
      </c>
      <c r="E2765" s="15"/>
      <c r="F2765" s="15"/>
      <c r="G2765" s="15">
        <f t="shared" si="792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3"/>
        <v>161.29032258064515</v>
      </c>
    </row>
    <row r="2766" spans="2:19" outlineLevel="1">
      <c r="B2766" s="13" t="s">
        <v>182</v>
      </c>
      <c r="C2766" s="7" t="str">
        <f t="shared" si="785"/>
        <v>VASSOURA MEC EMAQ SERIE A 24076</v>
      </c>
      <c r="D2766" s="8">
        <f t="shared" si="794"/>
        <v>46111</v>
      </c>
      <c r="E2766" s="15"/>
      <c r="F2766" s="15"/>
      <c r="G2766" s="15">
        <f t="shared" si="792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3"/>
        <v>161.29032258064515</v>
      </c>
    </row>
    <row r="2767" spans="2:19" outlineLevel="1">
      <c r="B2767" s="13" t="s">
        <v>182</v>
      </c>
      <c r="C2767" s="7" t="str">
        <f t="shared" si="785"/>
        <v>VASSOURA MEC EMAQ SERIE A 24076</v>
      </c>
      <c r="D2767" s="8">
        <f t="shared" si="794"/>
        <v>46112</v>
      </c>
      <c r="E2767" s="15"/>
      <c r="F2767" s="15"/>
      <c r="G2767" s="15">
        <f t="shared" si="787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8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5">C$2769</f>
        <v>SPREDY EMAQ SERIE 24122</v>
      </c>
      <c r="D2771" s="8">
        <f t="shared" ref="D2771:D2797" si="796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5"/>
        <v>SPREDY EMAQ SERIE 24122</v>
      </c>
      <c r="D2772" s="8">
        <f t="shared" si="796"/>
        <v>46083</v>
      </c>
      <c r="E2772" s="15"/>
      <c r="F2772" s="15"/>
      <c r="G2772" s="15">
        <f t="shared" ref="G2772:G2801" si="797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8">SUM(R2772+Q2772+I2772)</f>
        <v>0</v>
      </c>
    </row>
    <row r="2773" spans="2:19" outlineLevel="1">
      <c r="B2773" s="13" t="s">
        <v>184</v>
      </c>
      <c r="C2773" s="7" t="str">
        <f t="shared" si="795"/>
        <v>SPREDY EMAQ SERIE 24122</v>
      </c>
      <c r="D2773" s="8">
        <f t="shared" si="796"/>
        <v>46084</v>
      </c>
      <c r="E2773" s="15"/>
      <c r="F2773" s="15"/>
      <c r="G2773" s="15">
        <f t="shared" si="797"/>
        <v>0</v>
      </c>
      <c r="H2773" s="16"/>
      <c r="I2773" s="10">
        <f t="shared" ref="I2773:I2797" si="799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8"/>
        <v>0</v>
      </c>
    </row>
    <row r="2774" spans="2:19" outlineLevel="1">
      <c r="B2774" s="13" t="s">
        <v>184</v>
      </c>
      <c r="C2774" s="7" t="str">
        <f t="shared" si="795"/>
        <v>SPREDY EMAQ SERIE 24122</v>
      </c>
      <c r="D2774" s="8">
        <f t="shared" si="796"/>
        <v>46085</v>
      </c>
      <c r="E2774" s="15"/>
      <c r="F2774" s="15"/>
      <c r="G2774" s="15">
        <f t="shared" si="797"/>
        <v>0</v>
      </c>
      <c r="H2774" s="16"/>
      <c r="I2774" s="10">
        <f t="shared" si="799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8"/>
        <v>0</v>
      </c>
    </row>
    <row r="2775" spans="2:19" outlineLevel="1">
      <c r="B2775" s="13" t="s">
        <v>184</v>
      </c>
      <c r="C2775" s="7" t="str">
        <f t="shared" si="795"/>
        <v>SPREDY EMAQ SERIE 24122</v>
      </c>
      <c r="D2775" s="8">
        <f t="shared" si="796"/>
        <v>46086</v>
      </c>
      <c r="E2775" s="15"/>
      <c r="F2775" s="15"/>
      <c r="G2775" s="15">
        <f t="shared" si="797"/>
        <v>0</v>
      </c>
      <c r="H2775" s="16"/>
      <c r="I2775" s="10">
        <f t="shared" si="799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8"/>
        <v>0</v>
      </c>
    </row>
    <row r="2776" spans="2:19" outlineLevel="1">
      <c r="B2776" s="13" t="s">
        <v>184</v>
      </c>
      <c r="C2776" s="7" t="str">
        <f t="shared" si="795"/>
        <v>SPREDY EMAQ SERIE 24122</v>
      </c>
      <c r="D2776" s="8">
        <f t="shared" si="796"/>
        <v>46087</v>
      </c>
      <c r="E2776" s="15"/>
      <c r="F2776" s="15"/>
      <c r="G2776" s="15">
        <f t="shared" si="797"/>
        <v>0</v>
      </c>
      <c r="H2776" s="16"/>
      <c r="I2776" s="10">
        <f t="shared" si="799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8"/>
        <v>0</v>
      </c>
    </row>
    <row r="2777" spans="2:19" outlineLevel="1">
      <c r="B2777" s="13" t="s">
        <v>184</v>
      </c>
      <c r="C2777" s="7" t="str">
        <f t="shared" si="795"/>
        <v>SPREDY EMAQ SERIE 24122</v>
      </c>
      <c r="D2777" s="8">
        <f t="shared" si="796"/>
        <v>46088</v>
      </c>
      <c r="E2777" s="15"/>
      <c r="F2777" s="15"/>
      <c r="G2777" s="15">
        <f t="shared" si="797"/>
        <v>0</v>
      </c>
      <c r="H2777" s="16"/>
      <c r="I2777" s="10">
        <f t="shared" si="799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8"/>
        <v>0</v>
      </c>
    </row>
    <row r="2778" spans="2:19" outlineLevel="1">
      <c r="B2778" s="13" t="s">
        <v>184</v>
      </c>
      <c r="C2778" s="7" t="str">
        <f t="shared" si="795"/>
        <v>SPREDY EMAQ SERIE 24122</v>
      </c>
      <c r="D2778" s="8">
        <f t="shared" si="796"/>
        <v>46089</v>
      </c>
      <c r="E2778" s="15"/>
      <c r="F2778" s="15"/>
      <c r="G2778" s="15">
        <f t="shared" si="797"/>
        <v>0</v>
      </c>
      <c r="H2778" s="16"/>
      <c r="I2778" s="10">
        <f t="shared" si="799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8"/>
        <v>0</v>
      </c>
    </row>
    <row r="2779" spans="2:19" outlineLevel="1">
      <c r="B2779" s="13" t="s">
        <v>184</v>
      </c>
      <c r="C2779" s="7" t="str">
        <f t="shared" si="795"/>
        <v>SPREDY EMAQ SERIE 24122</v>
      </c>
      <c r="D2779" s="8">
        <f t="shared" si="796"/>
        <v>46090</v>
      </c>
      <c r="E2779" s="15"/>
      <c r="F2779" s="15"/>
      <c r="G2779" s="15">
        <f t="shared" si="797"/>
        <v>0</v>
      </c>
      <c r="H2779" s="16"/>
      <c r="I2779" s="10">
        <f t="shared" si="799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8"/>
        <v>0</v>
      </c>
    </row>
    <row r="2780" spans="2:19" outlineLevel="1">
      <c r="B2780" s="13" t="s">
        <v>184</v>
      </c>
      <c r="C2780" s="7" t="str">
        <f t="shared" si="795"/>
        <v>SPREDY EMAQ SERIE 24122</v>
      </c>
      <c r="D2780" s="8">
        <f t="shared" si="796"/>
        <v>46091</v>
      </c>
      <c r="E2780" s="15"/>
      <c r="F2780" s="15"/>
      <c r="G2780" s="15">
        <f t="shared" si="797"/>
        <v>0</v>
      </c>
      <c r="H2780" s="16"/>
      <c r="I2780" s="10">
        <f t="shared" si="799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8"/>
        <v>0</v>
      </c>
    </row>
    <row r="2781" spans="2:19" outlineLevel="1">
      <c r="B2781" s="13" t="s">
        <v>184</v>
      </c>
      <c r="C2781" s="7" t="str">
        <f t="shared" si="795"/>
        <v>SPREDY EMAQ SERIE 24122</v>
      </c>
      <c r="D2781" s="8">
        <f t="shared" si="796"/>
        <v>46092</v>
      </c>
      <c r="E2781" s="15"/>
      <c r="F2781" s="15"/>
      <c r="G2781" s="15">
        <f t="shared" si="797"/>
        <v>0</v>
      </c>
      <c r="H2781" s="16"/>
      <c r="I2781" s="10">
        <f t="shared" si="799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8"/>
        <v>0</v>
      </c>
    </row>
    <row r="2782" spans="2:19" outlineLevel="1">
      <c r="B2782" s="13" t="s">
        <v>184</v>
      </c>
      <c r="C2782" s="7" t="str">
        <f t="shared" si="795"/>
        <v>SPREDY EMAQ SERIE 24122</v>
      </c>
      <c r="D2782" s="8">
        <f t="shared" si="796"/>
        <v>46093</v>
      </c>
      <c r="E2782" s="15"/>
      <c r="F2782" s="15"/>
      <c r="G2782" s="15">
        <f t="shared" si="797"/>
        <v>0</v>
      </c>
      <c r="H2782" s="16"/>
      <c r="I2782" s="10">
        <f t="shared" si="799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8"/>
        <v>0</v>
      </c>
    </row>
    <row r="2783" spans="2:19" outlineLevel="1">
      <c r="B2783" s="13" t="s">
        <v>184</v>
      </c>
      <c r="C2783" s="7" t="str">
        <f t="shared" si="795"/>
        <v>SPREDY EMAQ SERIE 24122</v>
      </c>
      <c r="D2783" s="8">
        <f t="shared" si="796"/>
        <v>46094</v>
      </c>
      <c r="E2783" s="15"/>
      <c r="F2783" s="15"/>
      <c r="G2783" s="15">
        <f t="shared" si="797"/>
        <v>0</v>
      </c>
      <c r="H2783" s="16"/>
      <c r="I2783" s="10">
        <f t="shared" si="799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8"/>
        <v>0</v>
      </c>
    </row>
    <row r="2784" spans="2:19" outlineLevel="1">
      <c r="B2784" s="13" t="s">
        <v>184</v>
      </c>
      <c r="C2784" s="7" t="str">
        <f t="shared" si="795"/>
        <v>SPREDY EMAQ SERIE 24122</v>
      </c>
      <c r="D2784" s="8">
        <f t="shared" si="796"/>
        <v>46095</v>
      </c>
      <c r="E2784" s="15"/>
      <c r="F2784" s="15"/>
      <c r="G2784" s="15">
        <f t="shared" si="797"/>
        <v>0</v>
      </c>
      <c r="H2784" s="16"/>
      <c r="I2784" s="10">
        <f t="shared" si="799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8"/>
        <v>0</v>
      </c>
    </row>
    <row r="2785" spans="2:19" outlineLevel="1">
      <c r="B2785" s="13" t="s">
        <v>184</v>
      </c>
      <c r="C2785" s="7" t="str">
        <f t="shared" si="795"/>
        <v>SPREDY EMAQ SERIE 24122</v>
      </c>
      <c r="D2785" s="8">
        <f t="shared" si="796"/>
        <v>46096</v>
      </c>
      <c r="E2785" s="15"/>
      <c r="F2785" s="15"/>
      <c r="G2785" s="15">
        <f t="shared" si="797"/>
        <v>0</v>
      </c>
      <c r="H2785" s="16"/>
      <c r="I2785" s="10">
        <f t="shared" si="799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8"/>
        <v>0</v>
      </c>
    </row>
    <row r="2786" spans="2:19" outlineLevel="1">
      <c r="B2786" s="13" t="s">
        <v>184</v>
      </c>
      <c r="C2786" s="7" t="str">
        <f t="shared" si="795"/>
        <v>SPREDY EMAQ SERIE 24122</v>
      </c>
      <c r="D2786" s="8">
        <f t="shared" si="796"/>
        <v>46097</v>
      </c>
      <c r="E2786" s="15"/>
      <c r="F2786" s="15"/>
      <c r="G2786" s="15">
        <f t="shared" si="797"/>
        <v>0</v>
      </c>
      <c r="H2786" s="16"/>
      <c r="I2786" s="10">
        <f t="shared" si="799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8"/>
        <v>0</v>
      </c>
    </row>
    <row r="2787" spans="2:19" outlineLevel="1">
      <c r="B2787" s="13" t="s">
        <v>184</v>
      </c>
      <c r="C2787" s="7" t="str">
        <f t="shared" si="795"/>
        <v>SPREDY EMAQ SERIE 24122</v>
      </c>
      <c r="D2787" s="8">
        <f t="shared" si="796"/>
        <v>46098</v>
      </c>
      <c r="E2787" s="15"/>
      <c r="F2787" s="15"/>
      <c r="G2787" s="15">
        <f t="shared" si="797"/>
        <v>0</v>
      </c>
      <c r="H2787" s="16"/>
      <c r="I2787" s="10">
        <f t="shared" si="799"/>
        <v>0</v>
      </c>
      <c r="J2787" s="16"/>
      <c r="K2787" s="15"/>
      <c r="L2787" s="15"/>
      <c r="M2787" s="16"/>
      <c r="N2787" s="8"/>
      <c r="O2787" s="18">
        <f t="shared" ref="O2787:O2797" si="800">O2786</f>
        <v>0</v>
      </c>
      <c r="P2787" s="9"/>
      <c r="Q2787" s="9"/>
      <c r="R2787" s="9"/>
      <c r="S2787" s="10">
        <f t="shared" si="798"/>
        <v>0</v>
      </c>
    </row>
    <row r="2788" spans="2:19" outlineLevel="1">
      <c r="B2788" s="13" t="s">
        <v>184</v>
      </c>
      <c r="C2788" s="7" t="str">
        <f t="shared" si="795"/>
        <v>SPREDY EMAQ SERIE 24122</v>
      </c>
      <c r="D2788" s="8">
        <f t="shared" si="796"/>
        <v>46099</v>
      </c>
      <c r="E2788" s="15"/>
      <c r="F2788" s="15"/>
      <c r="G2788" s="15">
        <f t="shared" si="797"/>
        <v>0</v>
      </c>
      <c r="H2788" s="16"/>
      <c r="I2788" s="10">
        <f t="shared" si="799"/>
        <v>0</v>
      </c>
      <c r="J2788" s="16"/>
      <c r="K2788" s="15"/>
      <c r="L2788" s="15"/>
      <c r="M2788" s="16"/>
      <c r="N2788" s="8"/>
      <c r="O2788" s="18">
        <f t="shared" si="800"/>
        <v>0</v>
      </c>
      <c r="P2788" s="9"/>
      <c r="Q2788" s="9"/>
      <c r="R2788" s="9"/>
      <c r="S2788" s="10">
        <f t="shared" si="798"/>
        <v>0</v>
      </c>
    </row>
    <row r="2789" spans="2:19" outlineLevel="1">
      <c r="B2789" s="13" t="s">
        <v>184</v>
      </c>
      <c r="C2789" s="7" t="str">
        <f t="shared" si="795"/>
        <v>SPREDY EMAQ SERIE 24122</v>
      </c>
      <c r="D2789" s="8">
        <f t="shared" si="796"/>
        <v>46100</v>
      </c>
      <c r="E2789" s="15"/>
      <c r="F2789" s="15"/>
      <c r="G2789" s="15">
        <f t="shared" si="797"/>
        <v>0</v>
      </c>
      <c r="H2789" s="16"/>
      <c r="I2789" s="10">
        <f t="shared" si="799"/>
        <v>0</v>
      </c>
      <c r="J2789" s="16"/>
      <c r="K2789" s="15"/>
      <c r="L2789" s="15"/>
      <c r="M2789" s="16"/>
      <c r="N2789" s="8"/>
      <c r="O2789" s="18">
        <f t="shared" si="800"/>
        <v>0</v>
      </c>
      <c r="P2789" s="9"/>
      <c r="Q2789" s="9"/>
      <c r="R2789" s="9"/>
      <c r="S2789" s="10">
        <f t="shared" si="798"/>
        <v>0</v>
      </c>
    </row>
    <row r="2790" spans="2:19" outlineLevel="1">
      <c r="B2790" s="13" t="s">
        <v>184</v>
      </c>
      <c r="C2790" s="7" t="str">
        <f t="shared" si="795"/>
        <v>SPREDY EMAQ SERIE 24122</v>
      </c>
      <c r="D2790" s="8">
        <f t="shared" si="796"/>
        <v>46101</v>
      </c>
      <c r="E2790" s="15"/>
      <c r="F2790" s="15"/>
      <c r="G2790" s="15">
        <f t="shared" si="797"/>
        <v>0</v>
      </c>
      <c r="H2790" s="16"/>
      <c r="I2790" s="10">
        <f t="shared" si="799"/>
        <v>0</v>
      </c>
      <c r="J2790" s="16"/>
      <c r="K2790" s="15"/>
      <c r="L2790" s="15"/>
      <c r="M2790" s="16"/>
      <c r="N2790" s="8"/>
      <c r="O2790" s="18">
        <f t="shared" si="800"/>
        <v>0</v>
      </c>
      <c r="P2790" s="9"/>
      <c r="Q2790" s="9"/>
      <c r="R2790" s="9"/>
      <c r="S2790" s="10">
        <f t="shared" si="798"/>
        <v>0</v>
      </c>
    </row>
    <row r="2791" spans="2:19" outlineLevel="1">
      <c r="B2791" s="13" t="s">
        <v>184</v>
      </c>
      <c r="C2791" s="7" t="str">
        <f t="shared" si="795"/>
        <v>SPREDY EMAQ SERIE 24122</v>
      </c>
      <c r="D2791" s="8">
        <f t="shared" si="796"/>
        <v>46102</v>
      </c>
      <c r="E2791" s="15"/>
      <c r="F2791" s="15"/>
      <c r="G2791" s="15">
        <f t="shared" si="797"/>
        <v>0</v>
      </c>
      <c r="H2791" s="16"/>
      <c r="I2791" s="10">
        <f t="shared" si="799"/>
        <v>0</v>
      </c>
      <c r="J2791" s="16"/>
      <c r="K2791" s="15"/>
      <c r="L2791" s="15"/>
      <c r="M2791" s="16"/>
      <c r="N2791" s="8"/>
      <c r="O2791" s="18">
        <f t="shared" si="800"/>
        <v>0</v>
      </c>
      <c r="P2791" s="9"/>
      <c r="Q2791" s="9"/>
      <c r="R2791" s="9"/>
      <c r="S2791" s="10">
        <f t="shared" si="798"/>
        <v>0</v>
      </c>
    </row>
    <row r="2792" spans="2:19" outlineLevel="1">
      <c r="B2792" s="13" t="s">
        <v>184</v>
      </c>
      <c r="C2792" s="7" t="str">
        <f t="shared" si="795"/>
        <v>SPREDY EMAQ SERIE 24122</v>
      </c>
      <c r="D2792" s="8">
        <f t="shared" si="796"/>
        <v>46103</v>
      </c>
      <c r="E2792" s="15"/>
      <c r="F2792" s="15"/>
      <c r="G2792" s="15">
        <f t="shared" si="797"/>
        <v>0</v>
      </c>
      <c r="H2792" s="16"/>
      <c r="I2792" s="10">
        <f t="shared" si="799"/>
        <v>0</v>
      </c>
      <c r="J2792" s="16"/>
      <c r="K2792" s="15"/>
      <c r="L2792" s="15"/>
      <c r="M2792" s="16"/>
      <c r="N2792" s="8"/>
      <c r="O2792" s="18">
        <f t="shared" si="800"/>
        <v>0</v>
      </c>
      <c r="P2792" s="9"/>
      <c r="Q2792" s="9"/>
      <c r="R2792" s="9"/>
      <c r="S2792" s="10">
        <f t="shared" si="798"/>
        <v>0</v>
      </c>
    </row>
    <row r="2793" spans="2:19" outlineLevel="1">
      <c r="B2793" s="13" t="s">
        <v>184</v>
      </c>
      <c r="C2793" s="7" t="str">
        <f t="shared" si="795"/>
        <v>SPREDY EMAQ SERIE 24122</v>
      </c>
      <c r="D2793" s="8">
        <f t="shared" si="796"/>
        <v>46104</v>
      </c>
      <c r="E2793" s="15"/>
      <c r="F2793" s="15"/>
      <c r="G2793" s="15">
        <f t="shared" si="797"/>
        <v>0</v>
      </c>
      <c r="H2793" s="16"/>
      <c r="I2793" s="10">
        <f t="shared" si="799"/>
        <v>0</v>
      </c>
      <c r="J2793" s="16"/>
      <c r="K2793" s="15"/>
      <c r="L2793" s="15"/>
      <c r="M2793" s="16"/>
      <c r="N2793" s="8"/>
      <c r="O2793" s="18">
        <f t="shared" si="800"/>
        <v>0</v>
      </c>
      <c r="P2793" s="9"/>
      <c r="Q2793" s="9"/>
      <c r="R2793" s="9"/>
      <c r="S2793" s="10">
        <f t="shared" si="798"/>
        <v>0</v>
      </c>
    </row>
    <row r="2794" spans="2:19" outlineLevel="1">
      <c r="B2794" s="13" t="s">
        <v>184</v>
      </c>
      <c r="C2794" s="7" t="str">
        <f t="shared" si="795"/>
        <v>SPREDY EMAQ SERIE 24122</v>
      </c>
      <c r="D2794" s="8">
        <f t="shared" si="796"/>
        <v>46105</v>
      </c>
      <c r="E2794" s="15"/>
      <c r="F2794" s="15"/>
      <c r="G2794" s="15">
        <f t="shared" si="797"/>
        <v>0</v>
      </c>
      <c r="H2794" s="16"/>
      <c r="I2794" s="10">
        <f t="shared" si="799"/>
        <v>0</v>
      </c>
      <c r="J2794" s="16"/>
      <c r="K2794" s="15"/>
      <c r="L2794" s="15"/>
      <c r="M2794" s="16"/>
      <c r="N2794" s="8"/>
      <c r="O2794" s="18">
        <f t="shared" si="800"/>
        <v>0</v>
      </c>
      <c r="P2794" s="9"/>
      <c r="Q2794" s="9"/>
      <c r="R2794" s="9"/>
      <c r="S2794" s="10">
        <f t="shared" si="798"/>
        <v>0</v>
      </c>
    </row>
    <row r="2795" spans="2:19" outlineLevel="1">
      <c r="B2795" s="13" t="s">
        <v>184</v>
      </c>
      <c r="C2795" s="7" t="str">
        <f t="shared" si="795"/>
        <v>SPREDY EMAQ SERIE 24122</v>
      </c>
      <c r="D2795" s="8">
        <f t="shared" si="796"/>
        <v>46106</v>
      </c>
      <c r="E2795" s="15"/>
      <c r="F2795" s="15"/>
      <c r="G2795" s="15">
        <f t="shared" si="797"/>
        <v>0</v>
      </c>
      <c r="H2795" s="16"/>
      <c r="I2795" s="10">
        <f t="shared" si="799"/>
        <v>0</v>
      </c>
      <c r="J2795" s="16"/>
      <c r="K2795" s="15"/>
      <c r="L2795" s="15"/>
      <c r="M2795" s="16"/>
      <c r="N2795" s="8"/>
      <c r="O2795" s="18">
        <f t="shared" si="800"/>
        <v>0</v>
      </c>
      <c r="P2795" s="9"/>
      <c r="Q2795" s="9"/>
      <c r="R2795" s="9"/>
      <c r="S2795" s="10">
        <f t="shared" si="798"/>
        <v>0</v>
      </c>
    </row>
    <row r="2796" spans="2:19" outlineLevel="1">
      <c r="B2796" s="13" t="s">
        <v>184</v>
      </c>
      <c r="C2796" s="7" t="str">
        <f t="shared" si="795"/>
        <v>SPREDY EMAQ SERIE 24122</v>
      </c>
      <c r="D2796" s="8">
        <f t="shared" si="796"/>
        <v>46107</v>
      </c>
      <c r="E2796" s="15"/>
      <c r="F2796" s="15"/>
      <c r="G2796" s="15">
        <f t="shared" si="797"/>
        <v>0</v>
      </c>
      <c r="H2796" s="16"/>
      <c r="I2796" s="10">
        <f t="shared" si="799"/>
        <v>0</v>
      </c>
      <c r="J2796" s="16"/>
      <c r="K2796" s="15"/>
      <c r="L2796" s="15"/>
      <c r="M2796" s="16"/>
      <c r="N2796" s="8"/>
      <c r="O2796" s="18">
        <f t="shared" si="800"/>
        <v>0</v>
      </c>
      <c r="P2796" s="9"/>
      <c r="Q2796" s="9"/>
      <c r="R2796" s="9"/>
      <c r="S2796" s="10">
        <f t="shared" si="798"/>
        <v>0</v>
      </c>
    </row>
    <row r="2797" spans="2:19" outlineLevel="1">
      <c r="B2797" s="13" t="s">
        <v>184</v>
      </c>
      <c r="C2797" s="7" t="str">
        <f t="shared" si="795"/>
        <v>SPREDY EMAQ SERIE 24122</v>
      </c>
      <c r="D2797" s="8">
        <f t="shared" si="796"/>
        <v>46108</v>
      </c>
      <c r="E2797" s="15"/>
      <c r="F2797" s="15"/>
      <c r="G2797" s="15">
        <f t="shared" si="797"/>
        <v>0</v>
      </c>
      <c r="H2797" s="16"/>
      <c r="I2797" s="10">
        <f t="shared" si="799"/>
        <v>0</v>
      </c>
      <c r="J2797" s="16"/>
      <c r="K2797" s="15"/>
      <c r="L2797" s="15"/>
      <c r="M2797" s="16"/>
      <c r="N2797" s="8"/>
      <c r="O2797" s="18">
        <f t="shared" si="800"/>
        <v>0</v>
      </c>
      <c r="P2797" s="9"/>
      <c r="Q2797" s="9"/>
      <c r="R2797" s="9"/>
      <c r="S2797" s="10">
        <f t="shared" si="798"/>
        <v>0</v>
      </c>
    </row>
    <row r="2798" spans="2:19" outlineLevel="1">
      <c r="B2798" s="13" t="s">
        <v>184</v>
      </c>
      <c r="C2798" s="7" t="str">
        <f t="shared" si="795"/>
        <v>SPREDY EMAQ SERIE 24122</v>
      </c>
      <c r="D2798" s="8">
        <f t="shared" ref="D2798" si="801">D2730</f>
        <v>46109</v>
      </c>
      <c r="E2798" s="15"/>
      <c r="F2798" s="15"/>
      <c r="G2798" s="15">
        <f t="shared" ref="G2798:G2800" si="802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3">SUM(R2798+Q2798+I2798)</f>
        <v>0</v>
      </c>
    </row>
    <row r="2799" spans="2:19" outlineLevel="1">
      <c r="B2799" s="13" t="s">
        <v>184</v>
      </c>
      <c r="C2799" s="7" t="str">
        <f t="shared" si="795"/>
        <v>SPREDY EMAQ SERIE 24122</v>
      </c>
      <c r="D2799" s="8">
        <f t="shared" ref="D2799:D2801" si="804">D2731</f>
        <v>46110</v>
      </c>
      <c r="E2799" s="15"/>
      <c r="F2799" s="15"/>
      <c r="G2799" s="15">
        <f t="shared" si="802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3"/>
        <v>0</v>
      </c>
    </row>
    <row r="2800" spans="2:19" outlineLevel="1">
      <c r="B2800" s="13" t="s">
        <v>184</v>
      </c>
      <c r="C2800" s="7" t="str">
        <f t="shared" si="795"/>
        <v>SPREDY EMAQ SERIE 24122</v>
      </c>
      <c r="D2800" s="8">
        <f t="shared" si="804"/>
        <v>46111</v>
      </c>
      <c r="E2800" s="15"/>
      <c r="F2800" s="15"/>
      <c r="G2800" s="15">
        <f t="shared" si="802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3"/>
        <v>0</v>
      </c>
    </row>
    <row r="2801" spans="2:19" outlineLevel="1">
      <c r="B2801" s="13" t="s">
        <v>184</v>
      </c>
      <c r="C2801" s="7" t="str">
        <f t="shared" si="795"/>
        <v>SPREDY EMAQ SERIE 24122</v>
      </c>
      <c r="D2801" s="8">
        <f t="shared" si="804"/>
        <v>46112</v>
      </c>
      <c r="E2801" s="15"/>
      <c r="F2801" s="15"/>
      <c r="G2801" s="15">
        <f t="shared" si="79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8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5">C$2803</f>
        <v>SPREDY EMAQ SERIE A 24127</v>
      </c>
      <c r="D2805" s="8">
        <f t="shared" ref="D2805:D2831" si="806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5"/>
        <v>SPREDY EMAQ SERIE A 24127</v>
      </c>
      <c r="D2806" s="8">
        <f t="shared" si="806"/>
        <v>46083</v>
      </c>
      <c r="E2806" s="15"/>
      <c r="F2806" s="15"/>
      <c r="G2806" s="15">
        <f t="shared" ref="G2806:G2835" si="807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8">SUM(R2806+Q2806+I2806)</f>
        <v>161.29032258064515</v>
      </c>
    </row>
    <row r="2807" spans="2:19" outlineLevel="1">
      <c r="B2807" s="13" t="s">
        <v>186</v>
      </c>
      <c r="C2807" s="7" t="str">
        <f t="shared" si="805"/>
        <v>SPREDY EMAQ SERIE A 24127</v>
      </c>
      <c r="D2807" s="8">
        <f t="shared" si="806"/>
        <v>46084</v>
      </c>
      <c r="E2807" s="15"/>
      <c r="F2807" s="15"/>
      <c r="G2807" s="15">
        <f t="shared" si="807"/>
        <v>0</v>
      </c>
      <c r="H2807" s="74" t="s">
        <v>205</v>
      </c>
      <c r="I2807" s="10">
        <f t="shared" ref="I2807:I2831" si="809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8"/>
        <v>161.29032258064515</v>
      </c>
    </row>
    <row r="2808" spans="2:19" outlineLevel="1">
      <c r="B2808" s="13" t="s">
        <v>186</v>
      </c>
      <c r="C2808" s="7" t="str">
        <f t="shared" si="805"/>
        <v>SPREDY EMAQ SERIE A 24127</v>
      </c>
      <c r="D2808" s="8">
        <f t="shared" si="806"/>
        <v>46085</v>
      </c>
      <c r="E2808" s="15"/>
      <c r="F2808" s="15"/>
      <c r="G2808" s="15">
        <f t="shared" si="807"/>
        <v>0</v>
      </c>
      <c r="H2808" s="74" t="s">
        <v>205</v>
      </c>
      <c r="I2808" s="10">
        <f t="shared" si="809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8"/>
        <v>161.29032258064515</v>
      </c>
    </row>
    <row r="2809" spans="2:19" outlineLevel="1">
      <c r="B2809" s="13" t="s">
        <v>186</v>
      </c>
      <c r="C2809" s="7" t="str">
        <f t="shared" si="805"/>
        <v>SPREDY EMAQ SERIE A 24127</v>
      </c>
      <c r="D2809" s="8">
        <f t="shared" si="806"/>
        <v>46086</v>
      </c>
      <c r="E2809" s="15"/>
      <c r="F2809" s="15"/>
      <c r="G2809" s="15">
        <f t="shared" si="807"/>
        <v>0</v>
      </c>
      <c r="H2809" s="74" t="s">
        <v>205</v>
      </c>
      <c r="I2809" s="10">
        <f t="shared" si="809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8"/>
        <v>161.29032258064515</v>
      </c>
    </row>
    <row r="2810" spans="2:19" outlineLevel="1">
      <c r="B2810" s="13" t="s">
        <v>186</v>
      </c>
      <c r="C2810" s="7" t="str">
        <f t="shared" si="805"/>
        <v>SPREDY EMAQ SERIE A 24127</v>
      </c>
      <c r="D2810" s="8">
        <f t="shared" si="806"/>
        <v>46087</v>
      </c>
      <c r="E2810" s="15"/>
      <c r="F2810" s="15"/>
      <c r="G2810" s="15">
        <f t="shared" si="807"/>
        <v>0</v>
      </c>
      <c r="H2810" s="74" t="s">
        <v>205</v>
      </c>
      <c r="I2810" s="10">
        <f t="shared" si="809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8"/>
        <v>161.29032258064515</v>
      </c>
    </row>
    <row r="2811" spans="2:19" outlineLevel="1">
      <c r="B2811" s="13" t="s">
        <v>186</v>
      </c>
      <c r="C2811" s="7" t="str">
        <f t="shared" si="805"/>
        <v>SPREDY EMAQ SERIE A 24127</v>
      </c>
      <c r="D2811" s="8">
        <f t="shared" si="806"/>
        <v>46088</v>
      </c>
      <c r="E2811" s="15"/>
      <c r="F2811" s="15"/>
      <c r="G2811" s="15">
        <f t="shared" si="807"/>
        <v>0</v>
      </c>
      <c r="H2811" s="74" t="s">
        <v>205</v>
      </c>
      <c r="I2811" s="10">
        <f t="shared" si="809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8"/>
        <v>161.29032258064515</v>
      </c>
    </row>
    <row r="2812" spans="2:19" outlineLevel="1">
      <c r="B2812" s="13" t="s">
        <v>186</v>
      </c>
      <c r="C2812" s="7" t="str">
        <f t="shared" si="805"/>
        <v>SPREDY EMAQ SERIE A 24127</v>
      </c>
      <c r="D2812" s="8">
        <f t="shared" si="806"/>
        <v>46089</v>
      </c>
      <c r="E2812" s="15"/>
      <c r="F2812" s="15"/>
      <c r="G2812" s="15">
        <f t="shared" si="807"/>
        <v>0</v>
      </c>
      <c r="H2812" s="74" t="s">
        <v>205</v>
      </c>
      <c r="I2812" s="10">
        <f t="shared" si="809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8"/>
        <v>161.29032258064515</v>
      </c>
    </row>
    <row r="2813" spans="2:19" outlineLevel="1">
      <c r="B2813" s="13" t="s">
        <v>186</v>
      </c>
      <c r="C2813" s="7" t="str">
        <f t="shared" si="805"/>
        <v>SPREDY EMAQ SERIE A 24127</v>
      </c>
      <c r="D2813" s="8">
        <f t="shared" si="806"/>
        <v>46090</v>
      </c>
      <c r="E2813" s="15"/>
      <c r="F2813" s="15"/>
      <c r="G2813" s="15">
        <f t="shared" si="807"/>
        <v>0</v>
      </c>
      <c r="H2813" s="74" t="s">
        <v>205</v>
      </c>
      <c r="I2813" s="10">
        <f t="shared" si="809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8"/>
        <v>161.29032258064515</v>
      </c>
    </row>
    <row r="2814" spans="2:19" outlineLevel="1">
      <c r="B2814" s="13" t="s">
        <v>186</v>
      </c>
      <c r="C2814" s="7" t="str">
        <f t="shared" si="805"/>
        <v>SPREDY EMAQ SERIE A 24127</v>
      </c>
      <c r="D2814" s="8">
        <f t="shared" si="806"/>
        <v>46091</v>
      </c>
      <c r="E2814" s="15"/>
      <c r="F2814" s="15"/>
      <c r="G2814" s="15">
        <f t="shared" si="807"/>
        <v>0</v>
      </c>
      <c r="H2814" s="74" t="s">
        <v>205</v>
      </c>
      <c r="I2814" s="10">
        <f t="shared" si="809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8"/>
        <v>161.29032258064515</v>
      </c>
    </row>
    <row r="2815" spans="2:19" outlineLevel="1">
      <c r="B2815" s="13" t="s">
        <v>186</v>
      </c>
      <c r="C2815" s="7" t="str">
        <f t="shared" si="805"/>
        <v>SPREDY EMAQ SERIE A 24127</v>
      </c>
      <c r="D2815" s="8">
        <f t="shared" si="806"/>
        <v>46092</v>
      </c>
      <c r="E2815" s="15"/>
      <c r="F2815" s="15"/>
      <c r="G2815" s="15">
        <f t="shared" si="807"/>
        <v>0</v>
      </c>
      <c r="H2815" s="74" t="s">
        <v>205</v>
      </c>
      <c r="I2815" s="10">
        <f t="shared" si="809"/>
        <v>161.29032258064515</v>
      </c>
      <c r="J2815" s="16"/>
      <c r="K2815" s="15"/>
      <c r="L2815" s="15"/>
      <c r="M2815" s="16"/>
      <c r="N2815" s="8"/>
      <c r="O2815" s="18">
        <f t="shared" ref="O2815:O2831" si="810">O2814</f>
        <v>0</v>
      </c>
      <c r="P2815" s="9"/>
      <c r="Q2815" s="9"/>
      <c r="R2815" s="9"/>
      <c r="S2815" s="10">
        <f t="shared" si="808"/>
        <v>161.29032258064515</v>
      </c>
    </row>
    <row r="2816" spans="2:19" outlineLevel="1">
      <c r="B2816" s="13" t="s">
        <v>186</v>
      </c>
      <c r="C2816" s="7" t="str">
        <f t="shared" si="805"/>
        <v>SPREDY EMAQ SERIE A 24127</v>
      </c>
      <c r="D2816" s="8">
        <f t="shared" si="806"/>
        <v>46093</v>
      </c>
      <c r="E2816" s="15"/>
      <c r="F2816" s="15"/>
      <c r="G2816" s="15">
        <f t="shared" si="807"/>
        <v>0</v>
      </c>
      <c r="H2816" s="74" t="s">
        <v>205</v>
      </c>
      <c r="I2816" s="10">
        <f t="shared" si="809"/>
        <v>161.29032258064515</v>
      </c>
      <c r="J2816" s="16"/>
      <c r="K2816" s="15"/>
      <c r="L2816" s="15"/>
      <c r="M2816" s="16"/>
      <c r="N2816" s="8"/>
      <c r="O2816" s="18">
        <f t="shared" si="810"/>
        <v>0</v>
      </c>
      <c r="P2816" s="9"/>
      <c r="Q2816" s="9"/>
      <c r="R2816" s="9"/>
      <c r="S2816" s="10">
        <f t="shared" si="808"/>
        <v>161.29032258064515</v>
      </c>
    </row>
    <row r="2817" spans="2:19" outlineLevel="1">
      <c r="B2817" s="13" t="s">
        <v>186</v>
      </c>
      <c r="C2817" s="7" t="str">
        <f t="shared" si="805"/>
        <v>SPREDY EMAQ SERIE A 24127</v>
      </c>
      <c r="D2817" s="8">
        <f t="shared" si="806"/>
        <v>46094</v>
      </c>
      <c r="E2817" s="15"/>
      <c r="F2817" s="15"/>
      <c r="G2817" s="15">
        <f t="shared" si="807"/>
        <v>0</v>
      </c>
      <c r="H2817" s="74" t="s">
        <v>205</v>
      </c>
      <c r="I2817" s="10">
        <f t="shared" si="809"/>
        <v>161.29032258064515</v>
      </c>
      <c r="J2817" s="16"/>
      <c r="K2817" s="15"/>
      <c r="L2817" s="15"/>
      <c r="M2817" s="16"/>
      <c r="N2817" s="8"/>
      <c r="O2817" s="18">
        <f t="shared" si="810"/>
        <v>0</v>
      </c>
      <c r="P2817" s="9"/>
      <c r="Q2817" s="9"/>
      <c r="R2817" s="9"/>
      <c r="S2817" s="10">
        <f t="shared" si="808"/>
        <v>161.29032258064515</v>
      </c>
    </row>
    <row r="2818" spans="2:19" outlineLevel="1">
      <c r="B2818" s="13" t="s">
        <v>186</v>
      </c>
      <c r="C2818" s="7" t="str">
        <f t="shared" si="805"/>
        <v>SPREDY EMAQ SERIE A 24127</v>
      </c>
      <c r="D2818" s="8">
        <f t="shared" si="806"/>
        <v>46095</v>
      </c>
      <c r="E2818" s="15"/>
      <c r="F2818" s="15"/>
      <c r="G2818" s="15">
        <f t="shared" si="807"/>
        <v>0</v>
      </c>
      <c r="H2818" s="74" t="s">
        <v>205</v>
      </c>
      <c r="I2818" s="10">
        <f t="shared" si="809"/>
        <v>161.29032258064515</v>
      </c>
      <c r="J2818" s="16"/>
      <c r="K2818" s="15"/>
      <c r="L2818" s="15"/>
      <c r="M2818" s="16"/>
      <c r="N2818" s="8"/>
      <c r="O2818" s="18">
        <f t="shared" si="810"/>
        <v>0</v>
      </c>
      <c r="P2818" s="9"/>
      <c r="Q2818" s="9"/>
      <c r="R2818" s="9"/>
      <c r="S2818" s="10">
        <f t="shared" si="808"/>
        <v>161.29032258064515</v>
      </c>
    </row>
    <row r="2819" spans="2:19" outlineLevel="1">
      <c r="B2819" s="13" t="s">
        <v>186</v>
      </c>
      <c r="C2819" s="7" t="str">
        <f t="shared" si="805"/>
        <v>SPREDY EMAQ SERIE A 24127</v>
      </c>
      <c r="D2819" s="8">
        <f t="shared" si="806"/>
        <v>46096</v>
      </c>
      <c r="E2819" s="15"/>
      <c r="F2819" s="15"/>
      <c r="G2819" s="15">
        <f t="shared" si="807"/>
        <v>0</v>
      </c>
      <c r="H2819" s="74" t="s">
        <v>205</v>
      </c>
      <c r="I2819" s="10">
        <f t="shared" si="809"/>
        <v>161.29032258064515</v>
      </c>
      <c r="J2819" s="16"/>
      <c r="K2819" s="15"/>
      <c r="L2819" s="15"/>
      <c r="M2819" s="16"/>
      <c r="N2819" s="8"/>
      <c r="O2819" s="18">
        <f t="shared" si="810"/>
        <v>0</v>
      </c>
      <c r="P2819" s="9"/>
      <c r="Q2819" s="9"/>
      <c r="R2819" s="9"/>
      <c r="S2819" s="10">
        <f t="shared" si="808"/>
        <v>161.29032258064515</v>
      </c>
    </row>
    <row r="2820" spans="2:19" outlineLevel="1">
      <c r="B2820" s="13" t="s">
        <v>186</v>
      </c>
      <c r="C2820" s="7" t="str">
        <f t="shared" si="805"/>
        <v>SPREDY EMAQ SERIE A 24127</v>
      </c>
      <c r="D2820" s="8">
        <f t="shared" si="806"/>
        <v>46097</v>
      </c>
      <c r="E2820" s="15"/>
      <c r="F2820" s="15"/>
      <c r="G2820" s="15">
        <f t="shared" si="807"/>
        <v>0</v>
      </c>
      <c r="H2820" s="74" t="s">
        <v>205</v>
      </c>
      <c r="I2820" s="10">
        <f t="shared" si="809"/>
        <v>161.29032258064515</v>
      </c>
      <c r="J2820" s="16"/>
      <c r="K2820" s="15"/>
      <c r="L2820" s="15"/>
      <c r="M2820" s="16"/>
      <c r="N2820" s="8"/>
      <c r="O2820" s="18">
        <f t="shared" si="810"/>
        <v>0</v>
      </c>
      <c r="P2820" s="9"/>
      <c r="Q2820" s="9"/>
      <c r="R2820" s="9"/>
      <c r="S2820" s="10">
        <f t="shared" si="808"/>
        <v>161.29032258064515</v>
      </c>
    </row>
    <row r="2821" spans="2:19" outlineLevel="1">
      <c r="B2821" s="13" t="s">
        <v>186</v>
      </c>
      <c r="C2821" s="7" t="str">
        <f t="shared" si="805"/>
        <v>SPREDY EMAQ SERIE A 24127</v>
      </c>
      <c r="D2821" s="8">
        <f t="shared" si="806"/>
        <v>46098</v>
      </c>
      <c r="E2821" s="15"/>
      <c r="F2821" s="15"/>
      <c r="G2821" s="15">
        <f t="shared" si="807"/>
        <v>0</v>
      </c>
      <c r="H2821" s="74" t="s">
        <v>205</v>
      </c>
      <c r="I2821" s="10">
        <f t="shared" si="809"/>
        <v>161.29032258064515</v>
      </c>
      <c r="J2821" s="16"/>
      <c r="K2821" s="15"/>
      <c r="L2821" s="15"/>
      <c r="M2821" s="16"/>
      <c r="N2821" s="8"/>
      <c r="O2821" s="18">
        <f t="shared" si="810"/>
        <v>0</v>
      </c>
      <c r="P2821" s="9"/>
      <c r="Q2821" s="9"/>
      <c r="R2821" s="9"/>
      <c r="S2821" s="10">
        <f t="shared" si="808"/>
        <v>161.29032258064515</v>
      </c>
    </row>
    <row r="2822" spans="2:19" outlineLevel="1">
      <c r="B2822" s="13" t="s">
        <v>186</v>
      </c>
      <c r="C2822" s="7" t="str">
        <f t="shared" si="805"/>
        <v>SPREDY EMAQ SERIE A 24127</v>
      </c>
      <c r="D2822" s="8">
        <f t="shared" si="806"/>
        <v>46099</v>
      </c>
      <c r="E2822" s="15"/>
      <c r="F2822" s="15"/>
      <c r="G2822" s="15">
        <f t="shared" si="807"/>
        <v>0</v>
      </c>
      <c r="H2822" s="74" t="s">
        <v>205</v>
      </c>
      <c r="I2822" s="10">
        <f t="shared" si="809"/>
        <v>161.29032258064515</v>
      </c>
      <c r="J2822" s="16"/>
      <c r="K2822" s="15"/>
      <c r="L2822" s="15"/>
      <c r="M2822" s="16"/>
      <c r="N2822" s="8"/>
      <c r="O2822" s="18">
        <f t="shared" si="810"/>
        <v>0</v>
      </c>
      <c r="P2822" s="9"/>
      <c r="Q2822" s="9"/>
      <c r="R2822" s="9"/>
      <c r="S2822" s="10">
        <f t="shared" si="808"/>
        <v>161.29032258064515</v>
      </c>
    </row>
    <row r="2823" spans="2:19" outlineLevel="1">
      <c r="B2823" s="13" t="s">
        <v>186</v>
      </c>
      <c r="C2823" s="7" t="str">
        <f t="shared" si="805"/>
        <v>SPREDY EMAQ SERIE A 24127</v>
      </c>
      <c r="D2823" s="8">
        <f t="shared" si="806"/>
        <v>46100</v>
      </c>
      <c r="E2823" s="15"/>
      <c r="F2823" s="15"/>
      <c r="G2823" s="15">
        <f t="shared" si="807"/>
        <v>0</v>
      </c>
      <c r="H2823" s="74" t="s">
        <v>205</v>
      </c>
      <c r="I2823" s="10">
        <f t="shared" si="809"/>
        <v>161.29032258064515</v>
      </c>
      <c r="J2823" s="16"/>
      <c r="K2823" s="15"/>
      <c r="L2823" s="15"/>
      <c r="M2823" s="16"/>
      <c r="N2823" s="8"/>
      <c r="O2823" s="18">
        <f t="shared" si="810"/>
        <v>0</v>
      </c>
      <c r="P2823" s="9"/>
      <c r="Q2823" s="9"/>
      <c r="R2823" s="9"/>
      <c r="S2823" s="10">
        <f t="shared" si="808"/>
        <v>161.29032258064515</v>
      </c>
    </row>
    <row r="2824" spans="2:19" outlineLevel="1">
      <c r="B2824" s="13" t="s">
        <v>186</v>
      </c>
      <c r="C2824" s="7" t="str">
        <f t="shared" si="805"/>
        <v>SPREDY EMAQ SERIE A 24127</v>
      </c>
      <c r="D2824" s="8">
        <f t="shared" si="806"/>
        <v>46101</v>
      </c>
      <c r="E2824" s="15"/>
      <c r="F2824" s="15"/>
      <c r="G2824" s="15">
        <f t="shared" si="807"/>
        <v>0</v>
      </c>
      <c r="H2824" s="74" t="s">
        <v>205</v>
      </c>
      <c r="I2824" s="10">
        <f t="shared" si="809"/>
        <v>161.29032258064515</v>
      </c>
      <c r="J2824" s="16"/>
      <c r="K2824" s="15"/>
      <c r="L2824" s="15"/>
      <c r="M2824" s="16"/>
      <c r="N2824" s="8"/>
      <c r="O2824" s="18">
        <f t="shared" si="810"/>
        <v>0</v>
      </c>
      <c r="P2824" s="9"/>
      <c r="Q2824" s="9"/>
      <c r="R2824" s="9"/>
      <c r="S2824" s="10">
        <f t="shared" si="808"/>
        <v>161.29032258064515</v>
      </c>
    </row>
    <row r="2825" spans="2:19" outlineLevel="1">
      <c r="B2825" s="13" t="s">
        <v>186</v>
      </c>
      <c r="C2825" s="7" t="str">
        <f t="shared" si="805"/>
        <v>SPREDY EMAQ SERIE A 24127</v>
      </c>
      <c r="D2825" s="8">
        <f t="shared" si="806"/>
        <v>46102</v>
      </c>
      <c r="E2825" s="15"/>
      <c r="F2825" s="15"/>
      <c r="G2825" s="15">
        <f t="shared" si="807"/>
        <v>0</v>
      </c>
      <c r="H2825" s="74" t="s">
        <v>205</v>
      </c>
      <c r="I2825" s="10">
        <f t="shared" si="809"/>
        <v>161.29032258064515</v>
      </c>
      <c r="J2825" s="16"/>
      <c r="K2825" s="15"/>
      <c r="L2825" s="15"/>
      <c r="M2825" s="16"/>
      <c r="N2825" s="8"/>
      <c r="O2825" s="18">
        <f t="shared" si="810"/>
        <v>0</v>
      </c>
      <c r="P2825" s="9"/>
      <c r="Q2825" s="9"/>
      <c r="R2825" s="9"/>
      <c r="S2825" s="10">
        <f t="shared" si="808"/>
        <v>161.29032258064515</v>
      </c>
    </row>
    <row r="2826" spans="2:19" outlineLevel="1">
      <c r="B2826" s="13" t="s">
        <v>186</v>
      </c>
      <c r="C2826" s="7" t="str">
        <f t="shared" si="805"/>
        <v>SPREDY EMAQ SERIE A 24127</v>
      </c>
      <c r="D2826" s="8">
        <f t="shared" si="806"/>
        <v>46103</v>
      </c>
      <c r="E2826" s="15"/>
      <c r="F2826" s="15"/>
      <c r="G2826" s="15">
        <f t="shared" si="807"/>
        <v>0</v>
      </c>
      <c r="H2826" s="74" t="s">
        <v>205</v>
      </c>
      <c r="I2826" s="10">
        <f t="shared" si="809"/>
        <v>161.29032258064515</v>
      </c>
      <c r="J2826" s="16"/>
      <c r="K2826" s="15"/>
      <c r="L2826" s="15"/>
      <c r="M2826" s="16"/>
      <c r="N2826" s="8"/>
      <c r="O2826" s="18">
        <f t="shared" si="810"/>
        <v>0</v>
      </c>
      <c r="P2826" s="9"/>
      <c r="Q2826" s="9"/>
      <c r="R2826" s="9"/>
      <c r="S2826" s="10">
        <f t="shared" si="808"/>
        <v>161.29032258064515</v>
      </c>
    </row>
    <row r="2827" spans="2:19" outlineLevel="1">
      <c r="B2827" s="13" t="s">
        <v>186</v>
      </c>
      <c r="C2827" s="7" t="str">
        <f t="shared" si="805"/>
        <v>SPREDY EMAQ SERIE A 24127</v>
      </c>
      <c r="D2827" s="8">
        <f t="shared" si="806"/>
        <v>46104</v>
      </c>
      <c r="E2827" s="15"/>
      <c r="F2827" s="15"/>
      <c r="G2827" s="15">
        <f t="shared" si="807"/>
        <v>0</v>
      </c>
      <c r="H2827" s="74" t="s">
        <v>205</v>
      </c>
      <c r="I2827" s="10">
        <f t="shared" si="809"/>
        <v>161.29032258064515</v>
      </c>
      <c r="J2827" s="16"/>
      <c r="K2827" s="15"/>
      <c r="L2827" s="15"/>
      <c r="M2827" s="16"/>
      <c r="N2827" s="8"/>
      <c r="O2827" s="18">
        <f t="shared" si="810"/>
        <v>0</v>
      </c>
      <c r="P2827" s="9"/>
      <c r="Q2827" s="9"/>
      <c r="R2827" s="9"/>
      <c r="S2827" s="10">
        <f t="shared" si="808"/>
        <v>161.29032258064515</v>
      </c>
    </row>
    <row r="2828" spans="2:19" outlineLevel="1">
      <c r="B2828" s="13" t="s">
        <v>186</v>
      </c>
      <c r="C2828" s="7" t="str">
        <f t="shared" si="805"/>
        <v>SPREDY EMAQ SERIE A 24127</v>
      </c>
      <c r="D2828" s="8">
        <f t="shared" si="806"/>
        <v>46105</v>
      </c>
      <c r="E2828" s="15"/>
      <c r="F2828" s="15"/>
      <c r="G2828" s="15">
        <f t="shared" si="807"/>
        <v>0</v>
      </c>
      <c r="H2828" s="74" t="s">
        <v>205</v>
      </c>
      <c r="I2828" s="10">
        <f t="shared" si="809"/>
        <v>161.29032258064515</v>
      </c>
      <c r="J2828" s="16"/>
      <c r="K2828" s="15"/>
      <c r="L2828" s="15"/>
      <c r="M2828" s="16"/>
      <c r="N2828" s="8"/>
      <c r="O2828" s="18">
        <f t="shared" si="810"/>
        <v>0</v>
      </c>
      <c r="P2828" s="9"/>
      <c r="Q2828" s="9"/>
      <c r="R2828" s="9"/>
      <c r="S2828" s="10">
        <f t="shared" si="808"/>
        <v>161.29032258064515</v>
      </c>
    </row>
    <row r="2829" spans="2:19" outlineLevel="1">
      <c r="B2829" s="13" t="s">
        <v>186</v>
      </c>
      <c r="C2829" s="7" t="str">
        <f t="shared" si="805"/>
        <v>SPREDY EMAQ SERIE A 24127</v>
      </c>
      <c r="D2829" s="8">
        <f t="shared" si="806"/>
        <v>46106</v>
      </c>
      <c r="E2829" s="15"/>
      <c r="F2829" s="15"/>
      <c r="G2829" s="15">
        <f t="shared" si="807"/>
        <v>0</v>
      </c>
      <c r="H2829" s="74" t="s">
        <v>205</v>
      </c>
      <c r="I2829" s="10">
        <f t="shared" si="809"/>
        <v>161.29032258064515</v>
      </c>
      <c r="J2829" s="16"/>
      <c r="K2829" s="15"/>
      <c r="L2829" s="15"/>
      <c r="M2829" s="16"/>
      <c r="N2829" s="8"/>
      <c r="O2829" s="18">
        <f t="shared" si="810"/>
        <v>0</v>
      </c>
      <c r="P2829" s="9"/>
      <c r="Q2829" s="9"/>
      <c r="R2829" s="9"/>
      <c r="S2829" s="10">
        <f t="shared" si="808"/>
        <v>161.29032258064515</v>
      </c>
    </row>
    <row r="2830" spans="2:19" outlineLevel="1">
      <c r="B2830" s="13" t="s">
        <v>186</v>
      </c>
      <c r="C2830" s="7" t="str">
        <f t="shared" si="805"/>
        <v>SPREDY EMAQ SERIE A 24127</v>
      </c>
      <c r="D2830" s="8">
        <f t="shared" si="806"/>
        <v>46107</v>
      </c>
      <c r="E2830" s="15"/>
      <c r="F2830" s="15"/>
      <c r="G2830" s="15">
        <f t="shared" si="807"/>
        <v>0</v>
      </c>
      <c r="H2830" s="74" t="s">
        <v>205</v>
      </c>
      <c r="I2830" s="10">
        <f t="shared" si="809"/>
        <v>161.29032258064515</v>
      </c>
      <c r="J2830" s="16"/>
      <c r="K2830" s="15"/>
      <c r="L2830" s="15"/>
      <c r="M2830" s="16"/>
      <c r="N2830" s="8"/>
      <c r="O2830" s="18">
        <f t="shared" si="810"/>
        <v>0</v>
      </c>
      <c r="P2830" s="9"/>
      <c r="Q2830" s="9"/>
      <c r="R2830" s="9"/>
      <c r="S2830" s="10">
        <f t="shared" si="808"/>
        <v>161.29032258064515</v>
      </c>
    </row>
    <row r="2831" spans="2:19" outlineLevel="1">
      <c r="B2831" s="13" t="s">
        <v>186</v>
      </c>
      <c r="C2831" s="7" t="str">
        <f t="shared" si="805"/>
        <v>SPREDY EMAQ SERIE A 24127</v>
      </c>
      <c r="D2831" s="8">
        <f t="shared" si="806"/>
        <v>46108</v>
      </c>
      <c r="E2831" s="15"/>
      <c r="F2831" s="15"/>
      <c r="G2831" s="15">
        <f t="shared" si="807"/>
        <v>0</v>
      </c>
      <c r="H2831" s="74" t="s">
        <v>205</v>
      </c>
      <c r="I2831" s="10">
        <f t="shared" si="809"/>
        <v>161.29032258064515</v>
      </c>
      <c r="J2831" s="16"/>
      <c r="K2831" s="15"/>
      <c r="L2831" s="15"/>
      <c r="M2831" s="16"/>
      <c r="N2831" s="8"/>
      <c r="O2831" s="18">
        <f t="shared" si="810"/>
        <v>0</v>
      </c>
      <c r="P2831" s="9"/>
      <c r="Q2831" s="9"/>
      <c r="R2831" s="9"/>
      <c r="S2831" s="10">
        <f t="shared" si="808"/>
        <v>161.29032258064515</v>
      </c>
    </row>
    <row r="2832" spans="2:19" outlineLevel="1">
      <c r="B2832" s="13" t="s">
        <v>186</v>
      </c>
      <c r="C2832" s="7" t="str">
        <f t="shared" si="805"/>
        <v>SPREDY EMAQ SERIE A 24127</v>
      </c>
      <c r="D2832" s="8">
        <f t="shared" ref="D2832" si="811">D2764</f>
        <v>46109</v>
      </c>
      <c r="E2832" s="15"/>
      <c r="F2832" s="15"/>
      <c r="G2832" s="15">
        <f t="shared" ref="G2832:G2834" si="812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3">SUM(R2832+Q2832+I2832)</f>
        <v>161.29032258064515</v>
      </c>
    </row>
    <row r="2833" spans="2:19" outlineLevel="1">
      <c r="B2833" s="13" t="s">
        <v>186</v>
      </c>
      <c r="C2833" s="7" t="str">
        <f t="shared" si="805"/>
        <v>SPREDY EMAQ SERIE A 24127</v>
      </c>
      <c r="D2833" s="8">
        <f t="shared" ref="D2833:D2835" si="814">D2765</f>
        <v>46110</v>
      </c>
      <c r="E2833" s="15"/>
      <c r="F2833" s="15"/>
      <c r="G2833" s="15">
        <f t="shared" si="812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3"/>
        <v>161.29032258064515</v>
      </c>
    </row>
    <row r="2834" spans="2:19" outlineLevel="1">
      <c r="B2834" s="13" t="s">
        <v>186</v>
      </c>
      <c r="C2834" s="7" t="str">
        <f t="shared" si="805"/>
        <v>SPREDY EMAQ SERIE A 24127</v>
      </c>
      <c r="D2834" s="8">
        <f t="shared" si="814"/>
        <v>46111</v>
      </c>
      <c r="E2834" s="15"/>
      <c r="F2834" s="15"/>
      <c r="G2834" s="15">
        <f t="shared" si="812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3"/>
        <v>161.29032258064515</v>
      </c>
    </row>
    <row r="2835" spans="2:19" outlineLevel="1">
      <c r="B2835" s="13" t="s">
        <v>186</v>
      </c>
      <c r="C2835" s="7" t="str">
        <f t="shared" si="805"/>
        <v>SPREDY EMAQ SERIE A 24127</v>
      </c>
      <c r="D2835" s="8">
        <f t="shared" si="814"/>
        <v>46112</v>
      </c>
      <c r="E2835" s="15"/>
      <c r="F2835" s="15"/>
      <c r="G2835" s="15">
        <f t="shared" si="807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8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5">D2771</f>
        <v>46082</v>
      </c>
      <c r="E2839" s="15"/>
      <c r="F2839" s="15"/>
      <c r="G2839" s="15">
        <f t="shared" ref="G2839:G2842" si="816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7">SUM(R2839+Q2839+I2839)</f>
        <v>161.29032258064515</v>
      </c>
    </row>
    <row r="2840" spans="2:19" outlineLevel="1">
      <c r="B2840" s="13" t="s">
        <v>269</v>
      </c>
      <c r="C2840" s="7" t="str">
        <f t="shared" ref="C2840:C2869" si="818">C$2837</f>
        <v>VASSOURA MEC EMAQ SERIE</v>
      </c>
      <c r="D2840" s="8">
        <f t="shared" si="815"/>
        <v>46083</v>
      </c>
      <c r="E2840" s="15"/>
      <c r="F2840" s="15"/>
      <c r="G2840" s="15">
        <f t="shared" si="816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7"/>
        <v>161.29032258064515</v>
      </c>
    </row>
    <row r="2841" spans="2:19" outlineLevel="1">
      <c r="B2841" s="13" t="s">
        <v>269</v>
      </c>
      <c r="C2841" s="7" t="str">
        <f t="shared" si="818"/>
        <v>VASSOURA MEC EMAQ SERIE</v>
      </c>
      <c r="D2841" s="8">
        <f t="shared" si="815"/>
        <v>46084</v>
      </c>
      <c r="E2841" s="15"/>
      <c r="F2841" s="15"/>
      <c r="G2841" s="15">
        <f t="shared" si="816"/>
        <v>0</v>
      </c>
      <c r="H2841" s="16" t="s">
        <v>233</v>
      </c>
      <c r="I2841" s="10">
        <f t="shared" ref="I2841:I2865" si="819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7"/>
        <v>161.29032258064515</v>
      </c>
    </row>
    <row r="2842" spans="2:19" outlineLevel="1">
      <c r="B2842" s="13" t="s">
        <v>269</v>
      </c>
      <c r="C2842" s="7" t="str">
        <f t="shared" si="818"/>
        <v>VASSOURA MEC EMAQ SERIE</v>
      </c>
      <c r="D2842" s="8">
        <f t="shared" si="815"/>
        <v>46085</v>
      </c>
      <c r="E2842" s="15"/>
      <c r="F2842" s="15"/>
      <c r="G2842" s="15">
        <f t="shared" si="816"/>
        <v>0</v>
      </c>
      <c r="H2842" s="16" t="s">
        <v>233</v>
      </c>
      <c r="I2842" s="10">
        <f t="shared" si="819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7"/>
        <v>161.29032258064515</v>
      </c>
    </row>
    <row r="2843" spans="2:19" outlineLevel="1">
      <c r="B2843" s="13" t="s">
        <v>269</v>
      </c>
      <c r="C2843" s="7" t="str">
        <f t="shared" si="818"/>
        <v>VASSOURA MEC EMAQ SERIE</v>
      </c>
      <c r="D2843" s="8">
        <f t="shared" si="815"/>
        <v>46086</v>
      </c>
      <c r="E2843" s="15"/>
      <c r="F2843" s="15"/>
      <c r="G2843" s="15">
        <f t="shared" ref="G2843:G2869" si="820">F2843-E2843</f>
        <v>0</v>
      </c>
      <c r="H2843" s="16" t="s">
        <v>233</v>
      </c>
      <c r="I2843" s="10">
        <f t="shared" si="819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7"/>
        <v>161.29032258064515</v>
      </c>
    </row>
    <row r="2844" spans="2:19" outlineLevel="1">
      <c r="B2844" s="13" t="s">
        <v>269</v>
      </c>
      <c r="C2844" s="7" t="str">
        <f t="shared" si="818"/>
        <v>VASSOURA MEC EMAQ SERIE</v>
      </c>
      <c r="D2844" s="8">
        <f t="shared" si="815"/>
        <v>46087</v>
      </c>
      <c r="E2844" s="15"/>
      <c r="F2844" s="15"/>
      <c r="G2844" s="15">
        <f t="shared" si="820"/>
        <v>0</v>
      </c>
      <c r="H2844" s="16" t="s">
        <v>233</v>
      </c>
      <c r="I2844" s="10">
        <f t="shared" si="819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7"/>
        <v>161.29032258064515</v>
      </c>
    </row>
    <row r="2845" spans="2:19" outlineLevel="1">
      <c r="B2845" s="13" t="s">
        <v>269</v>
      </c>
      <c r="C2845" s="7" t="str">
        <f t="shared" si="818"/>
        <v>VASSOURA MEC EMAQ SERIE</v>
      </c>
      <c r="D2845" s="8">
        <f t="shared" si="815"/>
        <v>46088</v>
      </c>
      <c r="E2845" s="15"/>
      <c r="F2845" s="15"/>
      <c r="G2845" s="15">
        <f t="shared" si="820"/>
        <v>0</v>
      </c>
      <c r="H2845" s="16" t="s">
        <v>233</v>
      </c>
      <c r="I2845" s="10">
        <f t="shared" si="819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7"/>
        <v>161.29032258064515</v>
      </c>
    </row>
    <row r="2846" spans="2:19" outlineLevel="1">
      <c r="B2846" s="13" t="s">
        <v>269</v>
      </c>
      <c r="C2846" s="7" t="str">
        <f t="shared" si="818"/>
        <v>VASSOURA MEC EMAQ SERIE</v>
      </c>
      <c r="D2846" s="8">
        <f t="shared" si="815"/>
        <v>46089</v>
      </c>
      <c r="E2846" s="15"/>
      <c r="F2846" s="15"/>
      <c r="G2846" s="15">
        <f t="shared" si="820"/>
        <v>0</v>
      </c>
      <c r="H2846" s="16" t="s">
        <v>233</v>
      </c>
      <c r="I2846" s="10">
        <f t="shared" si="819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7"/>
        <v>161.29032258064515</v>
      </c>
    </row>
    <row r="2847" spans="2:19" outlineLevel="1">
      <c r="B2847" s="13" t="s">
        <v>269</v>
      </c>
      <c r="C2847" s="7" t="str">
        <f t="shared" si="818"/>
        <v>VASSOURA MEC EMAQ SERIE</v>
      </c>
      <c r="D2847" s="8">
        <f t="shared" si="815"/>
        <v>46090</v>
      </c>
      <c r="E2847" s="15"/>
      <c r="F2847" s="15"/>
      <c r="G2847" s="15">
        <f t="shared" si="820"/>
        <v>0</v>
      </c>
      <c r="H2847" s="16" t="s">
        <v>233</v>
      </c>
      <c r="I2847" s="10">
        <f t="shared" si="819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7"/>
        <v>161.29032258064515</v>
      </c>
    </row>
    <row r="2848" spans="2:19" outlineLevel="1">
      <c r="B2848" s="13" t="s">
        <v>269</v>
      </c>
      <c r="C2848" s="7" t="str">
        <f t="shared" si="818"/>
        <v>VASSOURA MEC EMAQ SERIE</v>
      </c>
      <c r="D2848" s="8">
        <f t="shared" si="815"/>
        <v>46091</v>
      </c>
      <c r="E2848" s="15"/>
      <c r="F2848" s="15"/>
      <c r="G2848" s="15">
        <f t="shared" si="820"/>
        <v>0</v>
      </c>
      <c r="H2848" s="16" t="s">
        <v>233</v>
      </c>
      <c r="I2848" s="10">
        <f t="shared" si="819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7"/>
        <v>161.29032258064515</v>
      </c>
    </row>
    <row r="2849" spans="2:19" outlineLevel="1">
      <c r="B2849" s="13" t="s">
        <v>269</v>
      </c>
      <c r="C2849" s="7" t="str">
        <f t="shared" si="818"/>
        <v>VASSOURA MEC EMAQ SERIE</v>
      </c>
      <c r="D2849" s="8">
        <f t="shared" si="815"/>
        <v>46092</v>
      </c>
      <c r="E2849" s="15"/>
      <c r="F2849" s="15"/>
      <c r="G2849" s="15">
        <f t="shared" si="820"/>
        <v>0</v>
      </c>
      <c r="H2849" s="16" t="s">
        <v>233</v>
      </c>
      <c r="I2849" s="10">
        <f t="shared" si="819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1">O2848</f>
        <v>0</v>
      </c>
      <c r="P2849" s="9"/>
      <c r="Q2849" s="9"/>
      <c r="R2849" s="85">
        <v>0</v>
      </c>
      <c r="S2849" s="10">
        <f t="shared" si="817"/>
        <v>161.29032258064515</v>
      </c>
    </row>
    <row r="2850" spans="2:19" outlineLevel="1">
      <c r="B2850" s="13" t="s">
        <v>269</v>
      </c>
      <c r="C2850" s="7" t="str">
        <f t="shared" si="818"/>
        <v>VASSOURA MEC EMAQ SERIE</v>
      </c>
      <c r="D2850" s="8">
        <f t="shared" si="815"/>
        <v>46093</v>
      </c>
      <c r="E2850" s="15"/>
      <c r="F2850" s="15"/>
      <c r="G2850" s="15">
        <f t="shared" si="820"/>
        <v>0</v>
      </c>
      <c r="H2850" s="16" t="s">
        <v>233</v>
      </c>
      <c r="I2850" s="10">
        <f t="shared" si="819"/>
        <v>161.29032258064515</v>
      </c>
      <c r="J2850" s="16" t="s">
        <v>16</v>
      </c>
      <c r="K2850" s="15"/>
      <c r="L2850" s="15"/>
      <c r="M2850" s="16"/>
      <c r="N2850" s="8"/>
      <c r="O2850" s="18">
        <f t="shared" si="821"/>
        <v>0</v>
      </c>
      <c r="P2850" s="9"/>
      <c r="Q2850" s="9"/>
      <c r="R2850" s="85">
        <v>0</v>
      </c>
      <c r="S2850" s="10">
        <f t="shared" si="817"/>
        <v>161.29032258064515</v>
      </c>
    </row>
    <row r="2851" spans="2:19" outlineLevel="1">
      <c r="B2851" s="13" t="s">
        <v>269</v>
      </c>
      <c r="C2851" s="7" t="str">
        <f t="shared" si="818"/>
        <v>VASSOURA MEC EMAQ SERIE</v>
      </c>
      <c r="D2851" s="8">
        <f t="shared" si="815"/>
        <v>46094</v>
      </c>
      <c r="E2851" s="15"/>
      <c r="F2851" s="15"/>
      <c r="G2851" s="15">
        <f t="shared" si="820"/>
        <v>0</v>
      </c>
      <c r="H2851" s="16" t="s">
        <v>233</v>
      </c>
      <c r="I2851" s="10">
        <f t="shared" si="819"/>
        <v>161.29032258064515</v>
      </c>
      <c r="J2851" s="16" t="s">
        <v>16</v>
      </c>
      <c r="K2851" s="15"/>
      <c r="L2851" s="15"/>
      <c r="M2851" s="16"/>
      <c r="N2851" s="8"/>
      <c r="O2851" s="18">
        <f t="shared" si="821"/>
        <v>0</v>
      </c>
      <c r="P2851" s="9"/>
      <c r="Q2851" s="9"/>
      <c r="R2851" s="85">
        <v>0</v>
      </c>
      <c r="S2851" s="10">
        <f t="shared" si="817"/>
        <v>161.29032258064515</v>
      </c>
    </row>
    <row r="2852" spans="2:19" outlineLevel="1">
      <c r="B2852" s="13" t="s">
        <v>269</v>
      </c>
      <c r="C2852" s="7" t="str">
        <f t="shared" si="818"/>
        <v>VASSOURA MEC EMAQ SERIE</v>
      </c>
      <c r="D2852" s="8">
        <f t="shared" si="815"/>
        <v>46095</v>
      </c>
      <c r="E2852" s="15"/>
      <c r="F2852" s="15"/>
      <c r="G2852" s="15">
        <f t="shared" si="820"/>
        <v>0</v>
      </c>
      <c r="H2852" s="16" t="s">
        <v>233</v>
      </c>
      <c r="I2852" s="10">
        <f t="shared" si="819"/>
        <v>161.29032258064515</v>
      </c>
      <c r="J2852" s="16" t="s">
        <v>16</v>
      </c>
      <c r="K2852" s="15"/>
      <c r="L2852" s="15"/>
      <c r="M2852" s="16"/>
      <c r="N2852" s="8"/>
      <c r="O2852" s="18">
        <f t="shared" si="821"/>
        <v>0</v>
      </c>
      <c r="P2852" s="9"/>
      <c r="Q2852" s="9"/>
      <c r="R2852" s="85">
        <v>0</v>
      </c>
      <c r="S2852" s="10">
        <f t="shared" si="817"/>
        <v>161.29032258064515</v>
      </c>
    </row>
    <row r="2853" spans="2:19" outlineLevel="1">
      <c r="B2853" s="13" t="s">
        <v>269</v>
      </c>
      <c r="C2853" s="7" t="str">
        <f t="shared" si="818"/>
        <v>VASSOURA MEC EMAQ SERIE</v>
      </c>
      <c r="D2853" s="8">
        <f t="shared" si="815"/>
        <v>46096</v>
      </c>
      <c r="E2853" s="15"/>
      <c r="F2853" s="15"/>
      <c r="G2853" s="15">
        <f t="shared" si="820"/>
        <v>0</v>
      </c>
      <c r="H2853" s="16" t="s">
        <v>233</v>
      </c>
      <c r="I2853" s="10">
        <f t="shared" si="819"/>
        <v>161.29032258064515</v>
      </c>
      <c r="J2853" s="16" t="s">
        <v>16</v>
      </c>
      <c r="K2853" s="15"/>
      <c r="L2853" s="15"/>
      <c r="M2853" s="16"/>
      <c r="N2853" s="8"/>
      <c r="O2853" s="18">
        <f t="shared" si="821"/>
        <v>0</v>
      </c>
      <c r="P2853" s="9"/>
      <c r="Q2853" s="9"/>
      <c r="R2853" s="85">
        <v>0</v>
      </c>
      <c r="S2853" s="10">
        <f t="shared" si="817"/>
        <v>161.29032258064515</v>
      </c>
    </row>
    <row r="2854" spans="2:19" outlineLevel="1">
      <c r="B2854" s="13" t="s">
        <v>269</v>
      </c>
      <c r="C2854" s="7" t="str">
        <f t="shared" si="818"/>
        <v>VASSOURA MEC EMAQ SERIE</v>
      </c>
      <c r="D2854" s="8">
        <f t="shared" si="815"/>
        <v>46097</v>
      </c>
      <c r="E2854" s="15"/>
      <c r="F2854" s="15"/>
      <c r="G2854" s="15">
        <f t="shared" si="820"/>
        <v>0</v>
      </c>
      <c r="H2854" s="16" t="s">
        <v>233</v>
      </c>
      <c r="I2854" s="10">
        <f t="shared" si="819"/>
        <v>161.29032258064515</v>
      </c>
      <c r="J2854" s="16" t="s">
        <v>16</v>
      </c>
      <c r="K2854" s="15"/>
      <c r="L2854" s="15"/>
      <c r="M2854" s="16"/>
      <c r="N2854" s="8"/>
      <c r="O2854" s="18">
        <f t="shared" si="821"/>
        <v>0</v>
      </c>
      <c r="P2854" s="9"/>
      <c r="Q2854" s="9"/>
      <c r="R2854" s="85">
        <v>0</v>
      </c>
      <c r="S2854" s="10">
        <f t="shared" si="817"/>
        <v>161.29032258064515</v>
      </c>
    </row>
    <row r="2855" spans="2:19" outlineLevel="1">
      <c r="B2855" s="13" t="s">
        <v>269</v>
      </c>
      <c r="C2855" s="7" t="str">
        <f t="shared" si="818"/>
        <v>VASSOURA MEC EMAQ SERIE</v>
      </c>
      <c r="D2855" s="8">
        <f t="shared" si="815"/>
        <v>46098</v>
      </c>
      <c r="E2855" s="15"/>
      <c r="F2855" s="15"/>
      <c r="G2855" s="15">
        <f t="shared" si="820"/>
        <v>0</v>
      </c>
      <c r="H2855" s="16" t="s">
        <v>233</v>
      </c>
      <c r="I2855" s="10">
        <f t="shared" si="819"/>
        <v>161.29032258064515</v>
      </c>
      <c r="J2855" s="16" t="s">
        <v>16</v>
      </c>
      <c r="K2855" s="15"/>
      <c r="L2855" s="15"/>
      <c r="M2855" s="16"/>
      <c r="N2855" s="8"/>
      <c r="O2855" s="18">
        <f t="shared" si="821"/>
        <v>0</v>
      </c>
      <c r="P2855" s="9"/>
      <c r="Q2855" s="9"/>
      <c r="R2855" s="85">
        <v>0</v>
      </c>
      <c r="S2855" s="10">
        <f t="shared" si="817"/>
        <v>161.29032258064515</v>
      </c>
    </row>
    <row r="2856" spans="2:19" outlineLevel="1">
      <c r="B2856" s="13" t="s">
        <v>269</v>
      </c>
      <c r="C2856" s="7" t="str">
        <f t="shared" si="818"/>
        <v>VASSOURA MEC EMAQ SERIE</v>
      </c>
      <c r="D2856" s="8">
        <f t="shared" si="815"/>
        <v>46099</v>
      </c>
      <c r="E2856" s="15"/>
      <c r="F2856" s="15"/>
      <c r="G2856" s="15">
        <f t="shared" si="820"/>
        <v>0</v>
      </c>
      <c r="H2856" s="16" t="s">
        <v>233</v>
      </c>
      <c r="I2856" s="10">
        <f t="shared" si="819"/>
        <v>161.29032258064515</v>
      </c>
      <c r="J2856" s="16" t="s">
        <v>16</v>
      </c>
      <c r="K2856" s="15"/>
      <c r="L2856" s="15"/>
      <c r="M2856" s="16"/>
      <c r="N2856" s="8"/>
      <c r="O2856" s="18">
        <f t="shared" si="821"/>
        <v>0</v>
      </c>
      <c r="P2856" s="9"/>
      <c r="Q2856" s="9"/>
      <c r="R2856" s="85">
        <v>0</v>
      </c>
      <c r="S2856" s="10">
        <f t="shared" si="817"/>
        <v>161.29032258064515</v>
      </c>
    </row>
    <row r="2857" spans="2:19" outlineLevel="1">
      <c r="B2857" s="13" t="s">
        <v>269</v>
      </c>
      <c r="C2857" s="7" t="str">
        <f t="shared" si="818"/>
        <v>VASSOURA MEC EMAQ SERIE</v>
      </c>
      <c r="D2857" s="8">
        <f t="shared" si="815"/>
        <v>46100</v>
      </c>
      <c r="E2857" s="15"/>
      <c r="F2857" s="15"/>
      <c r="G2857" s="15">
        <f t="shared" si="820"/>
        <v>0</v>
      </c>
      <c r="H2857" s="16" t="s">
        <v>233</v>
      </c>
      <c r="I2857" s="10">
        <f t="shared" si="819"/>
        <v>161.29032258064515</v>
      </c>
      <c r="J2857" s="16" t="s">
        <v>16</v>
      </c>
      <c r="K2857" s="15"/>
      <c r="L2857" s="15"/>
      <c r="M2857" s="16"/>
      <c r="N2857" s="8"/>
      <c r="O2857" s="18">
        <f t="shared" si="821"/>
        <v>0</v>
      </c>
      <c r="P2857" s="9"/>
      <c r="Q2857" s="9"/>
      <c r="R2857" s="85">
        <v>0</v>
      </c>
      <c r="S2857" s="10">
        <f t="shared" si="817"/>
        <v>161.29032258064515</v>
      </c>
    </row>
    <row r="2858" spans="2:19" outlineLevel="1">
      <c r="B2858" s="13" t="s">
        <v>269</v>
      </c>
      <c r="C2858" s="7" t="str">
        <f t="shared" si="818"/>
        <v>VASSOURA MEC EMAQ SERIE</v>
      </c>
      <c r="D2858" s="8">
        <f t="shared" si="815"/>
        <v>46101</v>
      </c>
      <c r="E2858" s="15"/>
      <c r="F2858" s="15"/>
      <c r="G2858" s="15">
        <f t="shared" si="820"/>
        <v>0</v>
      </c>
      <c r="H2858" s="16" t="s">
        <v>233</v>
      </c>
      <c r="I2858" s="10">
        <f t="shared" si="819"/>
        <v>161.29032258064515</v>
      </c>
      <c r="J2858" s="16" t="s">
        <v>16</v>
      </c>
      <c r="K2858" s="15"/>
      <c r="L2858" s="15"/>
      <c r="M2858" s="16"/>
      <c r="N2858" s="8"/>
      <c r="O2858" s="18">
        <f t="shared" si="821"/>
        <v>0</v>
      </c>
      <c r="P2858" s="9"/>
      <c r="Q2858" s="9"/>
      <c r="R2858" s="85">
        <v>0</v>
      </c>
      <c r="S2858" s="10">
        <f t="shared" si="817"/>
        <v>161.29032258064515</v>
      </c>
    </row>
    <row r="2859" spans="2:19" outlineLevel="1">
      <c r="B2859" s="13" t="s">
        <v>269</v>
      </c>
      <c r="C2859" s="7" t="str">
        <f t="shared" si="818"/>
        <v>VASSOURA MEC EMAQ SERIE</v>
      </c>
      <c r="D2859" s="8">
        <f t="shared" si="815"/>
        <v>46102</v>
      </c>
      <c r="E2859" s="15"/>
      <c r="F2859" s="15"/>
      <c r="G2859" s="15">
        <f t="shared" si="820"/>
        <v>0</v>
      </c>
      <c r="H2859" s="16" t="s">
        <v>233</v>
      </c>
      <c r="I2859" s="10">
        <f t="shared" si="819"/>
        <v>161.29032258064515</v>
      </c>
      <c r="J2859" s="16" t="s">
        <v>16</v>
      </c>
      <c r="K2859" s="15"/>
      <c r="L2859" s="15"/>
      <c r="M2859" s="16"/>
      <c r="N2859" s="8"/>
      <c r="O2859" s="18">
        <f t="shared" si="821"/>
        <v>0</v>
      </c>
      <c r="P2859" s="9"/>
      <c r="Q2859" s="9"/>
      <c r="R2859" s="85">
        <v>0</v>
      </c>
      <c r="S2859" s="10">
        <f t="shared" si="817"/>
        <v>161.29032258064515</v>
      </c>
    </row>
    <row r="2860" spans="2:19" outlineLevel="1">
      <c r="B2860" s="13" t="s">
        <v>269</v>
      </c>
      <c r="C2860" s="7" t="str">
        <f t="shared" si="818"/>
        <v>VASSOURA MEC EMAQ SERIE</v>
      </c>
      <c r="D2860" s="8">
        <f t="shared" si="815"/>
        <v>46103</v>
      </c>
      <c r="E2860" s="15"/>
      <c r="F2860" s="15"/>
      <c r="G2860" s="15">
        <f t="shared" si="820"/>
        <v>0</v>
      </c>
      <c r="H2860" s="16" t="s">
        <v>233</v>
      </c>
      <c r="I2860" s="10">
        <f t="shared" si="819"/>
        <v>161.29032258064515</v>
      </c>
      <c r="J2860" s="16" t="s">
        <v>16</v>
      </c>
      <c r="K2860" s="15"/>
      <c r="L2860" s="15"/>
      <c r="M2860" s="16"/>
      <c r="N2860" s="8"/>
      <c r="O2860" s="18">
        <f t="shared" si="821"/>
        <v>0</v>
      </c>
      <c r="P2860" s="9"/>
      <c r="Q2860" s="9"/>
      <c r="R2860" s="85">
        <v>0</v>
      </c>
      <c r="S2860" s="10">
        <f t="shared" si="817"/>
        <v>161.29032258064515</v>
      </c>
    </row>
    <row r="2861" spans="2:19" outlineLevel="1">
      <c r="B2861" s="13" t="s">
        <v>269</v>
      </c>
      <c r="C2861" s="7" t="str">
        <f t="shared" si="818"/>
        <v>VASSOURA MEC EMAQ SERIE</v>
      </c>
      <c r="D2861" s="8">
        <f t="shared" si="815"/>
        <v>46104</v>
      </c>
      <c r="E2861" s="15"/>
      <c r="F2861" s="15"/>
      <c r="G2861" s="15">
        <f t="shared" si="820"/>
        <v>0</v>
      </c>
      <c r="H2861" s="16" t="s">
        <v>233</v>
      </c>
      <c r="I2861" s="10">
        <f t="shared" si="819"/>
        <v>161.29032258064515</v>
      </c>
      <c r="J2861" s="16" t="s">
        <v>16</v>
      </c>
      <c r="K2861" s="15"/>
      <c r="L2861" s="15"/>
      <c r="M2861" s="16"/>
      <c r="N2861" s="8"/>
      <c r="O2861" s="18">
        <f t="shared" si="821"/>
        <v>0</v>
      </c>
      <c r="P2861" s="9"/>
      <c r="Q2861" s="9"/>
      <c r="R2861" s="85">
        <v>0</v>
      </c>
      <c r="S2861" s="10">
        <f t="shared" si="817"/>
        <v>161.29032258064515</v>
      </c>
    </row>
    <row r="2862" spans="2:19" outlineLevel="1">
      <c r="B2862" s="13" t="s">
        <v>269</v>
      </c>
      <c r="C2862" s="7" t="str">
        <f t="shared" si="818"/>
        <v>VASSOURA MEC EMAQ SERIE</v>
      </c>
      <c r="D2862" s="8">
        <f t="shared" si="815"/>
        <v>46105</v>
      </c>
      <c r="E2862" s="15"/>
      <c r="F2862" s="15"/>
      <c r="G2862" s="15">
        <f t="shared" si="820"/>
        <v>0</v>
      </c>
      <c r="H2862" s="16" t="s">
        <v>233</v>
      </c>
      <c r="I2862" s="10">
        <f t="shared" si="819"/>
        <v>161.29032258064515</v>
      </c>
      <c r="J2862" s="16" t="s">
        <v>16</v>
      </c>
      <c r="K2862" s="15"/>
      <c r="L2862" s="15"/>
      <c r="M2862" s="16"/>
      <c r="N2862" s="8"/>
      <c r="O2862" s="18">
        <f t="shared" si="821"/>
        <v>0</v>
      </c>
      <c r="P2862" s="9"/>
      <c r="Q2862" s="9"/>
      <c r="R2862" s="85">
        <v>0</v>
      </c>
      <c r="S2862" s="10">
        <f t="shared" si="817"/>
        <v>161.29032258064515</v>
      </c>
    </row>
    <row r="2863" spans="2:19" outlineLevel="1">
      <c r="B2863" s="13" t="s">
        <v>269</v>
      </c>
      <c r="C2863" s="7" t="str">
        <f t="shared" si="818"/>
        <v>VASSOURA MEC EMAQ SERIE</v>
      </c>
      <c r="D2863" s="8">
        <f t="shared" si="815"/>
        <v>46106</v>
      </c>
      <c r="E2863" s="15"/>
      <c r="F2863" s="15"/>
      <c r="G2863" s="15">
        <f t="shared" si="820"/>
        <v>0</v>
      </c>
      <c r="H2863" s="16" t="s">
        <v>233</v>
      </c>
      <c r="I2863" s="10">
        <f t="shared" si="819"/>
        <v>161.29032258064515</v>
      </c>
      <c r="J2863" s="16" t="s">
        <v>16</v>
      </c>
      <c r="K2863" s="15"/>
      <c r="L2863" s="15"/>
      <c r="M2863" s="16"/>
      <c r="N2863" s="8"/>
      <c r="O2863" s="18">
        <f t="shared" si="821"/>
        <v>0</v>
      </c>
      <c r="P2863" s="9"/>
      <c r="Q2863" s="9"/>
      <c r="R2863" s="85">
        <v>0</v>
      </c>
      <c r="S2863" s="10">
        <f t="shared" si="817"/>
        <v>161.29032258064515</v>
      </c>
    </row>
    <row r="2864" spans="2:19" outlineLevel="1">
      <c r="B2864" s="13" t="s">
        <v>269</v>
      </c>
      <c r="C2864" s="7" t="str">
        <f t="shared" si="818"/>
        <v>VASSOURA MEC EMAQ SERIE</v>
      </c>
      <c r="D2864" s="8">
        <f t="shared" si="815"/>
        <v>46107</v>
      </c>
      <c r="E2864" s="15"/>
      <c r="F2864" s="15"/>
      <c r="G2864" s="15">
        <f t="shared" si="820"/>
        <v>0</v>
      </c>
      <c r="H2864" s="16" t="s">
        <v>233</v>
      </c>
      <c r="I2864" s="10">
        <f t="shared" si="819"/>
        <v>161.29032258064515</v>
      </c>
      <c r="J2864" s="16" t="s">
        <v>16</v>
      </c>
      <c r="K2864" s="15"/>
      <c r="L2864" s="15"/>
      <c r="M2864" s="16"/>
      <c r="N2864" s="8"/>
      <c r="O2864" s="18">
        <f t="shared" si="821"/>
        <v>0</v>
      </c>
      <c r="P2864" s="9"/>
      <c r="Q2864" s="9"/>
      <c r="R2864" s="85">
        <v>0</v>
      </c>
      <c r="S2864" s="10">
        <f t="shared" si="817"/>
        <v>161.29032258064515</v>
      </c>
    </row>
    <row r="2865" spans="2:19" outlineLevel="1">
      <c r="B2865" s="13" t="s">
        <v>269</v>
      </c>
      <c r="C2865" s="7" t="str">
        <f t="shared" si="818"/>
        <v>VASSOURA MEC EMAQ SERIE</v>
      </c>
      <c r="D2865" s="8">
        <f t="shared" si="815"/>
        <v>46108</v>
      </c>
      <c r="E2865" s="15"/>
      <c r="F2865" s="15"/>
      <c r="G2865" s="15">
        <f t="shared" si="820"/>
        <v>0</v>
      </c>
      <c r="H2865" s="16" t="s">
        <v>233</v>
      </c>
      <c r="I2865" s="10">
        <f t="shared" si="819"/>
        <v>161.29032258064515</v>
      </c>
      <c r="J2865" s="16" t="s">
        <v>16</v>
      </c>
      <c r="K2865" s="15"/>
      <c r="L2865" s="15"/>
      <c r="M2865" s="16"/>
      <c r="N2865" s="8"/>
      <c r="O2865" s="18">
        <f t="shared" si="821"/>
        <v>0</v>
      </c>
      <c r="P2865" s="9"/>
      <c r="Q2865" s="9"/>
      <c r="R2865" s="85">
        <v>0</v>
      </c>
      <c r="S2865" s="10">
        <f t="shared" si="817"/>
        <v>161.29032258064515</v>
      </c>
    </row>
    <row r="2866" spans="2:19" outlineLevel="1">
      <c r="B2866" s="13" t="s">
        <v>269</v>
      </c>
      <c r="C2866" s="7" t="str">
        <f t="shared" si="818"/>
        <v>VASSOURA MEC EMAQ SERIE</v>
      </c>
      <c r="D2866" s="8">
        <f t="shared" ref="D2866" si="822">D2798</f>
        <v>46109</v>
      </c>
      <c r="E2866" s="15"/>
      <c r="F2866" s="15"/>
      <c r="G2866" s="15">
        <f t="shared" ref="G2866:G2868" si="823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4">SUM(R2866+Q2866+I2866)</f>
        <v>161.29032258064515</v>
      </c>
    </row>
    <row r="2867" spans="2:19" outlineLevel="1">
      <c r="B2867" s="13" t="s">
        <v>269</v>
      </c>
      <c r="C2867" s="7" t="str">
        <f t="shared" si="818"/>
        <v>VASSOURA MEC EMAQ SERIE</v>
      </c>
      <c r="D2867" s="8">
        <f t="shared" ref="D2867:D2869" si="825">D2799</f>
        <v>46110</v>
      </c>
      <c r="E2867" s="15"/>
      <c r="F2867" s="15"/>
      <c r="G2867" s="15">
        <f t="shared" si="823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4"/>
        <v>161.29032258064515</v>
      </c>
    </row>
    <row r="2868" spans="2:19" outlineLevel="1">
      <c r="B2868" s="13" t="s">
        <v>269</v>
      </c>
      <c r="C2868" s="7" t="str">
        <f t="shared" si="818"/>
        <v>VASSOURA MEC EMAQ SERIE</v>
      </c>
      <c r="D2868" s="8">
        <f t="shared" si="825"/>
        <v>46111</v>
      </c>
      <c r="E2868" s="15"/>
      <c r="F2868" s="15"/>
      <c r="G2868" s="15">
        <f t="shared" si="823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4"/>
        <v>161.29032258064515</v>
      </c>
    </row>
    <row r="2869" spans="2:19" outlineLevel="1">
      <c r="B2869" s="13" t="s">
        <v>269</v>
      </c>
      <c r="C2869" s="7" t="str">
        <f t="shared" si="818"/>
        <v>VASSOURA MEC EMAQ SERIE</v>
      </c>
      <c r="D2869" s="8">
        <f t="shared" si="825"/>
        <v>46112</v>
      </c>
      <c r="E2869" s="15"/>
      <c r="F2869" s="15"/>
      <c r="G2869" s="15">
        <f t="shared" si="820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7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6">D2771</f>
        <v>46082</v>
      </c>
      <c r="E2873" s="15"/>
      <c r="F2873" s="15"/>
      <c r="G2873" s="15">
        <f t="shared" ref="G2873:G2876" si="827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8">SUM(R2873+Q2873+I2873)</f>
        <v>166.66666666666666</v>
      </c>
    </row>
    <row r="2874" spans="2:19" outlineLevel="1">
      <c r="B2874" s="13" t="s">
        <v>245</v>
      </c>
      <c r="C2874" s="7" t="str">
        <f t="shared" ref="C2874:C2903" si="829">C$2871</f>
        <v xml:space="preserve">SPREDY EMAQ SERIE </v>
      </c>
      <c r="D2874" s="8">
        <f t="shared" si="826"/>
        <v>46083</v>
      </c>
      <c r="E2874" s="15"/>
      <c r="F2874" s="15"/>
      <c r="G2874" s="15">
        <f t="shared" si="827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8"/>
        <v>166.66666666666666</v>
      </c>
    </row>
    <row r="2875" spans="2:19" outlineLevel="1">
      <c r="B2875" s="13" t="s">
        <v>245</v>
      </c>
      <c r="C2875" s="7" t="str">
        <f t="shared" si="829"/>
        <v xml:space="preserve">SPREDY EMAQ SERIE </v>
      </c>
      <c r="D2875" s="8">
        <f t="shared" si="826"/>
        <v>46084</v>
      </c>
      <c r="E2875" s="15"/>
      <c r="F2875" s="15"/>
      <c r="G2875" s="15">
        <f t="shared" si="827"/>
        <v>0</v>
      </c>
      <c r="H2875" s="74" t="s">
        <v>233</v>
      </c>
      <c r="I2875" s="10">
        <f t="shared" ref="I2875:I2899" si="830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8"/>
        <v>166.66666666666666</v>
      </c>
    </row>
    <row r="2876" spans="2:19" outlineLevel="1">
      <c r="B2876" s="13" t="s">
        <v>245</v>
      </c>
      <c r="C2876" s="7" t="str">
        <f t="shared" si="829"/>
        <v xml:space="preserve">SPREDY EMAQ SERIE </v>
      </c>
      <c r="D2876" s="8">
        <f t="shared" si="826"/>
        <v>46085</v>
      </c>
      <c r="E2876" s="15"/>
      <c r="F2876" s="15"/>
      <c r="G2876" s="15">
        <f t="shared" si="827"/>
        <v>0</v>
      </c>
      <c r="H2876" s="74" t="s">
        <v>233</v>
      </c>
      <c r="I2876" s="10">
        <f t="shared" si="830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8"/>
        <v>166.66666666666666</v>
      </c>
    </row>
    <row r="2877" spans="2:19" outlineLevel="1">
      <c r="B2877" s="13" t="s">
        <v>245</v>
      </c>
      <c r="C2877" s="7" t="str">
        <f t="shared" si="829"/>
        <v xml:space="preserve">SPREDY EMAQ SERIE </v>
      </c>
      <c r="D2877" s="8">
        <f t="shared" si="826"/>
        <v>46086</v>
      </c>
      <c r="E2877" s="15"/>
      <c r="F2877" s="15"/>
      <c r="G2877" s="15">
        <f t="shared" ref="G2877:G2903" si="831">F2877-E2877</f>
        <v>0</v>
      </c>
      <c r="H2877" s="74" t="s">
        <v>233</v>
      </c>
      <c r="I2877" s="10">
        <f t="shared" si="830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8"/>
        <v>166.66666666666666</v>
      </c>
    </row>
    <row r="2878" spans="2:19" outlineLevel="1">
      <c r="B2878" s="13" t="s">
        <v>245</v>
      </c>
      <c r="C2878" s="7" t="str">
        <f t="shared" si="829"/>
        <v xml:space="preserve">SPREDY EMAQ SERIE </v>
      </c>
      <c r="D2878" s="8">
        <f t="shared" si="826"/>
        <v>46087</v>
      </c>
      <c r="E2878" s="15"/>
      <c r="F2878" s="15"/>
      <c r="G2878" s="15">
        <f t="shared" si="831"/>
        <v>0</v>
      </c>
      <c r="H2878" s="74" t="s">
        <v>233</v>
      </c>
      <c r="I2878" s="10">
        <f t="shared" si="830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8"/>
        <v>166.66666666666666</v>
      </c>
    </row>
    <row r="2879" spans="2:19" outlineLevel="1">
      <c r="B2879" s="13" t="s">
        <v>245</v>
      </c>
      <c r="C2879" s="7" t="str">
        <f t="shared" si="829"/>
        <v xml:space="preserve">SPREDY EMAQ SERIE </v>
      </c>
      <c r="D2879" s="8">
        <f t="shared" si="826"/>
        <v>46088</v>
      </c>
      <c r="E2879" s="15"/>
      <c r="F2879" s="15"/>
      <c r="G2879" s="15">
        <f t="shared" si="831"/>
        <v>0</v>
      </c>
      <c r="H2879" s="74" t="s">
        <v>233</v>
      </c>
      <c r="I2879" s="10">
        <f t="shared" si="830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8"/>
        <v>166.66666666666666</v>
      </c>
    </row>
    <row r="2880" spans="2:19" outlineLevel="1">
      <c r="B2880" s="13" t="s">
        <v>245</v>
      </c>
      <c r="C2880" s="7" t="str">
        <f t="shared" si="829"/>
        <v xml:space="preserve">SPREDY EMAQ SERIE </v>
      </c>
      <c r="D2880" s="8">
        <f t="shared" si="826"/>
        <v>46089</v>
      </c>
      <c r="E2880" s="15"/>
      <c r="F2880" s="15"/>
      <c r="G2880" s="15">
        <f t="shared" si="831"/>
        <v>0</v>
      </c>
      <c r="H2880" s="74" t="s">
        <v>233</v>
      </c>
      <c r="I2880" s="10">
        <f t="shared" si="830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8"/>
        <v>166.66666666666666</v>
      </c>
    </row>
    <row r="2881" spans="2:19" outlineLevel="1">
      <c r="B2881" s="13" t="s">
        <v>245</v>
      </c>
      <c r="C2881" s="7" t="str">
        <f t="shared" si="829"/>
        <v xml:space="preserve">SPREDY EMAQ SERIE </v>
      </c>
      <c r="D2881" s="8">
        <f t="shared" si="826"/>
        <v>46090</v>
      </c>
      <c r="E2881" s="15"/>
      <c r="F2881" s="15"/>
      <c r="G2881" s="15">
        <f t="shared" si="831"/>
        <v>0</v>
      </c>
      <c r="H2881" s="74" t="s">
        <v>233</v>
      </c>
      <c r="I2881" s="10">
        <f t="shared" si="830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8"/>
        <v>166.66666666666666</v>
      </c>
    </row>
    <row r="2882" spans="2:19" outlineLevel="1">
      <c r="B2882" s="13" t="s">
        <v>245</v>
      </c>
      <c r="C2882" s="7" t="str">
        <f t="shared" si="829"/>
        <v xml:space="preserve">SPREDY EMAQ SERIE </v>
      </c>
      <c r="D2882" s="8">
        <f t="shared" si="826"/>
        <v>46091</v>
      </c>
      <c r="E2882" s="15"/>
      <c r="F2882" s="15"/>
      <c r="G2882" s="15">
        <f t="shared" si="831"/>
        <v>0</v>
      </c>
      <c r="H2882" s="74" t="s">
        <v>233</v>
      </c>
      <c r="I2882" s="10">
        <f t="shared" si="830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8"/>
        <v>166.66666666666666</v>
      </c>
    </row>
    <row r="2883" spans="2:19" outlineLevel="1">
      <c r="B2883" s="13" t="s">
        <v>245</v>
      </c>
      <c r="C2883" s="7" t="str">
        <f t="shared" si="829"/>
        <v xml:space="preserve">SPREDY EMAQ SERIE </v>
      </c>
      <c r="D2883" s="8">
        <f t="shared" si="826"/>
        <v>46092</v>
      </c>
      <c r="E2883" s="15"/>
      <c r="F2883" s="15"/>
      <c r="G2883" s="15">
        <f t="shared" si="831"/>
        <v>0</v>
      </c>
      <c r="H2883" s="74" t="s">
        <v>233</v>
      </c>
      <c r="I2883" s="10">
        <f t="shared" si="830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2">O2882</f>
        <v>0</v>
      </c>
      <c r="P2883" s="9"/>
      <c r="Q2883" s="9"/>
      <c r="R2883" s="9"/>
      <c r="S2883" s="10">
        <f t="shared" si="828"/>
        <v>166.66666666666666</v>
      </c>
    </row>
    <row r="2884" spans="2:19" outlineLevel="1">
      <c r="B2884" s="13" t="s">
        <v>245</v>
      </c>
      <c r="C2884" s="7" t="str">
        <f t="shared" si="829"/>
        <v xml:space="preserve">SPREDY EMAQ SERIE </v>
      </c>
      <c r="D2884" s="8">
        <f t="shared" si="826"/>
        <v>46093</v>
      </c>
      <c r="E2884" s="15"/>
      <c r="F2884" s="15"/>
      <c r="G2884" s="15">
        <f t="shared" si="831"/>
        <v>0</v>
      </c>
      <c r="H2884" s="74" t="s">
        <v>233</v>
      </c>
      <c r="I2884" s="10">
        <f t="shared" si="830"/>
        <v>166.66666666666666</v>
      </c>
      <c r="J2884" s="16" t="s">
        <v>16</v>
      </c>
      <c r="K2884" s="15"/>
      <c r="L2884" s="15"/>
      <c r="M2884" s="16"/>
      <c r="N2884" s="8"/>
      <c r="O2884" s="18">
        <f t="shared" si="832"/>
        <v>0</v>
      </c>
      <c r="P2884" s="9"/>
      <c r="Q2884" s="9"/>
      <c r="R2884" s="9"/>
      <c r="S2884" s="10">
        <f t="shared" si="828"/>
        <v>166.66666666666666</v>
      </c>
    </row>
    <row r="2885" spans="2:19" outlineLevel="1">
      <c r="B2885" s="13" t="s">
        <v>245</v>
      </c>
      <c r="C2885" s="7" t="str">
        <f t="shared" si="829"/>
        <v xml:space="preserve">SPREDY EMAQ SERIE </v>
      </c>
      <c r="D2885" s="8">
        <f t="shared" si="826"/>
        <v>46094</v>
      </c>
      <c r="E2885" s="15"/>
      <c r="F2885" s="15"/>
      <c r="G2885" s="15">
        <f t="shared" si="831"/>
        <v>0</v>
      </c>
      <c r="H2885" s="74" t="s">
        <v>233</v>
      </c>
      <c r="I2885" s="10">
        <f t="shared" si="830"/>
        <v>166.66666666666666</v>
      </c>
      <c r="J2885" s="16" t="s">
        <v>16</v>
      </c>
      <c r="K2885" s="15"/>
      <c r="L2885" s="15"/>
      <c r="M2885" s="16"/>
      <c r="N2885" s="8"/>
      <c r="O2885" s="18">
        <f t="shared" si="832"/>
        <v>0</v>
      </c>
      <c r="P2885" s="9"/>
      <c r="Q2885" s="9"/>
      <c r="R2885" s="9"/>
      <c r="S2885" s="10">
        <f t="shared" ref="S2885:S2903" si="833">SUM(R2885+Q2885+I2885)</f>
        <v>166.66666666666666</v>
      </c>
    </row>
    <row r="2886" spans="2:19" outlineLevel="1">
      <c r="B2886" s="13" t="s">
        <v>245</v>
      </c>
      <c r="C2886" s="7" t="str">
        <f t="shared" si="829"/>
        <v xml:space="preserve">SPREDY EMAQ SERIE </v>
      </c>
      <c r="D2886" s="8">
        <f t="shared" si="826"/>
        <v>46095</v>
      </c>
      <c r="E2886" s="15"/>
      <c r="F2886" s="15"/>
      <c r="G2886" s="15">
        <f t="shared" si="831"/>
        <v>0</v>
      </c>
      <c r="H2886" s="74" t="s">
        <v>233</v>
      </c>
      <c r="I2886" s="10">
        <f t="shared" si="830"/>
        <v>166.66666666666666</v>
      </c>
      <c r="J2886" s="16" t="s">
        <v>16</v>
      </c>
      <c r="K2886" s="15"/>
      <c r="L2886" s="15"/>
      <c r="M2886" s="16"/>
      <c r="N2886" s="8"/>
      <c r="O2886" s="18">
        <f t="shared" si="832"/>
        <v>0</v>
      </c>
      <c r="P2886" s="9"/>
      <c r="Q2886" s="9"/>
      <c r="R2886" s="9"/>
      <c r="S2886" s="10">
        <f t="shared" si="833"/>
        <v>166.66666666666666</v>
      </c>
    </row>
    <row r="2887" spans="2:19" outlineLevel="1">
      <c r="B2887" s="13" t="s">
        <v>245</v>
      </c>
      <c r="C2887" s="7" t="str">
        <f t="shared" si="829"/>
        <v xml:space="preserve">SPREDY EMAQ SERIE </v>
      </c>
      <c r="D2887" s="8">
        <f t="shared" si="826"/>
        <v>46096</v>
      </c>
      <c r="E2887" s="15"/>
      <c r="F2887" s="15"/>
      <c r="G2887" s="15">
        <f t="shared" si="831"/>
        <v>0</v>
      </c>
      <c r="H2887" s="74" t="s">
        <v>233</v>
      </c>
      <c r="I2887" s="10">
        <f t="shared" si="830"/>
        <v>166.66666666666666</v>
      </c>
      <c r="J2887" s="16" t="s">
        <v>16</v>
      </c>
      <c r="K2887" s="15"/>
      <c r="L2887" s="15"/>
      <c r="M2887" s="16"/>
      <c r="N2887" s="8"/>
      <c r="O2887" s="18">
        <f t="shared" si="832"/>
        <v>0</v>
      </c>
      <c r="P2887" s="9"/>
      <c r="Q2887" s="9"/>
      <c r="R2887" s="9"/>
      <c r="S2887" s="10">
        <f t="shared" si="833"/>
        <v>166.66666666666666</v>
      </c>
    </row>
    <row r="2888" spans="2:19" outlineLevel="1">
      <c r="B2888" s="13" t="s">
        <v>245</v>
      </c>
      <c r="C2888" s="7" t="str">
        <f t="shared" si="829"/>
        <v xml:space="preserve">SPREDY EMAQ SERIE </v>
      </c>
      <c r="D2888" s="8">
        <f t="shared" si="826"/>
        <v>46097</v>
      </c>
      <c r="E2888" s="15"/>
      <c r="F2888" s="15"/>
      <c r="G2888" s="15">
        <f t="shared" si="831"/>
        <v>0</v>
      </c>
      <c r="H2888" s="74" t="s">
        <v>233</v>
      </c>
      <c r="I2888" s="10">
        <f t="shared" si="830"/>
        <v>166.66666666666666</v>
      </c>
      <c r="J2888" s="16" t="s">
        <v>16</v>
      </c>
      <c r="K2888" s="15"/>
      <c r="L2888" s="15"/>
      <c r="M2888" s="16"/>
      <c r="N2888" s="8"/>
      <c r="O2888" s="18">
        <f t="shared" si="832"/>
        <v>0</v>
      </c>
      <c r="P2888" s="9"/>
      <c r="Q2888" s="9"/>
      <c r="R2888" s="9"/>
      <c r="S2888" s="10">
        <f t="shared" si="833"/>
        <v>166.66666666666666</v>
      </c>
    </row>
    <row r="2889" spans="2:19" outlineLevel="1">
      <c r="B2889" s="13" t="s">
        <v>245</v>
      </c>
      <c r="C2889" s="7" t="str">
        <f t="shared" si="829"/>
        <v xml:space="preserve">SPREDY EMAQ SERIE </v>
      </c>
      <c r="D2889" s="8">
        <f t="shared" si="826"/>
        <v>46098</v>
      </c>
      <c r="E2889" s="15"/>
      <c r="F2889" s="15"/>
      <c r="G2889" s="15">
        <f t="shared" si="831"/>
        <v>0</v>
      </c>
      <c r="H2889" s="74" t="s">
        <v>233</v>
      </c>
      <c r="I2889" s="10">
        <f t="shared" si="830"/>
        <v>166.66666666666666</v>
      </c>
      <c r="J2889" s="16" t="s">
        <v>16</v>
      </c>
      <c r="K2889" s="15"/>
      <c r="L2889" s="15"/>
      <c r="M2889" s="16"/>
      <c r="N2889" s="8"/>
      <c r="O2889" s="18">
        <f t="shared" si="832"/>
        <v>0</v>
      </c>
      <c r="P2889" s="9"/>
      <c r="Q2889" s="9"/>
      <c r="R2889" s="9"/>
      <c r="S2889" s="10">
        <f t="shared" si="833"/>
        <v>166.66666666666666</v>
      </c>
    </row>
    <row r="2890" spans="2:19" outlineLevel="1">
      <c r="B2890" s="13" t="s">
        <v>245</v>
      </c>
      <c r="C2890" s="7" t="str">
        <f t="shared" si="829"/>
        <v xml:space="preserve">SPREDY EMAQ SERIE </v>
      </c>
      <c r="D2890" s="8">
        <f t="shared" si="826"/>
        <v>46099</v>
      </c>
      <c r="E2890" s="15"/>
      <c r="F2890" s="15"/>
      <c r="G2890" s="15">
        <f t="shared" si="831"/>
        <v>0</v>
      </c>
      <c r="H2890" s="74" t="s">
        <v>233</v>
      </c>
      <c r="I2890" s="10">
        <f t="shared" si="830"/>
        <v>166.66666666666666</v>
      </c>
      <c r="J2890" s="16" t="s">
        <v>16</v>
      </c>
      <c r="K2890" s="15"/>
      <c r="L2890" s="15"/>
      <c r="M2890" s="16"/>
      <c r="N2890" s="8"/>
      <c r="O2890" s="18">
        <f t="shared" si="832"/>
        <v>0</v>
      </c>
      <c r="P2890" s="9"/>
      <c r="Q2890" s="9"/>
      <c r="R2890" s="9"/>
      <c r="S2890" s="10">
        <f t="shared" si="833"/>
        <v>166.66666666666666</v>
      </c>
    </row>
    <row r="2891" spans="2:19" outlineLevel="1">
      <c r="B2891" s="13" t="s">
        <v>245</v>
      </c>
      <c r="C2891" s="7" t="str">
        <f t="shared" si="829"/>
        <v xml:space="preserve">SPREDY EMAQ SERIE </v>
      </c>
      <c r="D2891" s="8">
        <f t="shared" si="826"/>
        <v>46100</v>
      </c>
      <c r="E2891" s="15"/>
      <c r="F2891" s="15"/>
      <c r="G2891" s="15">
        <f t="shared" si="831"/>
        <v>0</v>
      </c>
      <c r="H2891" s="74" t="s">
        <v>233</v>
      </c>
      <c r="I2891" s="10">
        <f t="shared" si="830"/>
        <v>166.66666666666666</v>
      </c>
      <c r="J2891" s="16" t="s">
        <v>16</v>
      </c>
      <c r="K2891" s="15"/>
      <c r="L2891" s="15"/>
      <c r="M2891" s="16"/>
      <c r="N2891" s="8"/>
      <c r="O2891" s="18">
        <f t="shared" si="832"/>
        <v>0</v>
      </c>
      <c r="P2891" s="9"/>
      <c r="Q2891" s="9"/>
      <c r="R2891" s="9"/>
      <c r="S2891" s="10">
        <f t="shared" si="833"/>
        <v>166.66666666666666</v>
      </c>
    </row>
    <row r="2892" spans="2:19" outlineLevel="1">
      <c r="B2892" s="13" t="s">
        <v>245</v>
      </c>
      <c r="C2892" s="7" t="str">
        <f t="shared" si="829"/>
        <v xml:space="preserve">SPREDY EMAQ SERIE </v>
      </c>
      <c r="D2892" s="8">
        <f t="shared" si="826"/>
        <v>46101</v>
      </c>
      <c r="E2892" s="15"/>
      <c r="F2892" s="15"/>
      <c r="G2892" s="15">
        <f t="shared" si="831"/>
        <v>0</v>
      </c>
      <c r="H2892" s="74" t="s">
        <v>233</v>
      </c>
      <c r="I2892" s="10">
        <f t="shared" si="830"/>
        <v>166.66666666666666</v>
      </c>
      <c r="J2892" s="16" t="s">
        <v>16</v>
      </c>
      <c r="K2892" s="15"/>
      <c r="L2892" s="15"/>
      <c r="M2892" s="16"/>
      <c r="N2892" s="8"/>
      <c r="O2892" s="18">
        <f t="shared" si="832"/>
        <v>0</v>
      </c>
      <c r="P2892" s="9"/>
      <c r="Q2892" s="9"/>
      <c r="R2892" s="9"/>
      <c r="S2892" s="10">
        <f t="shared" si="833"/>
        <v>166.66666666666666</v>
      </c>
    </row>
    <row r="2893" spans="2:19" outlineLevel="1">
      <c r="B2893" s="13" t="s">
        <v>245</v>
      </c>
      <c r="C2893" s="7" t="str">
        <f t="shared" si="829"/>
        <v xml:space="preserve">SPREDY EMAQ SERIE </v>
      </c>
      <c r="D2893" s="8">
        <f t="shared" si="826"/>
        <v>46102</v>
      </c>
      <c r="E2893" s="15"/>
      <c r="F2893" s="15"/>
      <c r="G2893" s="15">
        <f t="shared" si="831"/>
        <v>0</v>
      </c>
      <c r="H2893" s="74" t="s">
        <v>233</v>
      </c>
      <c r="I2893" s="10">
        <f t="shared" si="830"/>
        <v>166.66666666666666</v>
      </c>
      <c r="J2893" s="16" t="s">
        <v>16</v>
      </c>
      <c r="K2893" s="15"/>
      <c r="L2893" s="15"/>
      <c r="M2893" s="16"/>
      <c r="N2893" s="8"/>
      <c r="O2893" s="18">
        <f t="shared" si="832"/>
        <v>0</v>
      </c>
      <c r="P2893" s="9"/>
      <c r="Q2893" s="9"/>
      <c r="R2893" s="9"/>
      <c r="S2893" s="10">
        <f t="shared" si="833"/>
        <v>166.66666666666666</v>
      </c>
    </row>
    <row r="2894" spans="2:19" outlineLevel="1">
      <c r="B2894" s="13" t="s">
        <v>245</v>
      </c>
      <c r="C2894" s="7" t="str">
        <f t="shared" si="829"/>
        <v xml:space="preserve">SPREDY EMAQ SERIE </v>
      </c>
      <c r="D2894" s="8">
        <f t="shared" si="826"/>
        <v>46103</v>
      </c>
      <c r="E2894" s="15"/>
      <c r="F2894" s="15"/>
      <c r="G2894" s="15">
        <f t="shared" si="831"/>
        <v>0</v>
      </c>
      <c r="H2894" s="74" t="s">
        <v>233</v>
      </c>
      <c r="I2894" s="10">
        <f t="shared" si="830"/>
        <v>166.66666666666666</v>
      </c>
      <c r="J2894" s="16" t="s">
        <v>16</v>
      </c>
      <c r="K2894" s="15"/>
      <c r="L2894" s="15"/>
      <c r="M2894" s="16"/>
      <c r="N2894" s="8"/>
      <c r="O2894" s="18">
        <f t="shared" si="832"/>
        <v>0</v>
      </c>
      <c r="P2894" s="9"/>
      <c r="Q2894" s="9"/>
      <c r="R2894" s="9"/>
      <c r="S2894" s="10">
        <f t="shared" si="833"/>
        <v>166.66666666666666</v>
      </c>
    </row>
    <row r="2895" spans="2:19" outlineLevel="1">
      <c r="B2895" s="13" t="s">
        <v>245</v>
      </c>
      <c r="C2895" s="7" t="str">
        <f t="shared" si="829"/>
        <v xml:space="preserve">SPREDY EMAQ SERIE </v>
      </c>
      <c r="D2895" s="8">
        <f t="shared" si="826"/>
        <v>46104</v>
      </c>
      <c r="E2895" s="15"/>
      <c r="F2895" s="15"/>
      <c r="G2895" s="15">
        <f t="shared" si="831"/>
        <v>0</v>
      </c>
      <c r="H2895" s="74" t="s">
        <v>233</v>
      </c>
      <c r="I2895" s="10">
        <f t="shared" si="830"/>
        <v>166.66666666666666</v>
      </c>
      <c r="J2895" s="16" t="s">
        <v>16</v>
      </c>
      <c r="K2895" s="15"/>
      <c r="L2895" s="15"/>
      <c r="M2895" s="16"/>
      <c r="N2895" s="8"/>
      <c r="O2895" s="18">
        <f t="shared" si="832"/>
        <v>0</v>
      </c>
      <c r="P2895" s="9"/>
      <c r="Q2895" s="9"/>
      <c r="R2895" s="9"/>
      <c r="S2895" s="10">
        <f t="shared" si="833"/>
        <v>166.66666666666666</v>
      </c>
    </row>
    <row r="2896" spans="2:19" outlineLevel="1">
      <c r="B2896" s="13" t="s">
        <v>245</v>
      </c>
      <c r="C2896" s="7" t="str">
        <f t="shared" si="829"/>
        <v xml:space="preserve">SPREDY EMAQ SERIE </v>
      </c>
      <c r="D2896" s="8">
        <f t="shared" si="826"/>
        <v>46105</v>
      </c>
      <c r="E2896" s="15"/>
      <c r="F2896" s="15"/>
      <c r="G2896" s="15">
        <f t="shared" si="831"/>
        <v>0</v>
      </c>
      <c r="H2896" s="74" t="s">
        <v>233</v>
      </c>
      <c r="I2896" s="10">
        <f t="shared" si="830"/>
        <v>166.66666666666666</v>
      </c>
      <c r="J2896" s="16" t="s">
        <v>16</v>
      </c>
      <c r="K2896" s="15"/>
      <c r="L2896" s="15"/>
      <c r="M2896" s="16"/>
      <c r="N2896" s="8"/>
      <c r="O2896" s="18">
        <f t="shared" si="832"/>
        <v>0</v>
      </c>
      <c r="P2896" s="9"/>
      <c r="Q2896" s="9"/>
      <c r="R2896" s="9"/>
      <c r="S2896" s="10">
        <f t="shared" si="833"/>
        <v>166.66666666666666</v>
      </c>
    </row>
    <row r="2897" spans="2:19" outlineLevel="1">
      <c r="B2897" s="13" t="s">
        <v>245</v>
      </c>
      <c r="C2897" s="7" t="str">
        <f t="shared" si="829"/>
        <v xml:space="preserve">SPREDY EMAQ SERIE </v>
      </c>
      <c r="D2897" s="8">
        <f t="shared" si="826"/>
        <v>46106</v>
      </c>
      <c r="E2897" s="15"/>
      <c r="F2897" s="15"/>
      <c r="G2897" s="15">
        <f t="shared" si="831"/>
        <v>0</v>
      </c>
      <c r="H2897" s="74" t="s">
        <v>233</v>
      </c>
      <c r="I2897" s="10">
        <f t="shared" si="830"/>
        <v>166.66666666666666</v>
      </c>
      <c r="J2897" s="16" t="s">
        <v>16</v>
      </c>
      <c r="K2897" s="15"/>
      <c r="L2897" s="15"/>
      <c r="M2897" s="16"/>
      <c r="N2897" s="8"/>
      <c r="O2897" s="18">
        <f t="shared" si="832"/>
        <v>0</v>
      </c>
      <c r="P2897" s="9"/>
      <c r="Q2897" s="9"/>
      <c r="R2897" s="9"/>
      <c r="S2897" s="10">
        <f t="shared" si="833"/>
        <v>166.66666666666666</v>
      </c>
    </row>
    <row r="2898" spans="2:19" outlineLevel="1">
      <c r="B2898" s="13" t="s">
        <v>245</v>
      </c>
      <c r="C2898" s="7" t="str">
        <f t="shared" si="829"/>
        <v xml:space="preserve">SPREDY EMAQ SERIE </v>
      </c>
      <c r="D2898" s="8">
        <f t="shared" si="826"/>
        <v>46107</v>
      </c>
      <c r="E2898" s="15"/>
      <c r="F2898" s="15"/>
      <c r="G2898" s="15">
        <f t="shared" si="831"/>
        <v>0</v>
      </c>
      <c r="H2898" s="74" t="s">
        <v>233</v>
      </c>
      <c r="I2898" s="10">
        <f t="shared" si="830"/>
        <v>166.66666666666666</v>
      </c>
      <c r="J2898" s="16" t="s">
        <v>16</v>
      </c>
      <c r="K2898" s="15"/>
      <c r="L2898" s="15"/>
      <c r="M2898" s="16"/>
      <c r="N2898" s="8"/>
      <c r="O2898" s="18">
        <f t="shared" si="832"/>
        <v>0</v>
      </c>
      <c r="P2898" s="9"/>
      <c r="Q2898" s="9"/>
      <c r="R2898" s="9"/>
      <c r="S2898" s="10">
        <f t="shared" si="833"/>
        <v>166.66666666666666</v>
      </c>
    </row>
    <row r="2899" spans="2:19" outlineLevel="1">
      <c r="B2899" s="13" t="s">
        <v>245</v>
      </c>
      <c r="C2899" s="7" t="str">
        <f t="shared" si="829"/>
        <v xml:space="preserve">SPREDY EMAQ SERIE </v>
      </c>
      <c r="D2899" s="8">
        <f t="shared" si="826"/>
        <v>46108</v>
      </c>
      <c r="E2899" s="15"/>
      <c r="F2899" s="15"/>
      <c r="G2899" s="15">
        <f t="shared" si="831"/>
        <v>0</v>
      </c>
      <c r="H2899" s="74" t="s">
        <v>233</v>
      </c>
      <c r="I2899" s="10">
        <f t="shared" si="830"/>
        <v>166.66666666666666</v>
      </c>
      <c r="J2899" s="16" t="s">
        <v>16</v>
      </c>
      <c r="K2899" s="15"/>
      <c r="L2899" s="15"/>
      <c r="M2899" s="16"/>
      <c r="N2899" s="8"/>
      <c r="O2899" s="18">
        <f t="shared" si="832"/>
        <v>0</v>
      </c>
      <c r="P2899" s="9"/>
      <c r="Q2899" s="9"/>
      <c r="R2899" s="9"/>
      <c r="S2899" s="10">
        <f t="shared" si="833"/>
        <v>166.66666666666666</v>
      </c>
    </row>
    <row r="2900" spans="2:19" outlineLevel="1">
      <c r="B2900" s="13" t="s">
        <v>245</v>
      </c>
      <c r="C2900" s="7" t="str">
        <f t="shared" si="829"/>
        <v xml:space="preserve">SPREDY EMAQ SERIE </v>
      </c>
      <c r="D2900" s="8">
        <f t="shared" ref="D2900" si="834">D2798</f>
        <v>46109</v>
      </c>
      <c r="E2900" s="15"/>
      <c r="F2900" s="15"/>
      <c r="G2900" s="15">
        <f t="shared" ref="G2900:G2902" si="835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6">SUM(R2900+Q2900+I2900)</f>
        <v>166.66666666666666</v>
      </c>
    </row>
    <row r="2901" spans="2:19" outlineLevel="1">
      <c r="B2901" s="13" t="s">
        <v>245</v>
      </c>
      <c r="C2901" s="7" t="str">
        <f t="shared" si="829"/>
        <v xml:space="preserve">SPREDY EMAQ SERIE </v>
      </c>
      <c r="D2901" s="8">
        <f t="shared" ref="D2901:D2903" si="837">D2799</f>
        <v>46110</v>
      </c>
      <c r="E2901" s="15"/>
      <c r="F2901" s="15"/>
      <c r="G2901" s="15">
        <f t="shared" si="835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6"/>
        <v>166.66666666666666</v>
      </c>
    </row>
    <row r="2902" spans="2:19" outlineLevel="1">
      <c r="B2902" s="13" t="s">
        <v>245</v>
      </c>
      <c r="C2902" s="7" t="str">
        <f t="shared" si="829"/>
        <v xml:space="preserve">SPREDY EMAQ SERIE </v>
      </c>
      <c r="D2902" s="8">
        <f t="shared" si="837"/>
        <v>46111</v>
      </c>
      <c r="E2902" s="15"/>
      <c r="F2902" s="15"/>
      <c r="G2902" s="15">
        <f t="shared" si="835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6"/>
        <v>166.66666666666666</v>
      </c>
    </row>
    <row r="2903" spans="2:19" outlineLevel="1">
      <c r="B2903" s="13" t="s">
        <v>245</v>
      </c>
      <c r="C2903" s="7" t="str">
        <f t="shared" si="829"/>
        <v xml:space="preserve">SPREDY EMAQ SERIE </v>
      </c>
      <c r="D2903" s="8">
        <f t="shared" si="837"/>
        <v>46112</v>
      </c>
      <c r="E2903" s="15"/>
      <c r="F2903" s="15"/>
      <c r="G2903" s="15">
        <f t="shared" si="831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3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8">D2805</f>
        <v>46082</v>
      </c>
      <c r="E2907" s="15">
        <v>0</v>
      </c>
      <c r="F2907" s="15"/>
      <c r="G2907" s="15">
        <f t="shared" ref="G2907:G2913" si="839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0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8"/>
        <v>46083</v>
      </c>
      <c r="E2908" s="15">
        <v>121</v>
      </c>
      <c r="F2908" s="15">
        <v>127</v>
      </c>
      <c r="G2908" s="15">
        <f t="shared" si="839"/>
        <v>6</v>
      </c>
      <c r="H2908" s="74" t="s">
        <v>358</v>
      </c>
      <c r="I2908" s="10">
        <f t="shared" ref="I2908:I2937" si="841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2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8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358</v>
      </c>
      <c r="I2909" s="10">
        <f t="shared" si="841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3">O2909/31</f>
        <v>0</v>
      </c>
      <c r="Q2909" s="9"/>
      <c r="R2909" s="9"/>
      <c r="S2909" s="10">
        <f t="shared" si="842"/>
        <v>0</v>
      </c>
    </row>
    <row r="2910" spans="2:19" outlineLevel="1">
      <c r="B2910" s="13" t="s">
        <v>340</v>
      </c>
      <c r="C2910" s="7" t="s">
        <v>286</v>
      </c>
      <c r="D2910" s="8">
        <f t="shared" si="838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358</v>
      </c>
      <c r="I2910" s="10">
        <f t="shared" si="841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3"/>
        <v>0</v>
      </c>
      <c r="Q2910" s="9"/>
      <c r="R2910" s="9"/>
      <c r="S2910" s="10">
        <f t="shared" si="842"/>
        <v>0</v>
      </c>
    </row>
    <row r="2911" spans="2:19" outlineLevel="1">
      <c r="B2911" s="13" t="s">
        <v>340</v>
      </c>
      <c r="C2911" s="7" t="s">
        <v>286</v>
      </c>
      <c r="D2911" s="8">
        <f t="shared" si="838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358</v>
      </c>
      <c r="I2911" s="10">
        <f t="shared" si="841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3"/>
        <v>0</v>
      </c>
      <c r="Q2911" s="9"/>
      <c r="R2911" s="9"/>
      <c r="S2911" s="10">
        <f t="shared" si="842"/>
        <v>0</v>
      </c>
    </row>
    <row r="2912" spans="2:19" outlineLevel="1">
      <c r="B2912" s="13" t="s">
        <v>340</v>
      </c>
      <c r="C2912" s="7" t="s">
        <v>286</v>
      </c>
      <c r="D2912" s="8">
        <f t="shared" si="838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358</v>
      </c>
      <c r="I2912" s="10">
        <f t="shared" si="841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3"/>
        <v>0</v>
      </c>
      <c r="Q2912" s="9"/>
      <c r="R2912" s="9"/>
      <c r="S2912" s="10">
        <f t="shared" si="842"/>
        <v>0</v>
      </c>
    </row>
    <row r="2913" spans="2:19" outlineLevel="1">
      <c r="B2913" s="13" t="s">
        <v>340</v>
      </c>
      <c r="C2913" s="7" t="s">
        <v>286</v>
      </c>
      <c r="D2913" s="8">
        <f t="shared" si="838"/>
        <v>46088</v>
      </c>
      <c r="E2913" s="15"/>
      <c r="F2913" s="15"/>
      <c r="G2913" s="15">
        <f t="shared" si="839"/>
        <v>0</v>
      </c>
      <c r="H2913" s="74" t="s">
        <v>358</v>
      </c>
      <c r="I2913" s="10">
        <f t="shared" si="841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3"/>
        <v>0</v>
      </c>
      <c r="Q2913" s="9"/>
      <c r="R2913" s="9"/>
      <c r="S2913" s="10">
        <f t="shared" si="842"/>
        <v>0</v>
      </c>
    </row>
    <row r="2914" spans="2:19" outlineLevel="1">
      <c r="B2914" s="13" t="s">
        <v>340</v>
      </c>
      <c r="C2914" s="7" t="s">
        <v>286</v>
      </c>
      <c r="D2914" s="8">
        <f t="shared" si="838"/>
        <v>46089</v>
      </c>
      <c r="E2914" s="15"/>
      <c r="F2914" s="15"/>
      <c r="G2914" s="15"/>
      <c r="H2914" s="74" t="s">
        <v>358</v>
      </c>
      <c r="I2914" s="10">
        <f t="shared" si="841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3"/>
        <v>0</v>
      </c>
      <c r="Q2914" s="9"/>
      <c r="R2914" s="9"/>
      <c r="S2914" s="10">
        <f t="shared" si="842"/>
        <v>0</v>
      </c>
    </row>
    <row r="2915" spans="2:19" outlineLevel="1">
      <c r="B2915" s="13" t="s">
        <v>340</v>
      </c>
      <c r="C2915" s="7" t="s">
        <v>286</v>
      </c>
      <c r="D2915" s="8">
        <f t="shared" si="838"/>
        <v>46090</v>
      </c>
      <c r="E2915" s="15"/>
      <c r="F2915" s="15"/>
      <c r="G2915" s="15"/>
      <c r="H2915" s="74" t="s">
        <v>358</v>
      </c>
      <c r="I2915" s="10">
        <f t="shared" si="841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3"/>
        <v>0</v>
      </c>
      <c r="Q2915" s="9"/>
      <c r="R2915" s="9"/>
      <c r="S2915" s="10">
        <f t="shared" si="842"/>
        <v>0</v>
      </c>
    </row>
    <row r="2916" spans="2:19" outlineLevel="1">
      <c r="B2916" s="13" t="s">
        <v>340</v>
      </c>
      <c r="C2916" s="7" t="s">
        <v>286</v>
      </c>
      <c r="D2916" s="8">
        <f t="shared" si="838"/>
        <v>46091</v>
      </c>
      <c r="E2916" s="15"/>
      <c r="F2916" s="15"/>
      <c r="G2916" s="15"/>
      <c r="H2916" s="74" t="s">
        <v>358</v>
      </c>
      <c r="I2916" s="10">
        <f t="shared" si="841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3"/>
        <v>0</v>
      </c>
      <c r="Q2916" s="9"/>
      <c r="R2916" s="9"/>
      <c r="S2916" s="10">
        <f t="shared" si="842"/>
        <v>0</v>
      </c>
    </row>
    <row r="2917" spans="2:19" outlineLevel="1">
      <c r="B2917" s="13" t="s">
        <v>340</v>
      </c>
      <c r="C2917" s="7" t="s">
        <v>286</v>
      </c>
      <c r="D2917" s="8">
        <f t="shared" si="838"/>
        <v>46092</v>
      </c>
      <c r="E2917" s="15"/>
      <c r="F2917" s="15"/>
      <c r="G2917" s="15"/>
      <c r="H2917" s="74" t="s">
        <v>358</v>
      </c>
      <c r="I2917" s="10">
        <f t="shared" si="841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3"/>
        <v>0</v>
      </c>
      <c r="Q2917" s="9"/>
      <c r="R2917" s="9"/>
      <c r="S2917" s="10">
        <f t="shared" si="842"/>
        <v>0</v>
      </c>
    </row>
    <row r="2918" spans="2:19" outlineLevel="1">
      <c r="B2918" s="13" t="s">
        <v>340</v>
      </c>
      <c r="C2918" s="7" t="s">
        <v>286</v>
      </c>
      <c r="D2918" s="8">
        <f t="shared" si="838"/>
        <v>46093</v>
      </c>
      <c r="E2918" s="15"/>
      <c r="F2918" s="15"/>
      <c r="G2918" s="15"/>
      <c r="H2918" s="74" t="s">
        <v>358</v>
      </c>
      <c r="I2918" s="10">
        <f t="shared" si="841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3"/>
        <v>0</v>
      </c>
      <c r="Q2918" s="9"/>
      <c r="R2918" s="9"/>
      <c r="S2918" s="10">
        <f t="shared" si="842"/>
        <v>0</v>
      </c>
    </row>
    <row r="2919" spans="2:19" outlineLevel="1">
      <c r="B2919" s="13" t="s">
        <v>340</v>
      </c>
      <c r="C2919" s="7" t="s">
        <v>286</v>
      </c>
      <c r="D2919" s="8">
        <f t="shared" si="838"/>
        <v>46094</v>
      </c>
      <c r="E2919" s="15"/>
      <c r="F2919" s="15"/>
      <c r="G2919" s="15"/>
      <c r="H2919" s="74" t="s">
        <v>358</v>
      </c>
      <c r="I2919" s="10">
        <f t="shared" si="841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3"/>
        <v>0</v>
      </c>
      <c r="Q2919" s="9"/>
      <c r="R2919" s="9"/>
      <c r="S2919" s="10">
        <f t="shared" si="842"/>
        <v>0</v>
      </c>
    </row>
    <row r="2920" spans="2:19" outlineLevel="1">
      <c r="B2920" s="13" t="s">
        <v>340</v>
      </c>
      <c r="C2920" s="7" t="s">
        <v>286</v>
      </c>
      <c r="D2920" s="8">
        <f t="shared" si="838"/>
        <v>46095</v>
      </c>
      <c r="E2920" s="15"/>
      <c r="F2920" s="15"/>
      <c r="G2920" s="15"/>
      <c r="H2920" s="74" t="s">
        <v>358</v>
      </c>
      <c r="I2920" s="10">
        <f t="shared" si="841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3"/>
        <v>0</v>
      </c>
      <c r="Q2920" s="9"/>
      <c r="R2920" s="9"/>
      <c r="S2920" s="10">
        <f t="shared" si="842"/>
        <v>0</v>
      </c>
    </row>
    <row r="2921" spans="2:19" outlineLevel="1">
      <c r="B2921" s="13" t="s">
        <v>340</v>
      </c>
      <c r="C2921" s="7" t="s">
        <v>286</v>
      </c>
      <c r="D2921" s="8">
        <f t="shared" si="838"/>
        <v>46096</v>
      </c>
      <c r="E2921" s="15"/>
      <c r="F2921" s="15"/>
      <c r="G2921" s="15"/>
      <c r="H2921" s="74" t="s">
        <v>358</v>
      </c>
      <c r="I2921" s="10">
        <f t="shared" si="841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3"/>
        <v>0</v>
      </c>
      <c r="Q2921" s="9"/>
      <c r="R2921" s="9"/>
      <c r="S2921" s="10">
        <f t="shared" si="842"/>
        <v>0</v>
      </c>
    </row>
    <row r="2922" spans="2:19" outlineLevel="1">
      <c r="B2922" s="13" t="s">
        <v>340</v>
      </c>
      <c r="C2922" s="7" t="s">
        <v>286</v>
      </c>
      <c r="D2922" s="8">
        <f t="shared" si="838"/>
        <v>46097</v>
      </c>
      <c r="E2922" s="15"/>
      <c r="F2922" s="15"/>
      <c r="G2922" s="15"/>
      <c r="H2922" s="74" t="s">
        <v>358</v>
      </c>
      <c r="I2922" s="10">
        <f t="shared" si="841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3"/>
        <v>0</v>
      </c>
      <c r="Q2922" s="9"/>
      <c r="R2922" s="9"/>
      <c r="S2922" s="10">
        <f t="shared" si="842"/>
        <v>0</v>
      </c>
    </row>
    <row r="2923" spans="2:19" outlineLevel="1">
      <c r="B2923" s="13" t="s">
        <v>340</v>
      </c>
      <c r="C2923" s="7" t="s">
        <v>286</v>
      </c>
      <c r="D2923" s="8">
        <f t="shared" si="838"/>
        <v>46098</v>
      </c>
      <c r="E2923" s="15"/>
      <c r="F2923" s="15"/>
      <c r="G2923" s="15"/>
      <c r="H2923" s="74" t="s">
        <v>358</v>
      </c>
      <c r="I2923" s="10">
        <f t="shared" si="841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3"/>
        <v>0</v>
      </c>
      <c r="Q2923" s="9"/>
      <c r="R2923" s="9"/>
      <c r="S2923" s="10">
        <f t="shared" si="842"/>
        <v>0</v>
      </c>
    </row>
    <row r="2924" spans="2:19" outlineLevel="1">
      <c r="B2924" s="13" t="s">
        <v>340</v>
      </c>
      <c r="C2924" s="7" t="s">
        <v>286</v>
      </c>
      <c r="D2924" s="8">
        <f t="shared" si="838"/>
        <v>46099</v>
      </c>
      <c r="E2924" s="15"/>
      <c r="F2924" s="15"/>
      <c r="G2924" s="15"/>
      <c r="H2924" s="74" t="s">
        <v>358</v>
      </c>
      <c r="I2924" s="10">
        <f t="shared" si="841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3"/>
        <v>0</v>
      </c>
      <c r="Q2924" s="9"/>
      <c r="R2924" s="9"/>
      <c r="S2924" s="10">
        <f t="shared" si="842"/>
        <v>0</v>
      </c>
    </row>
    <row r="2925" spans="2:19" outlineLevel="1">
      <c r="B2925" s="13" t="s">
        <v>340</v>
      </c>
      <c r="C2925" s="7" t="s">
        <v>286</v>
      </c>
      <c r="D2925" s="8">
        <f t="shared" si="838"/>
        <v>46100</v>
      </c>
      <c r="E2925" s="15"/>
      <c r="F2925" s="15"/>
      <c r="G2925" s="15"/>
      <c r="H2925" s="74" t="s">
        <v>358</v>
      </c>
      <c r="I2925" s="10">
        <f t="shared" si="841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3"/>
        <v>0</v>
      </c>
      <c r="Q2925" s="9"/>
      <c r="R2925" s="9"/>
      <c r="S2925" s="10">
        <f t="shared" si="842"/>
        <v>0</v>
      </c>
    </row>
    <row r="2926" spans="2:19" outlineLevel="1">
      <c r="B2926" s="13" t="s">
        <v>340</v>
      </c>
      <c r="C2926" s="7" t="s">
        <v>286</v>
      </c>
      <c r="D2926" s="8">
        <f t="shared" si="838"/>
        <v>46101</v>
      </c>
      <c r="E2926" s="15"/>
      <c r="F2926" s="15"/>
      <c r="G2926" s="15"/>
      <c r="H2926" s="74" t="s">
        <v>358</v>
      </c>
      <c r="I2926" s="10">
        <f t="shared" si="841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3"/>
        <v>0</v>
      </c>
      <c r="Q2926" s="9"/>
      <c r="R2926" s="9"/>
      <c r="S2926" s="10">
        <f t="shared" si="842"/>
        <v>0</v>
      </c>
    </row>
    <row r="2927" spans="2:19" outlineLevel="1">
      <c r="B2927" s="13" t="s">
        <v>340</v>
      </c>
      <c r="C2927" s="7" t="s">
        <v>286</v>
      </c>
      <c r="D2927" s="8">
        <f t="shared" si="838"/>
        <v>46102</v>
      </c>
      <c r="E2927" s="15"/>
      <c r="F2927" s="15"/>
      <c r="G2927" s="15"/>
      <c r="H2927" s="74" t="s">
        <v>358</v>
      </c>
      <c r="I2927" s="10">
        <f t="shared" si="841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3"/>
        <v>0</v>
      </c>
      <c r="Q2927" s="9"/>
      <c r="R2927" s="9"/>
      <c r="S2927" s="10">
        <f t="shared" si="842"/>
        <v>0</v>
      </c>
    </row>
    <row r="2928" spans="2:19" outlineLevel="1">
      <c r="B2928" s="13" t="s">
        <v>340</v>
      </c>
      <c r="C2928" s="7" t="s">
        <v>286</v>
      </c>
      <c r="D2928" s="8">
        <f t="shared" si="838"/>
        <v>46103</v>
      </c>
      <c r="E2928" s="15"/>
      <c r="F2928" s="15"/>
      <c r="G2928" s="15"/>
      <c r="H2928" s="74" t="s">
        <v>358</v>
      </c>
      <c r="I2928" s="10">
        <f t="shared" si="841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3"/>
        <v>0</v>
      </c>
      <c r="Q2928" s="9"/>
      <c r="R2928" s="9"/>
      <c r="S2928" s="10">
        <f t="shared" si="842"/>
        <v>0</v>
      </c>
    </row>
    <row r="2929" spans="2:19" outlineLevel="1">
      <c r="B2929" s="13" t="s">
        <v>340</v>
      </c>
      <c r="C2929" s="7" t="s">
        <v>286</v>
      </c>
      <c r="D2929" s="8">
        <f t="shared" si="838"/>
        <v>46104</v>
      </c>
      <c r="E2929" s="15"/>
      <c r="F2929" s="15"/>
      <c r="G2929" s="15"/>
      <c r="H2929" s="74" t="s">
        <v>358</v>
      </c>
      <c r="I2929" s="10">
        <f t="shared" si="841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3"/>
        <v>0</v>
      </c>
      <c r="Q2929" s="9"/>
      <c r="R2929" s="9"/>
      <c r="S2929" s="10">
        <f t="shared" si="842"/>
        <v>0</v>
      </c>
    </row>
    <row r="2930" spans="2:19" outlineLevel="1">
      <c r="B2930" s="13" t="s">
        <v>340</v>
      </c>
      <c r="C2930" s="7" t="s">
        <v>286</v>
      </c>
      <c r="D2930" s="8">
        <f t="shared" si="838"/>
        <v>46105</v>
      </c>
      <c r="E2930" s="15"/>
      <c r="F2930" s="15"/>
      <c r="G2930" s="15"/>
      <c r="H2930" s="74" t="s">
        <v>358</v>
      </c>
      <c r="I2930" s="10">
        <f t="shared" si="841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3"/>
        <v>0</v>
      </c>
      <c r="Q2930" s="9"/>
      <c r="R2930" s="9"/>
      <c r="S2930" s="10">
        <f t="shared" si="842"/>
        <v>0</v>
      </c>
    </row>
    <row r="2931" spans="2:19" outlineLevel="1">
      <c r="B2931" s="13" t="s">
        <v>340</v>
      </c>
      <c r="C2931" s="7" t="s">
        <v>286</v>
      </c>
      <c r="D2931" s="8">
        <f t="shared" si="838"/>
        <v>46106</v>
      </c>
      <c r="E2931" s="15"/>
      <c r="F2931" s="15"/>
      <c r="G2931" s="15"/>
      <c r="H2931" s="74" t="s">
        <v>358</v>
      </c>
      <c r="I2931" s="10">
        <f t="shared" si="841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3"/>
        <v>0</v>
      </c>
      <c r="Q2931" s="9"/>
      <c r="R2931" s="9"/>
      <c r="S2931" s="10">
        <f t="shared" si="842"/>
        <v>0</v>
      </c>
    </row>
    <row r="2932" spans="2:19" outlineLevel="1">
      <c r="B2932" s="13" t="s">
        <v>340</v>
      </c>
      <c r="C2932" s="7" t="s">
        <v>286</v>
      </c>
      <c r="D2932" s="8">
        <f t="shared" si="838"/>
        <v>46107</v>
      </c>
      <c r="E2932" s="15"/>
      <c r="F2932" s="15"/>
      <c r="G2932" s="15"/>
      <c r="H2932" s="74" t="s">
        <v>358</v>
      </c>
      <c r="I2932" s="10">
        <f t="shared" si="841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3"/>
        <v>0</v>
      </c>
      <c r="Q2932" s="9"/>
      <c r="R2932" s="9"/>
      <c r="S2932" s="10">
        <f t="shared" si="842"/>
        <v>0</v>
      </c>
    </row>
    <row r="2933" spans="2:19" outlineLevel="1">
      <c r="B2933" s="13" t="s">
        <v>340</v>
      </c>
      <c r="C2933" s="7" t="s">
        <v>286</v>
      </c>
      <c r="D2933" s="8">
        <f t="shared" si="838"/>
        <v>46108</v>
      </c>
      <c r="E2933" s="15"/>
      <c r="F2933" s="15"/>
      <c r="G2933" s="15"/>
      <c r="H2933" s="74" t="s">
        <v>358</v>
      </c>
      <c r="I2933" s="10">
        <f t="shared" si="841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3"/>
        <v>0</v>
      </c>
      <c r="Q2933" s="9"/>
      <c r="R2933" s="9"/>
      <c r="S2933" s="10">
        <f t="shared" si="842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4">D2832</f>
        <v>46109</v>
      </c>
      <c r="E2934" s="15"/>
      <c r="F2934" s="15"/>
      <c r="G2934" s="15"/>
      <c r="H2934" s="74" t="s">
        <v>358</v>
      </c>
      <c r="I2934" s="10">
        <f t="shared" si="841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3"/>
        <v>0</v>
      </c>
      <c r="Q2934" s="9"/>
      <c r="R2934" s="9"/>
      <c r="S2934" s="10">
        <f t="shared" si="842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5">D2833</f>
        <v>46110</v>
      </c>
      <c r="E2935" s="15"/>
      <c r="F2935" s="15"/>
      <c r="G2935" s="15"/>
      <c r="H2935" s="74" t="s">
        <v>358</v>
      </c>
      <c r="I2935" s="10">
        <f t="shared" si="841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3"/>
        <v>0</v>
      </c>
      <c r="Q2935" s="9"/>
      <c r="R2935" s="9"/>
      <c r="S2935" s="10">
        <f t="shared" si="842"/>
        <v>0</v>
      </c>
    </row>
    <row r="2936" spans="2:19" outlineLevel="1">
      <c r="B2936" s="13" t="s">
        <v>340</v>
      </c>
      <c r="C2936" s="7" t="s">
        <v>286</v>
      </c>
      <c r="D2936" s="8">
        <f t="shared" si="845"/>
        <v>46111</v>
      </c>
      <c r="E2936" s="15"/>
      <c r="F2936" s="15"/>
      <c r="G2936" s="15"/>
      <c r="H2936" s="74" t="s">
        <v>358</v>
      </c>
      <c r="I2936" s="10">
        <f t="shared" si="841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3"/>
        <v>0</v>
      </c>
      <c r="Q2936" s="9"/>
      <c r="R2936" s="9"/>
      <c r="S2936" s="10">
        <f t="shared" si="842"/>
        <v>0</v>
      </c>
    </row>
    <row r="2937" spans="2:19" outlineLevel="1">
      <c r="B2937" s="13" t="s">
        <v>340</v>
      </c>
      <c r="C2937" s="7" t="s">
        <v>286</v>
      </c>
      <c r="D2937" s="8">
        <f t="shared" si="845"/>
        <v>46112</v>
      </c>
      <c r="E2937" s="15"/>
      <c r="F2937" s="15"/>
      <c r="G2937" s="15"/>
      <c r="H2937" s="74" t="s">
        <v>358</v>
      </c>
      <c r="I2937" s="10">
        <f t="shared" si="841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3"/>
        <v>0</v>
      </c>
      <c r="Q2937" s="9"/>
      <c r="R2937" s="9"/>
      <c r="S2937" s="10">
        <f t="shared" si="842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2026-03-09T11:01:03Z</dcterms:modified>
  <cp:category/>
  <cp:contentStatus/>
</cp:coreProperties>
</file>