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FE7D7DBD-5D6D-463D-9B7F-4931FF921937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27" i="62" l="1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7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<sst xmlns="http://schemas.openxmlformats.org/spreadsheetml/2006/main" count="10416" uniqueCount="362">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</sst>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799" zoomScale="70" zoomScaleNormal="70" workbookViewId="0">
      <selection activeCell="B1814" sqref="B1814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360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360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361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361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361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361</v>
      </c>
      <c r="I1725" s="10">
        <f t="shared" si="496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/>
      <c r="F1726" s="15"/>
      <c r="G1726" s="15">
        <f t="shared" si="497"/>
        <v>0</v>
      </c>
      <c r="H1726" s="16" t="s">
        <v>361</v>
      </c>
      <c r="I1726" s="10">
        <f t="shared" si="496"/>
        <v>464.51612903225805</v>
      </c>
      <c r="J1726" s="16" t="s">
        <v>16</v>
      </c>
      <c r="K1726" s="15"/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/>
      <c r="F1727" s="15"/>
      <c r="G1727" s="15">
        <f t="shared" si="497"/>
        <v>0</v>
      </c>
      <c r="H1727" s="16" t="s">
        <v>361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361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361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361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361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361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361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361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361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361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361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361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361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361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ref="G1826" si="531">F1826-E1826</f>
        <v>7.3000000000000114</v>
      </c>
      <c r="H1826" s="16" t="s">
        <v>360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/>
      <c r="H1828" s="16" t="s">
        <v>360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279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279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279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279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279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279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279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279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279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/>
      <c r="F1862" s="15"/>
      <c r="G1862" s="15">
        <f t="shared" si="541"/>
        <v>0</v>
      </c>
      <c r="H1862" s="16" t="s">
        <v>279</v>
      </c>
      <c r="I1862" s="10">
        <f t="shared" si="540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279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279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/>
      <c r="F1865" s="15"/>
      <c r="G1865" s="15">
        <f t="shared" si="541"/>
        <v>0</v>
      </c>
      <c r="H1865" s="16" t="s">
        <v>279</v>
      </c>
      <c r="I1865" s="10">
        <f t="shared" si="540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/>
      <c r="F1866" s="15"/>
      <c r="G1866" s="15">
        <f t="shared" si="541"/>
        <v>0</v>
      </c>
      <c r="H1866" s="16" t="s">
        <v>279</v>
      </c>
      <c r="I1866" s="10">
        <f t="shared" si="540"/>
        <v>903.22580645161293</v>
      </c>
      <c r="J1866" s="16" t="s">
        <v>16</v>
      </c>
      <c r="K1866" s="15"/>
      <c r="L1866" s="15"/>
      <c r="M1866" s="17"/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279</v>
      </c>
      <c r="I1867" s="10">
        <f t="shared" si="540"/>
        <v>903.22580645161293</v>
      </c>
      <c r="J1867" s="16" t="s">
        <v>16</v>
      </c>
      <c r="K1867" s="15"/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279</v>
      </c>
      <c r="I1868" s="10">
        <f t="shared" si="540"/>
        <v>903.22580645161293</v>
      </c>
      <c r="J1868" s="16"/>
      <c r="K1868" s="15"/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279</v>
      </c>
      <c r="I1869" s="10">
        <f t="shared" si="540"/>
        <v>903.22580645161293</v>
      </c>
      <c r="J1869" s="16"/>
      <c r="K1869" s="15"/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279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279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279</v>
      </c>
      <c r="I1872" s="10">
        <f t="shared" si="540"/>
        <v>903.22580645161293</v>
      </c>
      <c r="J1872" s="16"/>
      <c r="K1872" s="15"/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279</v>
      </c>
      <c r="I1873" s="10">
        <f t="shared" si="540"/>
        <v>903.22580645161293</v>
      </c>
      <c r="J1873" s="16"/>
      <c r="K1873" s="15"/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279</v>
      </c>
      <c r="I1874" s="10">
        <f t="shared" si="540"/>
        <v>903.22580645161293</v>
      </c>
      <c r="J1874" s="16"/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279</v>
      </c>
      <c r="I1875" s="10">
        <f t="shared" si="540"/>
        <v>903.22580645161293</v>
      </c>
      <c r="J1875" s="16"/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279</v>
      </c>
      <c r="I1876" s="10">
        <f t="shared" si="540"/>
        <v>903.22580645161293</v>
      </c>
      <c r="J1876" s="16"/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/>
      <c r="F1934" s="15"/>
      <c r="G1934" s="15">
        <f t="shared" si="558"/>
        <v>0</v>
      </c>
      <c r="H1934" s="16" t="s">
        <v>238</v>
      </c>
      <c r="I1934" s="10">
        <f t="shared" si="557"/>
        <v>464.51612903225805</v>
      </c>
      <c r="J1934" s="16" t="s">
        <v>16</v>
      </c>
      <c r="K1934" s="15"/>
      <c r="L1934" s="15"/>
      <c r="M1934" s="17"/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238</v>
      </c>
      <c r="I1935" s="10">
        <f t="shared" si="557"/>
        <v>464.51612903225805</v>
      </c>
      <c r="J1935" s="16" t="s">
        <v>16</v>
      </c>
      <c r="K1935" s="15"/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238</v>
      </c>
      <c r="I1936" s="10">
        <f t="shared" si="557"/>
        <v>464.51612903225805</v>
      </c>
      <c r="J1936" s="16" t="s">
        <v>16</v>
      </c>
      <c r="K1936" s="15"/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238</v>
      </c>
      <c r="I1937" s="10">
        <f t="shared" si="557"/>
        <v>464.51612903225805</v>
      </c>
      <c r="J1937" s="16" t="s">
        <v>16</v>
      </c>
      <c r="K1937" s="15"/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238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238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238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238</v>
      </c>
      <c r="I1941" s="10">
        <f t="shared" si="557"/>
        <v>464.51612903225805</v>
      </c>
      <c r="J1941" s="16"/>
      <c r="K1941" s="15"/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238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238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238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/>
      <c r="F2031" s="15"/>
      <c r="G2031" s="15">
        <f t="shared" si="586"/>
        <v>0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/>
      <c r="F2032" s="15"/>
      <c r="G2032" s="15">
        <f t="shared" si="586"/>
        <v>0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/>
      <c r="F2033" s="15"/>
      <c r="G2033" s="15">
        <f t="shared" si="586"/>
        <v>0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/>
      <c r="F2035" s="15"/>
      <c r="G2035" s="15">
        <f t="shared" si="586"/>
        <v>0</v>
      </c>
      <c r="H2035" s="16" t="s">
        <v>203</v>
      </c>
      <c r="I2035" s="10">
        <f t="shared" si="587"/>
        <v>464.51612903225805</v>
      </c>
      <c r="J2035" s="16" t="s">
        <v>16</v>
      </c>
      <c r="K2035" s="15"/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/>
      <c r="F2036" s="15"/>
      <c r="G2036" s="15">
        <f t="shared" si="586"/>
        <v>0</v>
      </c>
      <c r="H2036" s="16" t="s">
        <v>203</v>
      </c>
      <c r="I2036" s="10">
        <f t="shared" si="587"/>
        <v>464.51612903225805</v>
      </c>
      <c r="J2036" s="16" t="s">
        <v>16</v>
      </c>
      <c r="K2036" s="15"/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/>
      <c r="F2037" s="15"/>
      <c r="G2037" s="15">
        <f t="shared" si="586"/>
        <v>0</v>
      </c>
      <c r="H2037" s="16" t="s">
        <v>203</v>
      </c>
      <c r="I2037" s="10">
        <f t="shared" si="587"/>
        <v>464.51612903225805</v>
      </c>
      <c r="J2037" s="16" t="s">
        <v>16</v>
      </c>
      <c r="K2037" s="15"/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/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/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/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337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337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337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337</v>
      </c>
      <c r="I2059" s="10">
        <f t="shared" si="59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337</v>
      </c>
      <c r="I2060" s="10">
        <f t="shared" si="59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337</v>
      </c>
      <c r="I2061" s="10">
        <f t="shared" si="597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337</v>
      </c>
      <c r="I2062" s="10">
        <f t="shared" si="597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337</v>
      </c>
      <c r="I2063" s="10">
        <f t="shared" si="597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337</v>
      </c>
      <c r="I2064" s="10">
        <f t="shared" si="597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337</v>
      </c>
      <c r="I2065" s="10">
        <f t="shared" si="597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/>
      <c r="F2066" s="15"/>
      <c r="G2066" s="15">
        <f t="shared" si="596"/>
        <v>0</v>
      </c>
      <c r="H2066" s="16" t="s">
        <v>337</v>
      </c>
      <c r="I2066" s="10">
        <f t="shared" si="597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337</v>
      </c>
      <c r="I2067" s="10">
        <f t="shared" si="59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337</v>
      </c>
      <c r="I2068" s="10">
        <f t="shared" si="59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/>
      <c r="F2069" s="15"/>
      <c r="G2069" s="15">
        <f t="shared" si="596"/>
        <v>0</v>
      </c>
      <c r="H2069" s="16" t="s">
        <v>337</v>
      </c>
      <c r="I2069" s="10">
        <f t="shared" si="59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/>
      <c r="F2070" s="15"/>
      <c r="G2070" s="15">
        <f t="shared" si="596"/>
        <v>0</v>
      </c>
      <c r="H2070" s="16" t="s">
        <v>337</v>
      </c>
      <c r="I2070" s="10">
        <f t="shared" si="59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337</v>
      </c>
      <c r="I2071" s="10">
        <f t="shared" si="59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337</v>
      </c>
      <c r="I2072" s="10">
        <f t="shared" si="59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337</v>
      </c>
      <c r="I2073" s="10">
        <f t="shared" si="597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337</v>
      </c>
      <c r="I2074" s="10">
        <f t="shared" si="59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337</v>
      </c>
      <c r="I2075" s="10">
        <f t="shared" si="59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337</v>
      </c>
      <c r="I2076" s="10">
        <f t="shared" si="59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337</v>
      </c>
      <c r="I2077" s="10">
        <f t="shared" si="59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337</v>
      </c>
      <c r="I2078" s="10">
        <f t="shared" si="597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337</v>
      </c>
      <c r="I2079" s="10">
        <f t="shared" si="597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337</v>
      </c>
      <c r="I2080" s="10">
        <f t="shared" si="597"/>
        <v>903.22580645161293</v>
      </c>
      <c r="J2080" s="16" t="s">
        <v>16</v>
      </c>
      <c r="K2080" s="15"/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279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279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279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279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279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279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279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279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279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279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279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279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279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279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/>
      <c r="F2107" s="15"/>
      <c r="G2107" s="15">
        <f t="shared" si="604"/>
        <v>0</v>
      </c>
      <c r="H2107" s="16" t="s">
        <v>279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279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279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279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279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279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279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279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279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279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262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262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262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262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262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262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262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262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262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262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262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262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262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262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262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262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262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262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262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262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262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262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262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279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279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279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279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279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279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279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279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279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279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279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279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/>
      <c r="F2174" s="24"/>
      <c r="G2174" s="15">
        <f t="shared" si="623"/>
        <v>0</v>
      </c>
      <c r="H2174" s="16" t="s">
        <v>279</v>
      </c>
      <c r="I2174" s="10">
        <f t="shared" si="622"/>
        <v>464.51612903225805</v>
      </c>
      <c r="J2174" s="16" t="s">
        <v>16</v>
      </c>
      <c r="K2174" s="15"/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279</v>
      </c>
      <c r="I2175" s="10">
        <f t="shared" si="622"/>
        <v>464.51612903225805</v>
      </c>
      <c r="J2175" s="16" t="s">
        <v>16</v>
      </c>
      <c r="K2175" s="15"/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279</v>
      </c>
      <c r="I2176" s="10">
        <f t="shared" si="622"/>
        <v>464.51612903225805</v>
      </c>
      <c r="J2176" s="16" t="s">
        <v>16</v>
      </c>
      <c r="K2176" s="15"/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279</v>
      </c>
      <c r="I2177" s="10">
        <f t="shared" si="622"/>
        <v>464.51612903225805</v>
      </c>
      <c r="J2177" s="16" t="s">
        <v>16</v>
      </c>
      <c r="K2177" s="15"/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279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279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279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279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279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279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279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279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279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279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279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279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285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285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285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359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359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359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359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359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359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359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/>
      <c r="F2205" s="22"/>
      <c r="G2205" s="15">
        <f t="shared" si="629"/>
        <v>0</v>
      </c>
      <c r="H2205" s="16" t="s">
        <v>359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/>
      <c r="F2206" s="22"/>
      <c r="G2206" s="15">
        <f t="shared" si="629"/>
        <v>0</v>
      </c>
      <c r="H2206" s="16" t="s">
        <v>359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359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/>
      <c r="F2208" s="22"/>
      <c r="G2208" s="15">
        <f t="shared" si="629"/>
        <v>0</v>
      </c>
      <c r="H2208" s="16" t="s">
        <v>359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/>
      <c r="F2209" s="22"/>
      <c r="G2209" s="15">
        <f t="shared" si="629"/>
        <v>0</v>
      </c>
      <c r="H2209" s="16" t="s">
        <v>359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359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359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359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359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359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359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359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359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359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359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348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348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348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348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348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348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348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348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348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348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348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348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348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348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348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348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348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348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348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348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348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348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348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348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348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/>
      <c r="F2269" s="15"/>
      <c r="G2269" s="15">
        <f t="shared" si="646"/>
        <v>0</v>
      </c>
      <c r="H2269" s="16" t="s">
        <v>203</v>
      </c>
      <c r="I2269" s="10">
        <f t="shared" si="645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/>
      <c r="F2271" s="15"/>
      <c r="G2271" s="15">
        <f t="shared" si="646"/>
        <v>0</v>
      </c>
      <c r="H2271" s="16" t="s">
        <v>203</v>
      </c>
      <c r="I2271" s="10">
        <f t="shared" si="645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/>
      <c r="F2273" s="15"/>
      <c r="G2273" s="15">
        <f t="shared" si="646"/>
        <v>0</v>
      </c>
      <c r="H2273" s="16" t="s">
        <v>203</v>
      </c>
      <c r="I2273" s="10">
        <f t="shared" si="645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/>
      <c r="F2274" s="15"/>
      <c r="G2274" s="15">
        <f t="shared" si="646"/>
        <v>0</v>
      </c>
      <c r="H2274" s="16" t="s">
        <v>203</v>
      </c>
      <c r="I2274" s="10">
        <f t="shared" si="645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/>
      <c r="F2276" s="15"/>
      <c r="G2276" s="15">
        <f t="shared" si="646"/>
        <v>0</v>
      </c>
      <c r="H2276" s="16" t="s">
        <v>203</v>
      </c>
      <c r="I2276" s="10">
        <f t="shared" si="645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/>
      <c r="F2277" s="15"/>
      <c r="G2277" s="15">
        <f t="shared" si="646"/>
        <v>0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/>
      <c r="K2279" s="15"/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/>
      <c r="K2280" s="15"/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>
        <f t="shared" ref="G2441:G2461" si="696">F2441-E2441</f>
        <v>0</v>
      </c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>
        <f t="shared" si="696"/>
        <v>0</v>
      </c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>
        <f t="shared" si="696"/>
        <v>0</v>
      </c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1">C$2463</f>
        <v>ROLO KIT PATA LIUGONG CHASSIS RR063856 ANO 2024</v>
      </c>
      <c r="D2466" s="8">
        <f t="shared" si="700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2">SUM(R2466+Q2466+I2466)</f>
        <v>464.51612903225805</v>
      </c>
    </row>
    <row r="2467" spans="2:19" outlineLevel="1">
      <c r="B2467" s="13" t="s">
        <v>166</v>
      </c>
      <c r="C2467" s="7" t="str">
        <f t="shared" si="701"/>
        <v>ROLO KIT PATA LIUGONG CHASSIS RR063856 ANO 2024</v>
      </c>
      <c r="D2467" s="8">
        <f t="shared" si="700"/>
        <v>46084</v>
      </c>
      <c r="E2467" s="15"/>
      <c r="F2467" s="15"/>
      <c r="G2467" s="15"/>
      <c r="H2467" s="16" t="s">
        <v>238</v>
      </c>
      <c r="I2467" s="10">
        <f t="shared" ref="I2467:I2491" si="703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2"/>
        <v>464.51612903225805</v>
      </c>
    </row>
    <row r="2468" spans="2:19" outlineLevel="1">
      <c r="B2468" s="13" t="s">
        <v>166</v>
      </c>
      <c r="C2468" s="7" t="str">
        <f t="shared" si="701"/>
        <v>ROLO KIT PATA LIUGONG CHASSIS RR063856 ANO 2024</v>
      </c>
      <c r="D2468" s="8">
        <f t="shared" si="700"/>
        <v>46085</v>
      </c>
      <c r="E2468" s="15"/>
      <c r="F2468" s="15"/>
      <c r="G2468" s="15"/>
      <c r="H2468" s="16" t="s">
        <v>238</v>
      </c>
      <c r="I2468" s="10">
        <f t="shared" si="703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2"/>
        <v>464.51612903225805</v>
      </c>
    </row>
    <row r="2469" spans="2:19" outlineLevel="1">
      <c r="B2469" s="13" t="s">
        <v>166</v>
      </c>
      <c r="C2469" s="7" t="str">
        <f t="shared" si="701"/>
        <v>ROLO KIT PATA LIUGONG CHASSIS RR063856 ANO 2024</v>
      </c>
      <c r="D2469" s="8">
        <f t="shared" si="700"/>
        <v>46086</v>
      </c>
      <c r="E2469" s="15"/>
      <c r="F2469" s="15"/>
      <c r="G2469" s="15"/>
      <c r="H2469" s="16" t="s">
        <v>238</v>
      </c>
      <c r="I2469" s="10">
        <f t="shared" si="703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2"/>
        <v>464.51612903225805</v>
      </c>
    </row>
    <row r="2470" spans="2:19" outlineLevel="1">
      <c r="B2470" s="13" t="s">
        <v>166</v>
      </c>
      <c r="C2470" s="7" t="str">
        <f t="shared" si="701"/>
        <v>ROLO KIT PATA LIUGONG CHASSIS RR063856 ANO 2024</v>
      </c>
      <c r="D2470" s="8">
        <f t="shared" si="700"/>
        <v>46087</v>
      </c>
      <c r="E2470" s="15"/>
      <c r="F2470" s="15"/>
      <c r="G2470" s="15"/>
      <c r="H2470" s="16" t="s">
        <v>238</v>
      </c>
      <c r="I2470" s="10">
        <f t="shared" si="703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2"/>
        <v>464.51612903225805</v>
      </c>
    </row>
    <row r="2471" spans="2:19" outlineLevel="1">
      <c r="B2471" s="13" t="s">
        <v>166</v>
      </c>
      <c r="C2471" s="7" t="str">
        <f t="shared" si="701"/>
        <v>ROLO KIT PATA LIUGONG CHASSIS RR063856 ANO 2024</v>
      </c>
      <c r="D2471" s="8">
        <f t="shared" si="700"/>
        <v>46088</v>
      </c>
      <c r="E2471" s="15"/>
      <c r="F2471" s="15"/>
      <c r="G2471" s="15"/>
      <c r="H2471" s="16" t="s">
        <v>238</v>
      </c>
      <c r="I2471" s="10">
        <f t="shared" si="703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2"/>
        <v>464.51612903225805</v>
      </c>
    </row>
    <row r="2472" spans="2:19" outlineLevel="1">
      <c r="B2472" s="13" t="s">
        <v>166</v>
      </c>
      <c r="C2472" s="7" t="str">
        <f t="shared" si="701"/>
        <v>ROLO KIT PATA LIUGONG CHASSIS RR063856 ANO 2024</v>
      </c>
      <c r="D2472" s="8">
        <f t="shared" si="700"/>
        <v>46089</v>
      </c>
      <c r="E2472" s="15"/>
      <c r="F2472" s="15"/>
      <c r="G2472" s="15"/>
      <c r="H2472" s="16" t="s">
        <v>238</v>
      </c>
      <c r="I2472" s="10">
        <f t="shared" si="703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2"/>
        <v>464.51612903225805</v>
      </c>
    </row>
    <row r="2473" spans="2:19" outlineLevel="1">
      <c r="B2473" s="13" t="s">
        <v>166</v>
      </c>
      <c r="C2473" s="7" t="str">
        <f t="shared" si="701"/>
        <v>ROLO KIT PATA LIUGONG CHASSIS RR063856 ANO 2024</v>
      </c>
      <c r="D2473" s="8">
        <f t="shared" si="700"/>
        <v>46090</v>
      </c>
      <c r="E2473" s="15"/>
      <c r="F2473" s="15"/>
      <c r="G2473" s="15"/>
      <c r="H2473" s="16" t="s">
        <v>238</v>
      </c>
      <c r="I2473" s="10">
        <f t="shared" si="703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4">O2472</f>
        <v>0</v>
      </c>
      <c r="P2473" s="9"/>
      <c r="Q2473" s="9"/>
      <c r="R2473" s="72"/>
      <c r="S2473" s="10">
        <f t="shared" si="702"/>
        <v>464.51612903225805</v>
      </c>
    </row>
    <row r="2474" spans="2:19" outlineLevel="1">
      <c r="B2474" s="13" t="s">
        <v>166</v>
      </c>
      <c r="C2474" s="7" t="str">
        <f t="shared" si="701"/>
        <v>ROLO KIT PATA LIUGONG CHASSIS RR063856 ANO 2024</v>
      </c>
      <c r="D2474" s="8">
        <f t="shared" si="700"/>
        <v>46091</v>
      </c>
      <c r="E2474" s="15"/>
      <c r="F2474" s="15"/>
      <c r="G2474" s="15"/>
      <c r="H2474" s="16" t="s">
        <v>238</v>
      </c>
      <c r="I2474" s="10">
        <f t="shared" si="703"/>
        <v>464.51612903225805</v>
      </c>
      <c r="J2474" s="16" t="s">
        <v>16</v>
      </c>
      <c r="K2474" s="15"/>
      <c r="L2474" s="15"/>
      <c r="M2474" s="17"/>
      <c r="N2474" s="9"/>
      <c r="O2474" s="18">
        <f t="shared" si="704"/>
        <v>0</v>
      </c>
      <c r="P2474" s="9"/>
      <c r="Q2474" s="9"/>
      <c r="R2474" s="72"/>
      <c r="S2474" s="10">
        <f t="shared" si="702"/>
        <v>464.51612903225805</v>
      </c>
    </row>
    <row r="2475" spans="2:19" outlineLevel="1">
      <c r="B2475" s="13" t="s">
        <v>166</v>
      </c>
      <c r="C2475" s="7" t="str">
        <f t="shared" si="701"/>
        <v>ROLO KIT PATA LIUGONG CHASSIS RR063856 ANO 2024</v>
      </c>
      <c r="D2475" s="8">
        <f t="shared" si="700"/>
        <v>46092</v>
      </c>
      <c r="E2475" s="15"/>
      <c r="F2475" s="15"/>
      <c r="G2475" s="15"/>
      <c r="H2475" s="16" t="s">
        <v>238</v>
      </c>
      <c r="I2475" s="10">
        <f t="shared" si="703"/>
        <v>464.51612903225805</v>
      </c>
      <c r="J2475" s="16"/>
      <c r="K2475" s="15"/>
      <c r="L2475" s="15"/>
      <c r="M2475" s="17"/>
      <c r="N2475" s="9"/>
      <c r="O2475" s="18">
        <f t="shared" si="704"/>
        <v>0</v>
      </c>
      <c r="P2475" s="9"/>
      <c r="Q2475" s="9"/>
      <c r="R2475" s="72"/>
      <c r="S2475" s="10">
        <f t="shared" si="702"/>
        <v>464.51612903225805</v>
      </c>
    </row>
    <row r="2476" spans="2:19" outlineLevel="1">
      <c r="B2476" s="13" t="s">
        <v>166</v>
      </c>
      <c r="C2476" s="7" t="str">
        <f t="shared" si="701"/>
        <v>ROLO KIT PATA LIUGONG CHASSIS RR063856 ANO 2024</v>
      </c>
      <c r="D2476" s="8">
        <f t="shared" si="700"/>
        <v>46093</v>
      </c>
      <c r="E2476" s="15"/>
      <c r="F2476" s="15"/>
      <c r="G2476" s="15"/>
      <c r="H2476" s="16" t="s">
        <v>238</v>
      </c>
      <c r="I2476" s="10">
        <f t="shared" si="703"/>
        <v>464.51612903225805</v>
      </c>
      <c r="J2476" s="16"/>
      <c r="K2476" s="15"/>
      <c r="L2476" s="15"/>
      <c r="M2476" s="17"/>
      <c r="N2476" s="9"/>
      <c r="O2476" s="18">
        <f t="shared" si="704"/>
        <v>0</v>
      </c>
      <c r="P2476" s="9"/>
      <c r="Q2476" s="9"/>
      <c r="R2476" s="72"/>
      <c r="S2476" s="10">
        <f t="shared" si="702"/>
        <v>464.51612903225805</v>
      </c>
    </row>
    <row r="2477" spans="2:19" outlineLevel="1">
      <c r="B2477" s="13" t="s">
        <v>166</v>
      </c>
      <c r="C2477" s="7" t="str">
        <f t="shared" si="701"/>
        <v>ROLO KIT PATA LIUGONG CHASSIS RR063856 ANO 2024</v>
      </c>
      <c r="D2477" s="8">
        <f t="shared" si="700"/>
        <v>46094</v>
      </c>
      <c r="E2477" s="15"/>
      <c r="F2477" s="15"/>
      <c r="G2477" s="15"/>
      <c r="H2477" s="16" t="s">
        <v>279</v>
      </c>
      <c r="I2477" s="10">
        <f t="shared" si="703"/>
        <v>464.51612903225805</v>
      </c>
      <c r="J2477" s="16"/>
      <c r="K2477" s="15"/>
      <c r="L2477" s="15"/>
      <c r="M2477" s="17"/>
      <c r="N2477" s="9"/>
      <c r="O2477" s="18">
        <f t="shared" si="704"/>
        <v>0</v>
      </c>
      <c r="P2477" s="9"/>
      <c r="Q2477" s="9"/>
      <c r="R2477" s="72"/>
      <c r="S2477" s="10">
        <f t="shared" si="702"/>
        <v>464.51612903225805</v>
      </c>
    </row>
    <row r="2478" spans="2:19" outlineLevel="1">
      <c r="B2478" s="13" t="s">
        <v>166</v>
      </c>
      <c r="C2478" s="7" t="str">
        <f t="shared" si="701"/>
        <v>ROLO KIT PATA LIUGONG CHASSIS RR063856 ANO 2024</v>
      </c>
      <c r="D2478" s="8">
        <f t="shared" si="700"/>
        <v>46095</v>
      </c>
      <c r="E2478" s="15"/>
      <c r="F2478" s="15"/>
      <c r="G2478" s="15"/>
      <c r="H2478" s="16" t="s">
        <v>279</v>
      </c>
      <c r="I2478" s="10">
        <f t="shared" si="703"/>
        <v>464.51612903225805</v>
      </c>
      <c r="J2478" s="16" t="s">
        <v>16</v>
      </c>
      <c r="K2478" s="15"/>
      <c r="L2478" s="15"/>
      <c r="M2478" s="17"/>
      <c r="N2478" s="9"/>
      <c r="O2478" s="18">
        <f t="shared" si="704"/>
        <v>0</v>
      </c>
      <c r="P2478" s="9"/>
      <c r="Q2478" s="9"/>
      <c r="R2478" s="72"/>
      <c r="S2478" s="10">
        <f t="shared" si="702"/>
        <v>464.51612903225805</v>
      </c>
    </row>
    <row r="2479" spans="2:19" outlineLevel="1">
      <c r="B2479" s="13" t="s">
        <v>166</v>
      </c>
      <c r="C2479" s="7" t="str">
        <f t="shared" si="701"/>
        <v>ROLO KIT PATA LIUGONG CHASSIS RR063856 ANO 2024</v>
      </c>
      <c r="D2479" s="8">
        <f t="shared" si="700"/>
        <v>46096</v>
      </c>
      <c r="E2479" s="15"/>
      <c r="F2479" s="15"/>
      <c r="G2479" s="15"/>
      <c r="H2479" s="16" t="s">
        <v>279</v>
      </c>
      <c r="I2479" s="10">
        <f t="shared" si="703"/>
        <v>464.51612903225805</v>
      </c>
      <c r="J2479" s="16" t="s">
        <v>16</v>
      </c>
      <c r="K2479" s="15"/>
      <c r="L2479" s="15"/>
      <c r="M2479" s="17"/>
      <c r="N2479" s="9"/>
      <c r="O2479" s="18">
        <f t="shared" si="704"/>
        <v>0</v>
      </c>
      <c r="P2479" s="9"/>
      <c r="Q2479" s="9"/>
      <c r="R2479" s="72"/>
      <c r="S2479" s="10">
        <f t="shared" si="702"/>
        <v>464.51612903225805</v>
      </c>
    </row>
    <row r="2480" spans="2:19" outlineLevel="1">
      <c r="B2480" s="13" t="s">
        <v>166</v>
      </c>
      <c r="C2480" s="7" t="str">
        <f t="shared" si="701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279</v>
      </c>
      <c r="I2480" s="10">
        <f t="shared" si="703"/>
        <v>464.51612903225805</v>
      </c>
      <c r="J2480" s="16" t="s">
        <v>16</v>
      </c>
      <c r="K2480" s="15"/>
      <c r="L2480" s="15"/>
      <c r="M2480" s="17"/>
      <c r="N2480" s="9"/>
      <c r="O2480" s="18">
        <f t="shared" si="704"/>
        <v>0</v>
      </c>
      <c r="P2480" s="9"/>
      <c r="Q2480" s="9"/>
      <c r="R2480" s="72"/>
      <c r="S2480" s="10">
        <f t="shared" si="702"/>
        <v>464.51612903225805</v>
      </c>
    </row>
    <row r="2481" spans="2:19" outlineLevel="1">
      <c r="B2481" s="13" t="s">
        <v>166</v>
      </c>
      <c r="C2481" s="7" t="str">
        <f t="shared" si="701"/>
        <v>ROLO KIT PATA LIUGONG CHASSIS RR063856 ANO 2024</v>
      </c>
      <c r="D2481" s="8">
        <f t="shared" si="700"/>
        <v>46098</v>
      </c>
      <c r="E2481" s="15"/>
      <c r="F2481" s="15"/>
      <c r="G2481" s="15"/>
      <c r="H2481" s="16" t="s">
        <v>279</v>
      </c>
      <c r="I2481" s="10">
        <f t="shared" si="703"/>
        <v>464.51612903225805</v>
      </c>
      <c r="J2481" s="16" t="s">
        <v>16</v>
      </c>
      <c r="K2481" s="15"/>
      <c r="L2481" s="15"/>
      <c r="M2481" s="17"/>
      <c r="N2481" s="9"/>
      <c r="O2481" s="18">
        <f t="shared" si="704"/>
        <v>0</v>
      </c>
      <c r="P2481" s="9"/>
      <c r="Q2481" s="9"/>
      <c r="R2481" s="72"/>
      <c r="S2481" s="10">
        <f t="shared" si="702"/>
        <v>464.51612903225805</v>
      </c>
    </row>
    <row r="2482" spans="2:19" outlineLevel="1">
      <c r="B2482" s="13" t="s">
        <v>166</v>
      </c>
      <c r="C2482" s="7" t="str">
        <f t="shared" si="701"/>
        <v>ROLO KIT PATA LIUGONG CHASSIS RR063856 ANO 2024</v>
      </c>
      <c r="D2482" s="8">
        <f t="shared" si="700"/>
        <v>46099</v>
      </c>
      <c r="E2482" s="15"/>
      <c r="F2482" s="15"/>
      <c r="G2482" s="15"/>
      <c r="H2482" s="16" t="s">
        <v>279</v>
      </c>
      <c r="I2482" s="10">
        <f t="shared" si="703"/>
        <v>464.51612903225805</v>
      </c>
      <c r="J2482" s="16" t="s">
        <v>16</v>
      </c>
      <c r="K2482" s="15"/>
      <c r="L2482" s="15"/>
      <c r="M2482" s="17"/>
      <c r="N2482" s="9"/>
      <c r="O2482" s="18">
        <f t="shared" si="704"/>
        <v>0</v>
      </c>
      <c r="P2482" s="9"/>
      <c r="Q2482" s="9"/>
      <c r="R2482" s="72"/>
      <c r="S2482" s="10">
        <f t="shared" si="702"/>
        <v>464.51612903225805</v>
      </c>
    </row>
    <row r="2483" spans="2:19" outlineLevel="1">
      <c r="B2483" s="13" t="s">
        <v>166</v>
      </c>
      <c r="C2483" s="7" t="str">
        <f t="shared" si="701"/>
        <v>ROLO KIT PATA LIUGONG CHASSIS RR063856 ANO 2024</v>
      </c>
      <c r="D2483" s="8">
        <f t="shared" si="700"/>
        <v>46100</v>
      </c>
      <c r="E2483" s="15"/>
      <c r="F2483" s="15"/>
      <c r="G2483" s="15"/>
      <c r="H2483" s="16" t="s">
        <v>279</v>
      </c>
      <c r="I2483" s="10">
        <f t="shared" si="703"/>
        <v>464.51612903225805</v>
      </c>
      <c r="J2483" s="16"/>
      <c r="K2483" s="15"/>
      <c r="L2483" s="15"/>
      <c r="M2483" s="17"/>
      <c r="N2483" s="9"/>
      <c r="O2483" s="18">
        <f t="shared" si="704"/>
        <v>0</v>
      </c>
      <c r="P2483" s="9"/>
      <c r="Q2483" s="9"/>
      <c r="R2483" s="72"/>
      <c r="S2483" s="10">
        <f t="shared" si="702"/>
        <v>464.51612903225805</v>
      </c>
    </row>
    <row r="2484" spans="2:19" outlineLevel="1">
      <c r="B2484" s="13" t="s">
        <v>166</v>
      </c>
      <c r="C2484" s="7" t="str">
        <f t="shared" si="701"/>
        <v>ROLO KIT PATA LIUGONG CHASSIS RR063856 ANO 2024</v>
      </c>
      <c r="D2484" s="8">
        <f t="shared" si="700"/>
        <v>46101</v>
      </c>
      <c r="E2484" s="15"/>
      <c r="F2484" s="15"/>
      <c r="G2484" s="15"/>
      <c r="H2484" s="16" t="s">
        <v>279</v>
      </c>
      <c r="I2484" s="10">
        <f t="shared" si="703"/>
        <v>464.51612903225805</v>
      </c>
      <c r="J2484" s="16"/>
      <c r="K2484" s="15"/>
      <c r="L2484" s="15"/>
      <c r="M2484" s="17"/>
      <c r="N2484" s="9"/>
      <c r="O2484" s="18">
        <f t="shared" si="704"/>
        <v>0</v>
      </c>
      <c r="P2484" s="9"/>
      <c r="Q2484" s="9"/>
      <c r="R2484" s="72"/>
      <c r="S2484" s="10">
        <f t="shared" si="702"/>
        <v>464.51612903225805</v>
      </c>
    </row>
    <row r="2485" spans="2:19" outlineLevel="1">
      <c r="B2485" s="13" t="s">
        <v>166</v>
      </c>
      <c r="C2485" s="7" t="str">
        <f t="shared" si="701"/>
        <v>ROLO KIT PATA LIUGONG CHASSIS RR063856 ANO 2024</v>
      </c>
      <c r="D2485" s="8">
        <f t="shared" si="700"/>
        <v>46102</v>
      </c>
      <c r="E2485" s="15"/>
      <c r="F2485" s="15"/>
      <c r="G2485" s="15"/>
      <c r="H2485" s="16" t="s">
        <v>279</v>
      </c>
      <c r="I2485" s="10">
        <f t="shared" si="703"/>
        <v>464.51612903225805</v>
      </c>
      <c r="J2485" s="16" t="s">
        <v>16</v>
      </c>
      <c r="K2485" s="15"/>
      <c r="L2485" s="15"/>
      <c r="M2485" s="17"/>
      <c r="N2485" s="9"/>
      <c r="O2485" s="18">
        <f t="shared" si="704"/>
        <v>0</v>
      </c>
      <c r="P2485" s="9"/>
      <c r="Q2485" s="9"/>
      <c r="R2485" s="72"/>
      <c r="S2485" s="10">
        <f t="shared" si="702"/>
        <v>464.51612903225805</v>
      </c>
    </row>
    <row r="2486" spans="2:19" outlineLevel="1">
      <c r="B2486" s="13" t="s">
        <v>166</v>
      </c>
      <c r="C2486" s="7" t="str">
        <f t="shared" si="701"/>
        <v>ROLO KIT PATA LIUGONG CHASSIS RR063856 ANO 2024</v>
      </c>
      <c r="D2486" s="8">
        <f t="shared" si="700"/>
        <v>46103</v>
      </c>
      <c r="E2486" s="15"/>
      <c r="F2486" s="15"/>
      <c r="G2486" s="15"/>
      <c r="H2486" s="16" t="s">
        <v>279</v>
      </c>
      <c r="I2486" s="10">
        <f t="shared" si="703"/>
        <v>464.51612903225805</v>
      </c>
      <c r="J2486" s="16" t="s">
        <v>16</v>
      </c>
      <c r="K2486" s="15"/>
      <c r="L2486" s="15"/>
      <c r="M2486" s="17"/>
      <c r="N2486" s="9"/>
      <c r="O2486" s="18">
        <f t="shared" si="704"/>
        <v>0</v>
      </c>
      <c r="P2486" s="9"/>
      <c r="Q2486" s="9"/>
      <c r="R2486" s="72"/>
      <c r="S2486" s="10">
        <f t="shared" si="702"/>
        <v>464.51612903225805</v>
      </c>
    </row>
    <row r="2487" spans="2:19" outlineLevel="1">
      <c r="B2487" s="13" t="s">
        <v>166</v>
      </c>
      <c r="C2487" s="7" t="str">
        <f t="shared" si="701"/>
        <v>ROLO KIT PATA LIUGONG CHASSIS RR063856 ANO 2024</v>
      </c>
      <c r="D2487" s="8">
        <f t="shared" si="700"/>
        <v>46104</v>
      </c>
      <c r="E2487" s="15"/>
      <c r="F2487" s="15"/>
      <c r="G2487" s="15"/>
      <c r="H2487" s="16" t="s">
        <v>279</v>
      </c>
      <c r="I2487" s="10">
        <f t="shared" si="703"/>
        <v>464.51612903225805</v>
      </c>
      <c r="J2487" s="16"/>
      <c r="K2487" s="15"/>
      <c r="L2487" s="15"/>
      <c r="M2487" s="17"/>
      <c r="N2487" s="9"/>
      <c r="O2487" s="18">
        <f t="shared" si="704"/>
        <v>0</v>
      </c>
      <c r="P2487" s="9"/>
      <c r="Q2487" s="9"/>
      <c r="R2487" s="72"/>
      <c r="S2487" s="10">
        <f t="shared" si="702"/>
        <v>464.51612903225805</v>
      </c>
    </row>
    <row r="2488" spans="2:19" outlineLevel="1">
      <c r="B2488" s="13" t="s">
        <v>166</v>
      </c>
      <c r="C2488" s="7" t="str">
        <f t="shared" si="701"/>
        <v>ROLO KIT PATA LIUGONG CHASSIS RR063856 ANO 2024</v>
      </c>
      <c r="D2488" s="8">
        <f t="shared" si="700"/>
        <v>46105</v>
      </c>
      <c r="E2488" s="15"/>
      <c r="F2488" s="15"/>
      <c r="G2488" s="15"/>
      <c r="H2488" s="16" t="s">
        <v>279</v>
      </c>
      <c r="I2488" s="10">
        <f t="shared" si="703"/>
        <v>464.51612903225805</v>
      </c>
      <c r="J2488" s="16" t="s">
        <v>16</v>
      </c>
      <c r="K2488" s="15"/>
      <c r="L2488" s="15"/>
      <c r="M2488" s="17"/>
      <c r="N2488" s="9"/>
      <c r="O2488" s="18">
        <f t="shared" si="704"/>
        <v>0</v>
      </c>
      <c r="P2488" s="9"/>
      <c r="Q2488" s="9"/>
      <c r="R2488" s="72"/>
      <c r="S2488" s="10">
        <f t="shared" si="702"/>
        <v>464.51612903225805</v>
      </c>
    </row>
    <row r="2489" spans="2:19" outlineLevel="1">
      <c r="B2489" s="13" t="s">
        <v>166</v>
      </c>
      <c r="C2489" s="7" t="str">
        <f t="shared" si="701"/>
        <v>ROLO KIT PATA LIUGONG CHASSIS RR063856 ANO 2024</v>
      </c>
      <c r="D2489" s="8">
        <f t="shared" si="700"/>
        <v>46106</v>
      </c>
      <c r="E2489" s="15"/>
      <c r="F2489" s="15"/>
      <c r="G2489" s="15"/>
      <c r="H2489" s="16" t="s">
        <v>279</v>
      </c>
      <c r="I2489" s="10">
        <f t="shared" si="703"/>
        <v>464.51612903225805</v>
      </c>
      <c r="J2489" s="16" t="s">
        <v>16</v>
      </c>
      <c r="K2489" s="15"/>
      <c r="L2489" s="15"/>
      <c r="M2489" s="17"/>
      <c r="N2489" s="9"/>
      <c r="O2489" s="18">
        <f t="shared" si="704"/>
        <v>0</v>
      </c>
      <c r="P2489" s="9"/>
      <c r="Q2489" s="9"/>
      <c r="R2489" s="72"/>
      <c r="S2489" s="10">
        <f t="shared" si="702"/>
        <v>464.51612903225805</v>
      </c>
    </row>
    <row r="2490" spans="2:19" outlineLevel="1">
      <c r="B2490" s="13" t="s">
        <v>166</v>
      </c>
      <c r="C2490" s="7" t="str">
        <f t="shared" si="701"/>
        <v>ROLO KIT PATA LIUGONG CHASSIS RR063856 ANO 2024</v>
      </c>
      <c r="D2490" s="8">
        <f t="shared" si="700"/>
        <v>46107</v>
      </c>
      <c r="E2490" s="15"/>
      <c r="F2490" s="15"/>
      <c r="G2490" s="15"/>
      <c r="H2490" s="16" t="s">
        <v>279</v>
      </c>
      <c r="I2490" s="10">
        <f t="shared" si="703"/>
        <v>464.51612903225805</v>
      </c>
      <c r="J2490" s="16" t="s">
        <v>16</v>
      </c>
      <c r="K2490" s="15"/>
      <c r="L2490" s="15"/>
      <c r="M2490" s="17"/>
      <c r="N2490" s="9"/>
      <c r="O2490" s="18">
        <f t="shared" si="704"/>
        <v>0</v>
      </c>
      <c r="P2490" s="9"/>
      <c r="Q2490" s="9"/>
      <c r="R2490" s="72"/>
      <c r="S2490" s="10">
        <f t="shared" si="702"/>
        <v>464.51612903225805</v>
      </c>
    </row>
    <row r="2491" spans="2:19" outlineLevel="1">
      <c r="B2491" s="13" t="s">
        <v>166</v>
      </c>
      <c r="C2491" s="7" t="str">
        <f t="shared" si="701"/>
        <v>ROLO KIT PATA LIUGONG CHASSIS RR063856 ANO 2024</v>
      </c>
      <c r="D2491" s="8">
        <f t="shared" si="700"/>
        <v>46108</v>
      </c>
      <c r="E2491" s="15"/>
      <c r="F2491" s="15"/>
      <c r="G2491" s="15">
        <f t="shared" ref="G2491:G2495" si="705">F2491-E2491</f>
        <v>0</v>
      </c>
      <c r="H2491" s="16" t="s">
        <v>279</v>
      </c>
      <c r="I2491" s="10">
        <f t="shared" si="703"/>
        <v>464.51612903225805</v>
      </c>
      <c r="J2491" s="16" t="s">
        <v>16</v>
      </c>
      <c r="K2491" s="15"/>
      <c r="L2491" s="15"/>
      <c r="M2491" s="17"/>
      <c r="N2491" s="9"/>
      <c r="O2491" s="18">
        <f t="shared" si="704"/>
        <v>0</v>
      </c>
      <c r="P2491" s="9"/>
      <c r="Q2491" s="9"/>
      <c r="R2491" s="72"/>
      <c r="S2491" s="10">
        <f t="shared" si="702"/>
        <v>464.51612903225805</v>
      </c>
    </row>
    <row r="2492" spans="2:19" outlineLevel="1">
      <c r="B2492" s="13" t="s">
        <v>166</v>
      </c>
      <c r="C2492" s="7" t="str">
        <f t="shared" si="701"/>
        <v>ROLO KIT PATA LIUGONG CHASSIS RR063856 ANO 2024</v>
      </c>
      <c r="D2492" s="8">
        <f t="shared" ref="D2492" si="706">D2424</f>
        <v>46109</v>
      </c>
      <c r="E2492" s="15"/>
      <c r="F2492" s="15"/>
      <c r="G2492" s="15">
        <f t="shared" ref="G2492:G2494" si="707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1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7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1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7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1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5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2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262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262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262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262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262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262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262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/>
      <c r="F2542" s="15"/>
      <c r="G2542" s="15">
        <f t="shared" si="723"/>
        <v>0</v>
      </c>
      <c r="H2542" s="16" t="s">
        <v>262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/>
      <c r="F2543" s="15"/>
      <c r="G2543" s="15">
        <f t="shared" si="723"/>
        <v>0</v>
      </c>
      <c r="H2543" s="16" t="s">
        <v>262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262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262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262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/>
      <c r="F2547" s="15"/>
      <c r="G2547" s="15">
        <f t="shared" si="723"/>
        <v>0</v>
      </c>
      <c r="H2547" s="16" t="s">
        <v>262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/>
      <c r="F2548" s="15"/>
      <c r="G2548" s="15">
        <f t="shared" si="723"/>
        <v>0</v>
      </c>
      <c r="H2548" s="16" t="s">
        <v>262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262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262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262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262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262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262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262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262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262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262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0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1">SUM(R2568+Q2568+I2568)</f>
        <v>464.51612903225805</v>
      </c>
    </row>
    <row r="2569" spans="2:19" outlineLevel="1">
      <c r="B2569" s="13" t="s">
        <v>172</v>
      </c>
      <c r="C2569" s="7" t="str">
        <f t="shared" si="730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2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1"/>
        <v>464.51612903225805</v>
      </c>
    </row>
    <row r="2570" spans="2:19" outlineLevel="1">
      <c r="B2570" s="13" t="s">
        <v>172</v>
      </c>
      <c r="C2570" s="7" t="str">
        <f t="shared" si="730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2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1"/>
        <v>464.51612903225805</v>
      </c>
    </row>
    <row r="2571" spans="2:19" outlineLevel="1">
      <c r="B2571" s="13" t="s">
        <v>172</v>
      </c>
      <c r="C2571" s="7" t="str">
        <f t="shared" si="730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2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1"/>
        <v>464.51612903225805</v>
      </c>
    </row>
    <row r="2572" spans="2:19" outlineLevel="1">
      <c r="B2572" s="13" t="s">
        <v>172</v>
      </c>
      <c r="C2572" s="7" t="str">
        <f t="shared" si="730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2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1"/>
        <v>464.51612903225805</v>
      </c>
    </row>
    <row r="2573" spans="2:19" outlineLevel="1">
      <c r="B2573" s="13" t="s">
        <v>172</v>
      </c>
      <c r="C2573" s="7" t="str">
        <f t="shared" si="730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2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1"/>
        <v>464.51612903225805</v>
      </c>
    </row>
    <row r="2574" spans="2:19" outlineLevel="1">
      <c r="B2574" s="13" t="s">
        <v>172</v>
      </c>
      <c r="C2574" s="7" t="str">
        <f t="shared" si="730"/>
        <v>ROLO COMPACTADOR HAMM HD90 CHASSIS A05138</v>
      </c>
      <c r="D2574" s="8">
        <f t="shared" si="729"/>
        <v>46089</v>
      </c>
      <c r="E2574" s="15"/>
      <c r="F2574" s="15"/>
      <c r="G2574" s="15">
        <f t="shared" ref="G2574:G2597" si="733">F2574-E2574</f>
        <v>0</v>
      </c>
      <c r="H2574" s="16" t="s">
        <v>262</v>
      </c>
      <c r="I2574" s="10">
        <f t="shared" si="732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1"/>
        <v>464.51612903225805</v>
      </c>
    </row>
    <row r="2575" spans="2:19" outlineLevel="1">
      <c r="B2575" s="13" t="s">
        <v>172</v>
      </c>
      <c r="C2575" s="7" t="str">
        <f t="shared" si="730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si="733"/>
        <v>4.4000000000000909</v>
      </c>
      <c r="H2575" s="16" t="s">
        <v>262</v>
      </c>
      <c r="I2575" s="10">
        <f t="shared" si="732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1"/>
        <v>464.51612903225805</v>
      </c>
    </row>
    <row r="2576" spans="2:19" outlineLevel="1">
      <c r="B2576" s="13" t="s">
        <v>172</v>
      </c>
      <c r="C2576" s="7" t="str">
        <f t="shared" si="730"/>
        <v>ROLO COMPACTADOR HAMM HD90 CHASSIS A05138</v>
      </c>
      <c r="D2576" s="8">
        <f t="shared" si="729"/>
        <v>46091</v>
      </c>
      <c r="E2576" s="15"/>
      <c r="F2576" s="15"/>
      <c r="G2576" s="15">
        <f t="shared" si="733"/>
        <v>0</v>
      </c>
      <c r="H2576" s="16" t="s">
        <v>262</v>
      </c>
      <c r="I2576" s="10">
        <f t="shared" si="732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1"/>
        <v>464.51612903225805</v>
      </c>
    </row>
    <row r="2577" spans="2:19" outlineLevel="1">
      <c r="B2577" s="13" t="s">
        <v>172</v>
      </c>
      <c r="C2577" s="7" t="str">
        <f t="shared" si="730"/>
        <v>ROLO COMPACTADOR HAMM HD90 CHASSIS A05138</v>
      </c>
      <c r="D2577" s="8">
        <f t="shared" si="729"/>
        <v>46092</v>
      </c>
      <c r="E2577" s="15"/>
      <c r="F2577" s="15"/>
      <c r="G2577" s="15">
        <f t="shared" si="733"/>
        <v>0</v>
      </c>
      <c r="H2577" s="16" t="s">
        <v>262</v>
      </c>
      <c r="I2577" s="10">
        <f t="shared" si="732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1"/>
        <v>464.51612903225805</v>
      </c>
    </row>
    <row r="2578" spans="2:19" outlineLevel="1">
      <c r="B2578" s="13" t="s">
        <v>172</v>
      </c>
      <c r="C2578" s="7" t="str">
        <f t="shared" si="730"/>
        <v>ROLO COMPACTADOR HAMM HD90 CHASSIS A05138</v>
      </c>
      <c r="D2578" s="8">
        <f t="shared" si="729"/>
        <v>46093</v>
      </c>
      <c r="E2578" s="15"/>
      <c r="F2578" s="15"/>
      <c r="G2578" s="15">
        <f t="shared" si="733"/>
        <v>0</v>
      </c>
      <c r="H2578" s="16" t="s">
        <v>262</v>
      </c>
      <c r="I2578" s="10">
        <f t="shared" si="732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1"/>
        <v>464.51612903225805</v>
      </c>
    </row>
    <row r="2579" spans="2:19" outlineLevel="1">
      <c r="B2579" s="13" t="s">
        <v>172</v>
      </c>
      <c r="C2579" s="7" t="str">
        <f t="shared" si="730"/>
        <v>ROLO COMPACTADOR HAMM HD90 CHASSIS A05138</v>
      </c>
      <c r="D2579" s="8">
        <f t="shared" si="729"/>
        <v>46094</v>
      </c>
      <c r="E2579" s="15"/>
      <c r="F2579" s="15"/>
      <c r="G2579" s="15">
        <f t="shared" si="733"/>
        <v>0</v>
      </c>
      <c r="H2579" s="16" t="s">
        <v>262</v>
      </c>
      <c r="I2579" s="10">
        <f t="shared" si="732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4">O2578</f>
        <v>0</v>
      </c>
      <c r="P2579" s="9"/>
      <c r="Q2579" s="9"/>
      <c r="R2579" s="9"/>
      <c r="S2579" s="10">
        <f t="shared" si="731"/>
        <v>464.51612903225805</v>
      </c>
    </row>
    <row r="2580" spans="2:19" outlineLevel="1">
      <c r="B2580" s="13" t="s">
        <v>172</v>
      </c>
      <c r="C2580" s="7" t="str">
        <f t="shared" si="730"/>
        <v>ROLO COMPACTADOR HAMM HD90 CHASSIS A05138</v>
      </c>
      <c r="D2580" s="8">
        <f t="shared" si="729"/>
        <v>46095</v>
      </c>
      <c r="E2580" s="15"/>
      <c r="F2580" s="15"/>
      <c r="G2580" s="15">
        <f t="shared" si="733"/>
        <v>0</v>
      </c>
      <c r="H2580" s="16" t="s">
        <v>262</v>
      </c>
      <c r="I2580" s="10">
        <f t="shared" si="732"/>
        <v>464.51612903225805</v>
      </c>
      <c r="J2580" s="16" t="s">
        <v>16</v>
      </c>
      <c r="K2580" s="15"/>
      <c r="L2580" s="15"/>
      <c r="M2580" s="17"/>
      <c r="N2580" s="9"/>
      <c r="O2580" s="18">
        <f t="shared" si="734"/>
        <v>0</v>
      </c>
      <c r="P2580" s="9"/>
      <c r="Q2580" s="9"/>
      <c r="R2580" s="9"/>
      <c r="S2580" s="10">
        <f t="shared" si="731"/>
        <v>464.51612903225805</v>
      </c>
    </row>
    <row r="2581" spans="2:19" outlineLevel="1">
      <c r="B2581" s="13" t="s">
        <v>172</v>
      </c>
      <c r="C2581" s="7" t="str">
        <f t="shared" si="730"/>
        <v>ROLO COMPACTADOR HAMM HD90 CHASSIS A05138</v>
      </c>
      <c r="D2581" s="8">
        <f t="shared" si="729"/>
        <v>46096</v>
      </c>
      <c r="E2581" s="15"/>
      <c r="F2581" s="15"/>
      <c r="G2581" s="15">
        <f t="shared" si="733"/>
        <v>0</v>
      </c>
      <c r="H2581" s="16" t="s">
        <v>262</v>
      </c>
      <c r="I2581" s="10">
        <f t="shared" si="732"/>
        <v>464.51612903225805</v>
      </c>
      <c r="J2581" s="16" t="s">
        <v>16</v>
      </c>
      <c r="K2581" s="15"/>
      <c r="L2581" s="15"/>
      <c r="M2581" s="17"/>
      <c r="N2581" s="9"/>
      <c r="O2581" s="18">
        <f t="shared" si="734"/>
        <v>0</v>
      </c>
      <c r="P2581" s="9"/>
      <c r="Q2581" s="9"/>
      <c r="R2581" s="9"/>
      <c r="S2581" s="10">
        <f t="shared" si="731"/>
        <v>464.51612903225805</v>
      </c>
    </row>
    <row r="2582" spans="2:19" outlineLevel="1">
      <c r="B2582" s="13" t="s">
        <v>172</v>
      </c>
      <c r="C2582" s="7" t="str">
        <f t="shared" si="730"/>
        <v>ROLO COMPACTADOR HAMM HD90 CHASSIS A05138</v>
      </c>
      <c r="D2582" s="8">
        <f t="shared" si="729"/>
        <v>46097</v>
      </c>
      <c r="E2582" s="15"/>
      <c r="F2582" s="15"/>
      <c r="G2582" s="15">
        <f t="shared" si="733"/>
        <v>0</v>
      </c>
      <c r="H2582" s="16" t="s">
        <v>262</v>
      </c>
      <c r="I2582" s="10">
        <f t="shared" si="732"/>
        <v>464.51612903225805</v>
      </c>
      <c r="J2582" s="16" t="s">
        <v>16</v>
      </c>
      <c r="K2582" s="15"/>
      <c r="L2582" s="15"/>
      <c r="M2582" s="17"/>
      <c r="N2582" s="9"/>
      <c r="O2582" s="18">
        <f t="shared" si="734"/>
        <v>0</v>
      </c>
      <c r="P2582" s="9"/>
      <c r="Q2582" s="9"/>
      <c r="R2582" s="9"/>
      <c r="S2582" s="10">
        <f t="shared" si="731"/>
        <v>464.51612903225805</v>
      </c>
    </row>
    <row r="2583" spans="2:19" outlineLevel="1">
      <c r="B2583" s="13" t="s">
        <v>172</v>
      </c>
      <c r="C2583" s="7" t="str">
        <f t="shared" si="730"/>
        <v>ROLO COMPACTADOR HAMM HD90 CHASSIS A05138</v>
      </c>
      <c r="D2583" s="8">
        <f t="shared" si="729"/>
        <v>46098</v>
      </c>
      <c r="E2583" s="15"/>
      <c r="F2583" s="15"/>
      <c r="G2583" s="15">
        <f t="shared" si="733"/>
        <v>0</v>
      </c>
      <c r="H2583" s="16" t="s">
        <v>262</v>
      </c>
      <c r="I2583" s="10">
        <f t="shared" si="732"/>
        <v>464.51612903225805</v>
      </c>
      <c r="J2583" s="16" t="s">
        <v>16</v>
      </c>
      <c r="K2583" s="15"/>
      <c r="L2583" s="15"/>
      <c r="M2583" s="17"/>
      <c r="N2583" s="9"/>
      <c r="O2583" s="18">
        <f t="shared" si="734"/>
        <v>0</v>
      </c>
      <c r="P2583" s="9"/>
      <c r="Q2583" s="9"/>
      <c r="R2583" s="9"/>
      <c r="S2583" s="10">
        <f t="shared" si="731"/>
        <v>464.51612903225805</v>
      </c>
    </row>
    <row r="2584" spans="2:19" outlineLevel="1">
      <c r="B2584" s="13" t="s">
        <v>172</v>
      </c>
      <c r="C2584" s="7" t="str">
        <f t="shared" si="730"/>
        <v>ROLO COMPACTADOR HAMM HD90 CHASSIS A05138</v>
      </c>
      <c r="D2584" s="8">
        <f t="shared" si="729"/>
        <v>46099</v>
      </c>
      <c r="E2584" s="15"/>
      <c r="F2584" s="15"/>
      <c r="G2584" s="15">
        <f t="shared" si="733"/>
        <v>0</v>
      </c>
      <c r="H2584" s="16" t="s">
        <v>262</v>
      </c>
      <c r="I2584" s="10">
        <f t="shared" si="732"/>
        <v>464.51612903225805</v>
      </c>
      <c r="J2584" s="16" t="s">
        <v>16</v>
      </c>
      <c r="K2584" s="15"/>
      <c r="L2584" s="15"/>
      <c r="M2584" s="17"/>
      <c r="N2584" s="9"/>
      <c r="O2584" s="18">
        <f t="shared" si="734"/>
        <v>0</v>
      </c>
      <c r="P2584" s="9"/>
      <c r="Q2584" s="9"/>
      <c r="R2584" s="9"/>
      <c r="S2584" s="10">
        <f t="shared" si="731"/>
        <v>464.51612903225805</v>
      </c>
    </row>
    <row r="2585" spans="2:19" outlineLevel="1">
      <c r="B2585" s="13" t="s">
        <v>172</v>
      </c>
      <c r="C2585" s="7" t="str">
        <f t="shared" si="730"/>
        <v>ROLO COMPACTADOR HAMM HD90 CHASSIS A05138</v>
      </c>
      <c r="D2585" s="8">
        <f t="shared" si="729"/>
        <v>46100</v>
      </c>
      <c r="E2585" s="15"/>
      <c r="F2585" s="15"/>
      <c r="G2585" s="15">
        <f t="shared" si="733"/>
        <v>0</v>
      </c>
      <c r="H2585" s="16" t="s">
        <v>262</v>
      </c>
      <c r="I2585" s="10">
        <f t="shared" si="732"/>
        <v>464.51612903225805</v>
      </c>
      <c r="J2585" s="16" t="s">
        <v>16</v>
      </c>
      <c r="K2585" s="15"/>
      <c r="L2585" s="15"/>
      <c r="M2585" s="17"/>
      <c r="N2585" s="9"/>
      <c r="O2585" s="18">
        <f t="shared" si="734"/>
        <v>0</v>
      </c>
      <c r="P2585" s="9"/>
      <c r="Q2585" s="9"/>
      <c r="R2585" s="9"/>
      <c r="S2585" s="10">
        <f t="shared" si="731"/>
        <v>464.51612903225805</v>
      </c>
    </row>
    <row r="2586" spans="2:19" outlineLevel="1">
      <c r="B2586" s="13" t="s">
        <v>172</v>
      </c>
      <c r="C2586" s="7" t="str">
        <f t="shared" si="730"/>
        <v>ROLO COMPACTADOR HAMM HD90 CHASSIS A05138</v>
      </c>
      <c r="D2586" s="8">
        <f t="shared" si="729"/>
        <v>46101</v>
      </c>
      <c r="E2586" s="15"/>
      <c r="F2586" s="15"/>
      <c r="G2586" s="15">
        <f t="shared" si="733"/>
        <v>0</v>
      </c>
      <c r="H2586" s="16" t="s">
        <v>262</v>
      </c>
      <c r="I2586" s="10">
        <f t="shared" si="732"/>
        <v>464.51612903225805</v>
      </c>
      <c r="J2586" s="16" t="s">
        <v>16</v>
      </c>
      <c r="K2586" s="15"/>
      <c r="L2586" s="15"/>
      <c r="M2586" s="17"/>
      <c r="N2586" s="9"/>
      <c r="O2586" s="18">
        <f t="shared" si="734"/>
        <v>0</v>
      </c>
      <c r="P2586" s="9"/>
      <c r="Q2586" s="9"/>
      <c r="R2586" s="9"/>
      <c r="S2586" s="10">
        <f t="shared" si="731"/>
        <v>464.51612903225805</v>
      </c>
    </row>
    <row r="2587" spans="2:19" outlineLevel="1">
      <c r="B2587" s="13" t="s">
        <v>172</v>
      </c>
      <c r="C2587" s="7" t="str">
        <f t="shared" si="730"/>
        <v>ROLO COMPACTADOR HAMM HD90 CHASSIS A05138</v>
      </c>
      <c r="D2587" s="8">
        <f t="shared" si="729"/>
        <v>46102</v>
      </c>
      <c r="E2587" s="15"/>
      <c r="F2587" s="15"/>
      <c r="G2587" s="15">
        <f t="shared" si="733"/>
        <v>0</v>
      </c>
      <c r="H2587" s="16" t="s">
        <v>262</v>
      </c>
      <c r="I2587" s="10">
        <f t="shared" si="732"/>
        <v>464.51612903225805</v>
      </c>
      <c r="J2587" s="16" t="s">
        <v>16</v>
      </c>
      <c r="K2587" s="15"/>
      <c r="L2587" s="15"/>
      <c r="M2587" s="17"/>
      <c r="N2587" s="9"/>
      <c r="O2587" s="18">
        <f t="shared" si="734"/>
        <v>0</v>
      </c>
      <c r="P2587" s="9"/>
      <c r="Q2587" s="9"/>
      <c r="R2587" s="9"/>
      <c r="S2587" s="10">
        <f t="shared" si="731"/>
        <v>464.51612903225805</v>
      </c>
    </row>
    <row r="2588" spans="2:19" outlineLevel="1">
      <c r="B2588" s="13" t="s">
        <v>172</v>
      </c>
      <c r="C2588" s="7" t="str">
        <f t="shared" si="730"/>
        <v>ROLO COMPACTADOR HAMM HD90 CHASSIS A05138</v>
      </c>
      <c r="D2588" s="8">
        <f t="shared" si="729"/>
        <v>46103</v>
      </c>
      <c r="E2588" s="15"/>
      <c r="F2588" s="15"/>
      <c r="G2588" s="15">
        <f t="shared" si="733"/>
        <v>0</v>
      </c>
      <c r="H2588" s="16" t="s">
        <v>262</v>
      </c>
      <c r="I2588" s="10">
        <f t="shared" si="732"/>
        <v>464.51612903225805</v>
      </c>
      <c r="J2588" s="16" t="s">
        <v>16</v>
      </c>
      <c r="K2588" s="15"/>
      <c r="L2588" s="15"/>
      <c r="M2588" s="17"/>
      <c r="N2588" s="9"/>
      <c r="O2588" s="18">
        <f t="shared" si="734"/>
        <v>0</v>
      </c>
      <c r="P2588" s="9"/>
      <c r="Q2588" s="9"/>
      <c r="R2588" s="9"/>
      <c r="S2588" s="10">
        <f t="shared" si="731"/>
        <v>464.51612903225805</v>
      </c>
    </row>
    <row r="2589" spans="2:19" outlineLevel="1">
      <c r="B2589" s="13" t="s">
        <v>172</v>
      </c>
      <c r="C2589" s="7" t="str">
        <f t="shared" si="730"/>
        <v>ROLO COMPACTADOR HAMM HD90 CHASSIS A05138</v>
      </c>
      <c r="D2589" s="8">
        <f t="shared" si="729"/>
        <v>46104</v>
      </c>
      <c r="E2589" s="15"/>
      <c r="F2589" s="15"/>
      <c r="G2589" s="15">
        <f t="shared" si="733"/>
        <v>0</v>
      </c>
      <c r="H2589" s="16" t="s">
        <v>262</v>
      </c>
      <c r="I2589" s="10">
        <f t="shared" si="732"/>
        <v>464.51612903225805</v>
      </c>
      <c r="J2589" s="16" t="s">
        <v>16</v>
      </c>
      <c r="K2589" s="15"/>
      <c r="L2589" s="15"/>
      <c r="M2589" s="17"/>
      <c r="N2589" s="9"/>
      <c r="O2589" s="18">
        <f t="shared" si="734"/>
        <v>0</v>
      </c>
      <c r="P2589" s="9"/>
      <c r="Q2589" s="9"/>
      <c r="R2589" s="9"/>
      <c r="S2589" s="10">
        <f t="shared" si="731"/>
        <v>464.51612903225805</v>
      </c>
    </row>
    <row r="2590" spans="2:19" outlineLevel="1">
      <c r="B2590" s="13" t="s">
        <v>172</v>
      </c>
      <c r="C2590" s="7" t="str">
        <f t="shared" si="730"/>
        <v>ROLO COMPACTADOR HAMM HD90 CHASSIS A05138</v>
      </c>
      <c r="D2590" s="8">
        <f t="shared" si="729"/>
        <v>46105</v>
      </c>
      <c r="E2590" s="15"/>
      <c r="F2590" s="15"/>
      <c r="G2590" s="15">
        <f t="shared" si="733"/>
        <v>0</v>
      </c>
      <c r="H2590" s="16" t="s">
        <v>262</v>
      </c>
      <c r="I2590" s="10">
        <f t="shared" si="732"/>
        <v>464.51612903225805</v>
      </c>
      <c r="J2590" s="16" t="s">
        <v>16</v>
      </c>
      <c r="K2590" s="15"/>
      <c r="L2590" s="15"/>
      <c r="M2590" s="17"/>
      <c r="N2590" s="9"/>
      <c r="O2590" s="18">
        <f t="shared" si="734"/>
        <v>0</v>
      </c>
      <c r="P2590" s="9"/>
      <c r="Q2590" s="9"/>
      <c r="R2590" s="9"/>
      <c r="S2590" s="10">
        <f t="shared" si="731"/>
        <v>464.51612903225805</v>
      </c>
    </row>
    <row r="2591" spans="2:19" outlineLevel="1">
      <c r="B2591" s="13" t="s">
        <v>172</v>
      </c>
      <c r="C2591" s="7" t="str">
        <f t="shared" si="730"/>
        <v>ROLO COMPACTADOR HAMM HD90 CHASSIS A05138</v>
      </c>
      <c r="D2591" s="8">
        <f t="shared" si="729"/>
        <v>46106</v>
      </c>
      <c r="E2591" s="15"/>
      <c r="F2591" s="15"/>
      <c r="G2591" s="15">
        <f t="shared" si="733"/>
        <v>0</v>
      </c>
      <c r="H2591" s="16" t="s">
        <v>262</v>
      </c>
      <c r="I2591" s="10">
        <f t="shared" si="732"/>
        <v>464.51612903225805</v>
      </c>
      <c r="J2591" s="16" t="s">
        <v>16</v>
      </c>
      <c r="K2591" s="15"/>
      <c r="L2591" s="15"/>
      <c r="M2591" s="17"/>
      <c r="N2591" s="9"/>
      <c r="O2591" s="18">
        <f t="shared" si="734"/>
        <v>0</v>
      </c>
      <c r="P2591" s="9"/>
      <c r="Q2591" s="9"/>
      <c r="R2591" s="9"/>
      <c r="S2591" s="10">
        <f t="shared" si="731"/>
        <v>464.51612903225805</v>
      </c>
    </row>
    <row r="2592" spans="2:19" outlineLevel="1">
      <c r="B2592" s="13" t="s">
        <v>172</v>
      </c>
      <c r="C2592" s="7" t="str">
        <f t="shared" si="730"/>
        <v>ROLO COMPACTADOR HAMM HD90 CHASSIS A05138</v>
      </c>
      <c r="D2592" s="8">
        <f t="shared" si="729"/>
        <v>46107</v>
      </c>
      <c r="E2592" s="15"/>
      <c r="F2592" s="15"/>
      <c r="G2592" s="15">
        <f t="shared" si="733"/>
        <v>0</v>
      </c>
      <c r="H2592" s="16" t="s">
        <v>262</v>
      </c>
      <c r="I2592" s="10">
        <f t="shared" si="732"/>
        <v>464.51612903225805</v>
      </c>
      <c r="J2592" s="16" t="s">
        <v>16</v>
      </c>
      <c r="K2592" s="15"/>
      <c r="L2592" s="15"/>
      <c r="M2592" s="17"/>
      <c r="N2592" s="9"/>
      <c r="O2592" s="18">
        <f t="shared" si="734"/>
        <v>0</v>
      </c>
      <c r="P2592" s="9"/>
      <c r="Q2592" s="9"/>
      <c r="R2592" s="9"/>
      <c r="S2592" s="10">
        <f t="shared" si="731"/>
        <v>464.51612903225805</v>
      </c>
    </row>
    <row r="2593" spans="2:19" outlineLevel="1">
      <c r="B2593" s="13" t="s">
        <v>172</v>
      </c>
      <c r="C2593" s="7" t="str">
        <f t="shared" si="730"/>
        <v>ROLO COMPACTADOR HAMM HD90 CHASSIS A05138</v>
      </c>
      <c r="D2593" s="8">
        <f t="shared" si="729"/>
        <v>46108</v>
      </c>
      <c r="E2593" s="15"/>
      <c r="F2593" s="15"/>
      <c r="G2593" s="15">
        <f t="shared" si="733"/>
        <v>0</v>
      </c>
      <c r="H2593" s="16" t="s">
        <v>262</v>
      </c>
      <c r="I2593" s="10">
        <f t="shared" si="732"/>
        <v>464.51612903225805</v>
      </c>
      <c r="J2593" s="16" t="s">
        <v>16</v>
      </c>
      <c r="K2593" s="15"/>
      <c r="L2593" s="15"/>
      <c r="M2593" s="17"/>
      <c r="N2593" s="9"/>
      <c r="O2593" s="18">
        <f t="shared" si="734"/>
        <v>0</v>
      </c>
      <c r="P2593" s="9"/>
      <c r="Q2593" s="9"/>
      <c r="R2593" s="9"/>
      <c r="S2593" s="10">
        <f t="shared" si="731"/>
        <v>464.51612903225805</v>
      </c>
    </row>
    <row r="2594" spans="2:19" outlineLevel="1">
      <c r="B2594" s="13" t="s">
        <v>172</v>
      </c>
      <c r="C2594" s="7" t="str">
        <f t="shared" si="730"/>
        <v>ROLO COMPACTADOR HAMM HD90 CHASSIS A05138</v>
      </c>
      <c r="D2594" s="8">
        <f t="shared" ref="D2594" si="735">D2526</f>
        <v>46109</v>
      </c>
      <c r="E2594" s="15"/>
      <c r="F2594" s="15"/>
      <c r="G2594" s="15">
        <f t="shared" ref="G2594:G2596" si="736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0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6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0"/>
        <v>ROLO COMPACTADOR HAMM HD90 CHASSIS A05138</v>
      </c>
      <c r="D2596" s="8">
        <f t="shared" si="738"/>
        <v>46111</v>
      </c>
      <c r="E2596" s="15"/>
      <c r="F2596" s="15"/>
      <c r="G2596" s="15">
        <f t="shared" si="736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0"/>
        <v>ROLO COMPACTADOR HAMM HD90 CHASSIS A05138</v>
      </c>
      <c r="D2597" s="8">
        <f t="shared" si="738"/>
        <v>46112</v>
      </c>
      <c r="E2597" s="15"/>
      <c r="F2597" s="15"/>
      <c r="G2597" s="15">
        <f t="shared" si="733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1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279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279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279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279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279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279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279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279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279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279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279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279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279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279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279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279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279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279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279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279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279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279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279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279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279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269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269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269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269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269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269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269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269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269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269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269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269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269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269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269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269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269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269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269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269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269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269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269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269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269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269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269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269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269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269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245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245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245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245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245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245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245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245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245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245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245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245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245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245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245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245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245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245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245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245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245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245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245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245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245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245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245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245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245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245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358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358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340</v>
      </c>
      <c r="C2910" s="7" t="s">
        <v>286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358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340</v>
      </c>
      <c r="C2911" s="7" t="s">
        <v>286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358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340</v>
      </c>
      <c r="C2912" s="7" t="s">
        <v>286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358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340</v>
      </c>
      <c r="C2913" s="7" t="s">
        <v>286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358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340</v>
      </c>
      <c r="C2914" s="7" t="s">
        <v>286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358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340</v>
      </c>
      <c r="C2915" s="7" t="s">
        <v>286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358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340</v>
      </c>
      <c r="C2916" s="7" t="s">
        <v>286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358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340</v>
      </c>
      <c r="C2917" s="7" t="s">
        <v>286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358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340</v>
      </c>
      <c r="C2918" s="7" t="s">
        <v>286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358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340</v>
      </c>
      <c r="C2919" s="7" t="s">
        <v>286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358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340</v>
      </c>
      <c r="C2920" s="7" t="s">
        <v>286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358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340</v>
      </c>
      <c r="C2921" s="7" t="s">
        <v>286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358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340</v>
      </c>
      <c r="C2922" s="7" t="s">
        <v>286</v>
      </c>
      <c r="D2922" s="8">
        <f t="shared" si="837"/>
        <v>46097</v>
      </c>
      <c r="E2922" s="15"/>
      <c r="F2922" s="15"/>
      <c r="G2922" s="15">
        <f t="shared" si="843"/>
        <v>0</v>
      </c>
      <c r="H2922" s="74" t="s">
        <v>358</v>
      </c>
      <c r="I2922" s="10">
        <f t="shared" si="840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340</v>
      </c>
      <c r="C2923" s="7" t="s">
        <v>286</v>
      </c>
      <c r="D2923" s="8">
        <f t="shared" si="837"/>
        <v>46098</v>
      </c>
      <c r="E2923" s="15"/>
      <c r="F2923" s="15"/>
      <c r="G2923" s="15">
        <f t="shared" si="843"/>
        <v>0</v>
      </c>
      <c r="H2923" s="74" t="s">
        <v>358</v>
      </c>
      <c r="I2923" s="10">
        <f t="shared" si="840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340</v>
      </c>
      <c r="C2924" s="7" t="s">
        <v>286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358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340</v>
      </c>
      <c r="C2925" s="7" t="s">
        <v>286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358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340</v>
      </c>
      <c r="C2926" s="7" t="s">
        <v>286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358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340</v>
      </c>
      <c r="C2927" s="7" t="s">
        <v>286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358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340</v>
      </c>
      <c r="C2928" s="7" t="s">
        <v>286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358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340</v>
      </c>
      <c r="C2929" s="7" t="s">
        <v>286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358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340</v>
      </c>
      <c r="C2930" s="7" t="s">
        <v>286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358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340</v>
      </c>
      <c r="C2931" s="7" t="s">
        <v>286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358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340</v>
      </c>
      <c r="C2932" s="7" t="s">
        <v>286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358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340</v>
      </c>
      <c r="C2933" s="7" t="s">
        <v>286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358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358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358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358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358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2026-03-13T16:00:02Z</dcterms:modified>
  <cp:category/>
  <cp:contentStatus/>
</cp:coreProperties>
</file>