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0DB98131-D28E-4DB0-8114-C8B15EABE171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6" r:id="rId78"/>
    <pivotCache cacheId="17" r:id="rId79"/>
    <pivotCache cacheId="18" r:id="rId80"/>
    <pivotCache cacheId="19" r:id="rId81"/>
    <pivotCache cacheId="20" r:id="rId82"/>
    <pivotCache cacheId="21" r:id="rId83"/>
    <pivotCache cacheId="22" r:id="rId84"/>
    <pivotCache cacheId="23" r:id="rId85"/>
    <pivotCache cacheId="24" r:id="rId86"/>
    <pivotCache cacheId="25" r:id="rId87"/>
    <pivotCache cacheId="26" r:id="rId88"/>
    <pivotCache cacheId="27" r:id="rId89"/>
    <pivotCache cacheId="28" r:id="rId90"/>
    <pivotCache cacheId="29" r:id="rId91"/>
    <pivotCache cacheId="30" r:id="rId92"/>
    <pivotCache cacheId="31" r:id="rId93"/>
    <pivotCache cacheId="32" r:id="rId94"/>
    <pivotCache cacheId="33" r:id="rId95"/>
    <pivotCache cacheId="34" r:id="rId96"/>
    <pivotCache cacheId="35" r:id="rId97"/>
    <pivotCache cacheId="36" r:id="rId98"/>
    <pivotCache cacheId="37" r:id="rId99"/>
    <pivotCache cacheId="38" r:id="rId100"/>
    <pivotCache cacheId="39" r:id="rId101"/>
    <pivotCache cacheId="40" r:id="rId102"/>
    <pivotCache cacheId="41" r:id="rId103"/>
    <pivotCache cacheId="42" r:id="rId104"/>
    <pivotCache cacheId="43" r:id="rId105"/>
    <pivotCache cacheId="44" r:id="rId106"/>
    <pivotCache cacheId="45" r:id="rId107"/>
    <pivotCache cacheId="46" r:id="rId108"/>
    <pivotCache cacheId="47" r:id="rId109"/>
    <pivotCache cacheId="48" r:id="rId110"/>
    <pivotCache cacheId="49" r:id="rId111"/>
    <pivotCache cacheId="50" r:id="rId112"/>
    <pivotCache cacheId="51" r:id="rId113"/>
    <pivotCache cacheId="52" r:id="rId114"/>
    <pivotCache cacheId="53" r:id="rId115"/>
    <pivotCache cacheId="54" r:id="rId116"/>
    <pivotCache cacheId="55" r:id="rId117"/>
    <pivotCache cacheId="56" r:id="rId118"/>
    <pivotCache cacheId="57" r:id="rId119"/>
    <pivotCache cacheId="58" r:id="rId120"/>
    <pivotCache cacheId="59" r:id="rId121"/>
    <pivotCache cacheId="65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65" i="62" l="1"/>
  <c r="G2466" i="62"/>
  <c r="G2467" i="62"/>
  <c r="G2468" i="62"/>
  <c r="G2469" i="62"/>
  <c r="G2470" i="62"/>
  <c r="G2471" i="62"/>
  <c r="G2472" i="62"/>
  <c r="G2473" i="62"/>
  <c r="G2474" i="62"/>
  <c r="G2475" i="62"/>
  <c r="G2476" i="62"/>
  <c r="G2477" i="62"/>
  <c r="G2478" i="62"/>
  <c r="G2480" i="62"/>
  <c r="G2481" i="62"/>
  <c r="G2482" i="62"/>
  <c r="G2483" i="62"/>
  <c r="G2484" i="62"/>
  <c r="G2485" i="62"/>
  <c r="G2486" i="62"/>
  <c r="G2487" i="62"/>
  <c r="G2488" i="62"/>
  <c r="G2489" i="62"/>
  <c r="G2490" i="62"/>
  <c r="G2491" i="62"/>
  <c r="G2492" i="62"/>
  <c r="G2493" i="62"/>
  <c r="G2494" i="62"/>
  <c r="G2495" i="62"/>
  <c r="G2479" i="62"/>
  <c r="G2027" i="62"/>
  <c r="G2020" i="62" l="1"/>
  <c r="G2022" i="62"/>
  <c r="G2023" i="62"/>
  <c r="G2024" i="62"/>
  <c r="G2025" i="62"/>
  <c r="G2026" i="62"/>
  <c r="G2028" i="62"/>
  <c r="G2029" i="62"/>
  <c r="G2030" i="62"/>
  <c r="G2031" i="62"/>
  <c r="G2032" i="62"/>
  <c r="G2033" i="62"/>
  <c r="G2034" i="62"/>
  <c r="G2035" i="62"/>
  <c r="G2036" i="62"/>
  <c r="G2037" i="62"/>
  <c r="G2038" i="62"/>
  <c r="G2039" i="62"/>
  <c r="G2040" i="62"/>
  <c r="G2041" i="62"/>
  <c r="G2042" i="62"/>
  <c r="G2043" i="62"/>
  <c r="G2044" i="62"/>
  <c r="G2045" i="62"/>
  <c r="G2046" i="62"/>
  <c r="G2047" i="62"/>
  <c r="G2048" i="62"/>
  <c r="G2049" i="62"/>
  <c r="G2050" i="62"/>
  <c r="G2021" i="62"/>
  <c r="G2261" i="62"/>
  <c r="G2262" i="62"/>
  <c r="G2263" i="62"/>
  <c r="G2264" i="62"/>
  <c r="G2265" i="62"/>
  <c r="G2267" i="62"/>
  <c r="G2268" i="62"/>
  <c r="G2269" i="62"/>
  <c r="G2270" i="62"/>
  <c r="G2271" i="62"/>
  <c r="G2272" i="62"/>
  <c r="G2273" i="62"/>
  <c r="G2274" i="62"/>
  <c r="G2275" i="62"/>
  <c r="G2276" i="62"/>
  <c r="G2277" i="62"/>
  <c r="G2278" i="62"/>
  <c r="G2279" i="62"/>
  <c r="G2280" i="62"/>
  <c r="G2281" i="62"/>
  <c r="G2282" i="62"/>
  <c r="G2283" i="62"/>
  <c r="G2284" i="62"/>
  <c r="G2285" i="62"/>
  <c r="G2286" i="62"/>
  <c r="G2287" i="62"/>
  <c r="G2288" i="62"/>
  <c r="G2289" i="62"/>
  <c r="G2290" i="62"/>
  <c r="G2291" i="62"/>
  <c r="G2266" i="62"/>
  <c r="G2431" i="62"/>
  <c r="G2432" i="62"/>
  <c r="G2433" i="62"/>
  <c r="G2434" i="62"/>
  <c r="G2435" i="62"/>
  <c r="G2436" i="62"/>
  <c r="G2437" i="62"/>
  <c r="G2438" i="62"/>
  <c r="G2439" i="62"/>
  <c r="G2441" i="62"/>
  <c r="G2442" i="62"/>
  <c r="G2443" i="62"/>
  <c r="G2444" i="62"/>
  <c r="G2445" i="62"/>
  <c r="G2446" i="62"/>
  <c r="G2447" i="62"/>
  <c r="G2448" i="62"/>
  <c r="G2449" i="62"/>
  <c r="G2450" i="62"/>
  <c r="G2451" i="62"/>
  <c r="G2452" i="62"/>
  <c r="G2453" i="62"/>
  <c r="G2454" i="62"/>
  <c r="G2455" i="62"/>
  <c r="G2456" i="62"/>
  <c r="G2457" i="62"/>
  <c r="G2458" i="62"/>
  <c r="G2459" i="62"/>
  <c r="G2460" i="62"/>
  <c r="G2461" i="62"/>
  <c r="G2440" i="62"/>
  <c r="G1826" i="62"/>
  <c r="G2908" i="62"/>
  <c r="G2909" i="62"/>
  <c r="G2910" i="62"/>
  <c r="G2911" i="62"/>
  <c r="G2912" i="62"/>
  <c r="G2913" i="62"/>
  <c r="G2914" i="62"/>
  <c r="G2915" i="62"/>
  <c r="G2916" i="62"/>
  <c r="G2918" i="62"/>
  <c r="G2919" i="62"/>
  <c r="G2920" i="62"/>
  <c r="G2921" i="62"/>
  <c r="G2922" i="62"/>
  <c r="G2923" i="62"/>
  <c r="G2924" i="62"/>
  <c r="G2925" i="62"/>
  <c r="G2926" i="62"/>
  <c r="G2927" i="62"/>
  <c r="G2928" i="62"/>
  <c r="G2929" i="62"/>
  <c r="G2930" i="62"/>
  <c r="G2931" i="62"/>
  <c r="G2932" i="62"/>
  <c r="G2933" i="62"/>
  <c r="G2934" i="62"/>
  <c r="G2935" i="62"/>
  <c r="G2936" i="62"/>
  <c r="G2937" i="62"/>
  <c r="G2917" i="62"/>
  <c r="G1918" i="62"/>
  <c r="G1919" i="62"/>
  <c r="G1921" i="62"/>
  <c r="G1922" i="62"/>
  <c r="G1923" i="62"/>
  <c r="G1924" i="62"/>
  <c r="G1925" i="62"/>
  <c r="G1926" i="62"/>
  <c r="G1927" i="62"/>
  <c r="G1928" i="62"/>
  <c r="G1929" i="62"/>
  <c r="G1930" i="62"/>
  <c r="G1931" i="62"/>
  <c r="G1932" i="62"/>
  <c r="G1933" i="62"/>
  <c r="G1934" i="62"/>
  <c r="G1935" i="62"/>
  <c r="G1936" i="62"/>
  <c r="G1937" i="62"/>
  <c r="G1938" i="62"/>
  <c r="G1939" i="62"/>
  <c r="G1940" i="62"/>
  <c r="G1941" i="62"/>
  <c r="G1942" i="62"/>
  <c r="G1943" i="62"/>
  <c r="G1944" i="62"/>
  <c r="G1945" i="62"/>
  <c r="G1946" i="62"/>
  <c r="G1947" i="62"/>
  <c r="G1948" i="62"/>
  <c r="G1920" i="62"/>
  <c r="G1714" i="62"/>
  <c r="G1715" i="62"/>
  <c r="G1716" i="62"/>
  <c r="G1717" i="62"/>
  <c r="G1718" i="62"/>
  <c r="G1719" i="62"/>
  <c r="G1720" i="62"/>
  <c r="G1721" i="62"/>
  <c r="G1723" i="62"/>
  <c r="G1724" i="62"/>
  <c r="G1725" i="62"/>
  <c r="G1726" i="62"/>
  <c r="G1727" i="62"/>
  <c r="G1728" i="62"/>
  <c r="G1729" i="62"/>
  <c r="G1730" i="62"/>
  <c r="G1731" i="62"/>
  <c r="G1732" i="62"/>
  <c r="G1733" i="62"/>
  <c r="G1734" i="62"/>
  <c r="G1735" i="62"/>
  <c r="G1736" i="62"/>
  <c r="G1737" i="62"/>
  <c r="G1738" i="62"/>
  <c r="G1739" i="62"/>
  <c r="G1740" i="62"/>
  <c r="G1741" i="62"/>
  <c r="G1742" i="62"/>
  <c r="G1743" i="62"/>
  <c r="G1744" i="62"/>
  <c r="G1722" i="62"/>
  <c r="G2533" i="62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7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C2494" i="62"/>
  <c r="C2493" i="62"/>
  <c r="C2492" i="62"/>
  <c r="C2460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C2290" i="62"/>
  <c r="C2289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C2049" i="62"/>
  <c r="C2048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C1947" i="62"/>
  <c r="C1946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C1743" i="62"/>
  <c r="C1742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398" i="62"/>
  <c r="G2397" i="62"/>
  <c r="G2366" i="62"/>
  <c r="G2365" i="62"/>
  <c r="G2364" i="62"/>
  <c r="G2363" i="62"/>
  <c r="G2298" i="62"/>
  <c r="G2297" i="62"/>
  <c r="G2296" i="62"/>
  <c r="G2295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<sst xmlns="http://schemas.openxmlformats.org/spreadsheetml/2006/main" count="10415" uniqueCount="362">
  <si>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</si>
  <si>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</si>
  <si>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</si>
  <si>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</si>
  <si>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</si>
  <si>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</si>
  <si>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</si>
  <si>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</si>
  <si>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</si>
  <si>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</si>
  <si>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</si>
  <si>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</si>
  <si>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</si>
  <si>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</si>
  <si>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</si>
  <si>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</si>
  <si>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</si>
  <si>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</si>
  <si>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</si>
  <si>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</si>
  <si>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</si>
  <si>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</si>
  <si>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</si>
  <si>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</si>
  <si>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</si>
  <si>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</si>
  <si>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</si>
  <si>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</si>
  <si>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</si>
  <si>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</si>
  <si>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</si>
  <si>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</si>
  <si>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</si>
  <si>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</si>
  <si>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</si>
  <si>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</si>
  <si>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</si>
  <si>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</si>
  <si>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</si>
  <si>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</si>
  <si>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</si>
  <si>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</si>
  <si>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</si>
  <si>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</si>
  <si>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</si>
  <si>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</si>
  <si>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</si>
  <si>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</si>
  <si>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</si>
  <si>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</si>
  <si>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</si>
  <si>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</si>
  <si>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</si>
  <si>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</si>
  <si>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</si>
  <si>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</si>
  <si>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</si>
  <si>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</si>
  <si>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</si>
  <si>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</si>
  <si>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</si>
  <si>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</si>
  <si>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</si>
  <si>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</si>
  <si>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</si>
  <si>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</si>
  <si>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</si>
  <si>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</si>
  <si>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</si>
  <si>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</si>
  <si>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</si>
  <si>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</si>
  <si>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</si>
  <si>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</si>
  <si>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</si>
  <si>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</si>
  <si>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</si>
  <si>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</si>
  <si>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</si>
  <si>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</si>
  <si>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</si>
  <si>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</si>
  <si>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</si>
  <si>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</si>
  <si>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</si>
  <si>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</si>
  <si>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</si>
  <si>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</si>
  <si>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</si>
  <si>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</si>
  <si>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</si>
  <si>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</si>
  <si>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</si>
  <si>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</si>
  <si>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</si>
  <si>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</si>
  <si>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</si>
  <si>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</si>
  <si>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</si>
  <si>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</si>
  <si>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</si>
  <si>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</si>
  <si>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</si>
  <si>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</si>
  <si>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</si>
  <si>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</si>
  <si>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</si>
  <si>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</si>
  <si>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</si>
  <si>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</si>
  <si>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</si>
  <si>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</si>
  <si>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</si>
  <si>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</si>
  <si>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</si>
  <si>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</si>
  <si>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</si>
  <si>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</si>
  <si>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</si>
  <si>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</si>
  <si>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</si>
  <si>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</si>
  <si>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</si>
  <si>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</si>
  <si>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</si>
  <si>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</si>
  <si>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</si>
  <si>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</si>
  <si>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</si>
  <si>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</si>
  <si>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</si>
  <si>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</si>
  <si>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</si>
  <si>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</si>
  <si>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</si>
  <si>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</si>
  <si>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</si>
  <si>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</si>
  <si>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</si>
  <si>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</si>
  <si>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</si>
  <si>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</si>
  <si>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</si>
  <si>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</si>
  <si>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</si>
  <si>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</si>
  <si>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</si>
  <si>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</si>
  <si>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</si>
  <si>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</si>
  <si>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</si>
  <si>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</si>
  <si>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</si>
  <si>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</si>
  <si>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</si>
  <si>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</si>
  <si>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</si>
  <si>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</si>
  <si>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</si>
  <si>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</si>
  <si>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</si>
  <si>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</si>
  <si>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</si>
  <si>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</si>
  <si>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</si>
  <si>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</si>
  <si>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</si>
  <si>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</si>
  <si>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</si>
  <si>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</si>
  <si>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</si>
  <si>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</si>
  <si>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</si>
  <si>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</si>
  <si>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</si>
  <si>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</si>
  <si>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</si>
  <si>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</si>
  <si>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</si>
  <si>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</si>
  <si>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</si>
  <si>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</si>
  <si>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</si>
  <si>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</si>
  <si>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</si>
  <si>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</si>
  <si>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</si>
  <si>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</si>
  <si>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</si>
  <si>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</si>
  <si>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</si>
  <si>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</si>
  <si>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</si>
  <si>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</si>
  <si>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</si>
  <si>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</si>
  <si>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</si>
  <si>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</si>
  <si>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</si>
  <si>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</si>
  <si>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</si>
  <si>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</si>
  <si>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</si>
  <si>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</si>
  <si>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</si>
  <si>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</si>
  <si>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</si>
  <si>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</si>
  <si>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</si>
  <si>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</si>
  <si>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</si>
  <si>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</si>
  <si>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</si>
  <si>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</si>
  <si>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</si>
  <si>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</si>
  <si>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</si>
  <si>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</si>
  <si>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</si>
  <si>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</si>
  <si>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</si>
  <si>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</si>
  <si>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</si>
  <si>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</si>
  <si>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</si>
  <si>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</si>
  <si>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</si>
  <si>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</si>
  <si>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</si>
  <si>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</si>
  <si>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</si>
  <si>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</si>
  <si>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</si>
  <si>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</si>
  <si>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</si>
  <si>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</si>
  <si>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</si>
  <si>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</si>
  <si>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</si>
  <si>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</si>
  <si>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</si>
  <si>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</si>
  <si>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</si>
  <si>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</si>
  <si>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</si>
  <si>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</si>
  <si>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</si>
  <si>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</si>
  <si>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</si>
  <si>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</si>
  <si>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</si>
  <si>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</si>
  <si>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</si>
  <si>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</si>
  <si>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</si>
  <si>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</si>
  <si>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</si>
  <si>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</si>
  <si>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</si>
  <si>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</si>
  <si>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</si>
  <si>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</si>
  <si>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</si>
  <si>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</si>
  <si>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</si>
  <si>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</si>
  <si>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</si>
  <si>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</si>
  <si>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</si>
  <si>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</si>
  <si>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</si>
  <si>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</si>
  <si>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</si>
  <si>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</si>
  <si>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</si>
  <si>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</si>
  <si>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</si>
  <si>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</si>
  <si>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</si>
  <si>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</si>
  <si>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</si>
  <si>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</si>
  <si>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</si>
  <si>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</si>
  <si>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</si>
  <si>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</si>
  <si>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</si>
  <si>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</si>
  <si>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</si>
  <si>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</si>
  <si>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</si>
  <si>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</si>
  <si>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</si>
  <si>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</si>
  <si>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</si>
  <si>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</si>
  <si>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</si>
  <si>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</si>
  <si>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</si>
  <si>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</si>
  <si>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</si>
  <si>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</si>
  <si>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</si>
  <si>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</si>
  <si>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</si>
  <si>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</si>
  <si>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</si>
  <si>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</si>
  <si>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</si>
  <si>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</si>
  <si>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</si>
  <si>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</si>
  <si>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</si>
  <si>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</si>
  <si>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</si>
  <si>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</si>
  <si>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</si>
  <si>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</si>
  <si>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</si>
  <si>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</si>
  <si>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</si>
  <si>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</si>
  <si>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</si>
  <si>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</si>
  <si>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</si>
  <si>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</si>
  <si>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</si>
  <si>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</si>
  <si>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</si>
  <si>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</si>
  <si>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</si>
  <si>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</si>
  <si>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</si>
  <si>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</si>
  <si>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</si>
  <si>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</si>
  <si>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</si>
  <si>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</si>
  <si>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</si>
  <si>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</si>
  <si>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</si>
  <si>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</si>
  <si>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</si>
  <si>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</si>
  <si>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</si>
  <si>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</si>
  <si>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</si>
  <si>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</si>
  <si>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</si>
  <si>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</si>
  <si>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</si>
  <si>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</si>
  <si>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</si>
  <si>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</si>
  <si>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</si>
  <si>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</si>
  <si>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</si>
  <si>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</si>
  <si>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</si>
  <si>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</si>
  <si>
    <t>MADEIRO</t>
  </si>
  <si>
    <t>N. S. REMEDIOS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</si>
</sst>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6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4" fontId="2" fillId="3" borderId="2" xfId="2" applyFont="1" applyFill="1" applyBorder="1" applyAlignment="1">
      <alignment horizontal="left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37"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164" formatCode="&quot;R$&quot;\ #,##0.00"/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97.586240046294" createdVersion="8" refreshedVersion="8" minRefreshableVersion="3" recordCount="31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7745"/>
    </cacheField>
    <cacheField name="KM/HORA FIM" numFmtId="43">
      <sharedItems containsString="0" containsBlank="1" containsNumber="1" minValue="2817.3" maxValue="337770"/>
    </cacheField>
    <cacheField name="TOTAL" numFmtId="43">
      <sharedItems containsString="0" containsBlank="1" containsNumber="1" minValue="0" maxValue="77"/>
    </cacheField>
    <cacheField name="CIDADES" numFmtId="0">
      <sharedItems containsBlank="1" count="7">
        <s v="JOSE DE FREITAS"/>
        <s v="MADEIRO"/>
        <s v="N. S. REMEDIOS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SemiMixedTypes="0" containsString="0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n v="1"/>
    <m/>
    <m/>
    <m/>
    <n v="15400"/>
    <n v="496.77419354838707"/>
    <m/>
    <m/>
    <n v="496.77419354838707"/>
  </r>
  <r>
    <x v="0"/>
    <x v="0"/>
    <d v="2026-03-02T00:00:00"/>
    <n v="2812.2"/>
    <n v="2817.3"/>
    <n v="5.1000000000003638"/>
    <x v="0"/>
    <n v="496.77419354838707"/>
    <m/>
    <n v="1"/>
    <m/>
    <m/>
    <m/>
    <m/>
    <m/>
    <m/>
    <m/>
    <n v="496.77419354838707"/>
  </r>
  <r>
    <x v="0"/>
    <x v="0"/>
    <d v="2026-03-03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4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5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6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7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8T00:00:00"/>
    <m/>
    <m/>
    <n v="0"/>
    <x v="0"/>
    <n v="496.77419354838707"/>
    <s v="DISPONIVEL"/>
    <n v="1"/>
    <m/>
    <m/>
    <m/>
    <m/>
    <m/>
    <m/>
    <m/>
    <n v="496.77419354838707"/>
  </r>
  <r>
    <x v="0"/>
    <x v="0"/>
    <d v="2026-03-09T00:00:00"/>
    <m/>
    <m/>
    <m/>
    <x v="1"/>
    <n v="496.77419354838707"/>
    <m/>
    <n v="1"/>
    <m/>
    <m/>
    <m/>
    <m/>
    <m/>
    <m/>
    <m/>
    <n v="496.77419354838707"/>
  </r>
  <r>
    <x v="0"/>
    <x v="0"/>
    <d v="2026-03-10T00:00:00"/>
    <m/>
    <m/>
    <n v="0"/>
    <x v="1"/>
    <n v="496.77419354838707"/>
    <s v="DISPONIVEL"/>
    <n v="1"/>
    <m/>
    <m/>
    <m/>
    <m/>
    <m/>
    <m/>
    <m/>
    <n v="496.77419354838707"/>
  </r>
  <r>
    <x v="0"/>
    <x v="0"/>
    <d v="2026-03-11T00:00:00"/>
    <n v="337599"/>
    <n v="337676"/>
    <n v="77"/>
    <x v="1"/>
    <n v="496.77419354838707"/>
    <s v="DISPONIVEL"/>
    <n v="1"/>
    <m/>
    <m/>
    <m/>
    <m/>
    <m/>
    <m/>
    <m/>
    <n v="496.77419354838707"/>
  </r>
  <r>
    <x v="0"/>
    <x v="0"/>
    <d v="2026-03-12T00:00:00"/>
    <n v="337674"/>
    <n v="337738"/>
    <n v="64"/>
    <x v="2"/>
    <n v="496.77419354838707"/>
    <s v="DISPONIVEL"/>
    <n v="1"/>
    <m/>
    <m/>
    <m/>
    <m/>
    <m/>
    <m/>
    <m/>
    <n v="496.77419354838707"/>
  </r>
  <r>
    <x v="0"/>
    <x v="0"/>
    <d v="2026-03-13T00:00:00"/>
    <n v="337738"/>
    <n v="337745"/>
    <n v="7"/>
    <x v="2"/>
    <n v="496.77419354838707"/>
    <s v="DISPONIVEL"/>
    <n v="1"/>
    <m/>
    <m/>
    <m/>
    <m/>
    <m/>
    <m/>
    <m/>
    <n v="496.77419354838707"/>
  </r>
  <r>
    <x v="0"/>
    <x v="0"/>
    <d v="2026-03-14T00:00:00"/>
    <n v="337745"/>
    <n v="337770"/>
    <n v="25"/>
    <x v="2"/>
    <n v="496.77419354838707"/>
    <m/>
    <n v="1"/>
    <m/>
    <m/>
    <m/>
    <n v="0"/>
    <m/>
    <m/>
    <m/>
    <n v="496.77419354838707"/>
  </r>
  <r>
    <x v="0"/>
    <x v="0"/>
    <d v="2026-03-1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1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1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2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3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4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5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6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7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8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29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0T00:00:00"/>
    <m/>
    <m/>
    <n v="0"/>
    <x v="2"/>
    <n v="496.77419354838707"/>
    <s v="DISPONIVEL"/>
    <n v="1"/>
    <m/>
    <m/>
    <m/>
    <n v="0"/>
    <m/>
    <m/>
    <m/>
    <n v="496.77419354838707"/>
  </r>
  <r>
    <x v="0"/>
    <x v="0"/>
    <d v="2026-03-31T00:00:00"/>
    <m/>
    <m/>
    <n v="0"/>
    <x v="2"/>
    <n v="496.77419354838707"/>
    <s v="DISPONIVEL"/>
    <n v="1"/>
    <m/>
    <m/>
    <m/>
    <n v="0"/>
    <m/>
    <m/>
    <m/>
    <n v="496.7741935483870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34">
      <pivotArea outline="0" fieldPosition="0">
        <references count="1">
          <reference field="4294967294" count="1" selected="0">
            <x v="4"/>
          </reference>
        </references>
      </pivotArea>
    </format>
    <format dxfId="1333">
      <pivotArea field="1" type="button" dataOnly="0" labelOnly="1" outline="0" axis="axisRow" fieldPosition="1"/>
    </format>
    <format dxfId="1332">
      <pivotArea field="6" type="button" dataOnly="0" labelOnly="1" outline="0" axis="axisRow" fieldPosition="2"/>
    </format>
    <format dxfId="13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0">
      <pivotArea field="1" type="button" dataOnly="0" labelOnly="1" outline="0" axis="axisRow" fieldPosition="1"/>
    </format>
    <format dxfId="1329">
      <pivotArea field="6" type="button" dataOnly="0" labelOnly="1" outline="0" axis="axisRow" fieldPosition="2"/>
    </format>
    <format dxfId="1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2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2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24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3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22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21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8">
      <pivotArea outline="0" fieldPosition="0">
        <references count="1">
          <reference field="4294967294" count="1" selected="0">
            <x v="4"/>
          </reference>
        </references>
      </pivotArea>
    </format>
    <format dxfId="1317">
      <pivotArea field="1" type="button" dataOnly="0" labelOnly="1" outline="0" axis="axisRow" fieldPosition="1"/>
    </format>
    <format dxfId="1316">
      <pivotArea field="6" type="button" dataOnly="0" labelOnly="1" outline="0" axis="axisRow" fieldPosition="2"/>
    </format>
    <format dxfId="13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4">
      <pivotArea field="1" type="button" dataOnly="0" labelOnly="1" outline="0" axis="axisRow" fieldPosition="1"/>
    </format>
    <format dxfId="1313">
      <pivotArea field="6" type="button" dataOnly="0" labelOnly="1" outline="0" axis="axisRow" fieldPosition="2"/>
    </format>
    <format dxfId="1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8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7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6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5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3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0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2">
      <pivotArea outline="0" fieldPosition="0">
        <references count="1">
          <reference field="4294967294" count="1" selected="0">
            <x v="4"/>
          </reference>
        </references>
      </pivotArea>
    </format>
    <format dxfId="1301">
      <pivotArea field="1" type="button" dataOnly="0" labelOnly="1" outline="0" axis="axisRow" fieldPosition="1"/>
    </format>
    <format dxfId="1300">
      <pivotArea field="6" type="button" dataOnly="0" labelOnly="1" outline="0" axis="axisRow" fieldPosition="2"/>
    </format>
    <format dxfId="12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8">
      <pivotArea field="1" type="button" dataOnly="0" labelOnly="1" outline="0" axis="axisRow" fieldPosition="1"/>
    </format>
    <format dxfId="1297">
      <pivotArea field="6" type="button" dataOnly="0" labelOnly="1" outline="0" axis="axisRow" fieldPosition="2"/>
    </format>
    <format dxfId="12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2">
      <pivotArea dataOnly="0" labelOnly="1" outline="0" fieldPosition="0">
        <references count="1">
          <reference field="0" count="0"/>
        </references>
      </pivotArea>
    </format>
    <format dxfId="12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90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89">
      <pivotArea dataOnly="0" labelOnly="1" outline="0" fieldPosition="0">
        <references count="1">
          <reference field="0" count="0"/>
        </references>
      </pivotArea>
    </format>
    <format dxfId="128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4">
      <pivotArea outline="0" fieldPosition="0">
        <references count="1">
          <reference field="4294967294" count="1" selected="0">
            <x v="4"/>
          </reference>
        </references>
      </pivotArea>
    </format>
    <format dxfId="1283">
      <pivotArea field="1" type="button" dataOnly="0" labelOnly="1" outline="0" axis="axisRow" fieldPosition="1"/>
    </format>
    <format dxfId="1282">
      <pivotArea field="6" type="button" dataOnly="0" labelOnly="1" outline="0" axis="axisRow" fieldPosition="2"/>
    </format>
    <format dxfId="12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4">
      <pivotArea dataOnly="0" labelOnly="1" outline="0" fieldPosition="0">
        <references count="1">
          <reference field="0" count="0"/>
        </references>
      </pivotArea>
    </format>
    <format dxfId="12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6">
      <pivotArea outline="0" fieldPosition="0">
        <references count="1">
          <reference field="4294967294" count="1" selected="0">
            <x v="4"/>
          </reference>
        </references>
      </pivotArea>
    </format>
    <format dxfId="1265">
      <pivotArea field="1" type="button" dataOnly="0" labelOnly="1" outline="0" axis="axisRow" fieldPosition="1"/>
    </format>
    <format dxfId="1264">
      <pivotArea field="6" type="button" dataOnly="0" labelOnly="1" outline="0" axis="axisRow" fieldPosition="2"/>
    </format>
    <format dxfId="12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7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6">
      <pivotArea dataOnly="0" labelOnly="1" outline="0" fieldPosition="0">
        <references count="1">
          <reference field="0" count="0"/>
        </references>
      </pivotArea>
    </format>
    <format dxfId="125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8">
      <pivotArea outline="0" fieldPosition="0">
        <references count="1">
          <reference field="4294967294" count="1" selected="0">
            <x v="4"/>
          </reference>
        </references>
      </pivotArea>
    </format>
    <format dxfId="1247">
      <pivotArea field="1" type="button" dataOnly="0" labelOnly="1" outline="0" axis="axisRow" fieldPosition="1"/>
    </format>
    <format dxfId="1246">
      <pivotArea field="6" type="button" dataOnly="0" labelOnly="1" outline="0" axis="axisRow" fieldPosition="2"/>
    </format>
    <format dxfId="12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8">
      <pivotArea dataOnly="0" labelOnly="1" outline="0" fieldPosition="0">
        <references count="1">
          <reference field="0" count="0"/>
        </references>
      </pivotArea>
    </format>
    <format dxfId="12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6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0">
      <pivotArea outline="0" fieldPosition="0">
        <references count="1">
          <reference field="4294967294" count="1" selected="0">
            <x v="4"/>
          </reference>
        </references>
      </pivotArea>
    </format>
    <format dxfId="1229">
      <pivotArea field="1" type="button" dataOnly="0" labelOnly="1" outline="0" axis="axisRow" fieldPosition="1"/>
    </format>
    <format dxfId="1228">
      <pivotArea field="6" type="button" dataOnly="0" labelOnly="1" outline="0" axis="axisRow" fieldPosition="2"/>
    </format>
    <format dxfId="12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21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18">
      <pivotArea outline="0" fieldPosition="0">
        <references count="1">
          <reference field="4294967294" count="1" selected="0">
            <x v="4"/>
          </reference>
        </references>
      </pivotArea>
    </format>
    <format dxfId="12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4">
      <pivotArea field="0" type="button" dataOnly="0" labelOnly="1" outline="0" axis="axisRow" fieldPosition="0"/>
    </format>
    <format dxfId="1213">
      <pivotArea field="1" type="button" dataOnly="0" labelOnly="1" outline="0" axis="axisRow" fieldPosition="1"/>
    </format>
    <format dxfId="1212">
      <pivotArea field="6" type="button" dataOnly="0" labelOnly="1" outline="0" axis="axisRow" fieldPosition="2"/>
    </format>
    <format dxfId="12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0">
      <pivotArea field="0" type="button" dataOnly="0" labelOnly="1" outline="0" axis="axisRow" fieldPosition="0"/>
    </format>
    <format dxfId="1209">
      <pivotArea field="1" type="button" dataOnly="0" labelOnly="1" outline="0" axis="axisRow" fieldPosition="1"/>
    </format>
    <format dxfId="1208">
      <pivotArea field="6" type="button" dataOnly="0" labelOnly="1" outline="0" axis="axisRow" fieldPosition="2"/>
    </format>
    <format dxfId="12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6">
      <pivotArea dataOnly="0" labelOnly="1" outline="0" fieldPosition="0">
        <references count="1">
          <reference field="0" count="0"/>
        </references>
      </pivotArea>
    </format>
    <format dxfId="120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04">
      <pivotArea dataOnly="0" labelOnly="1" outline="0" fieldPosition="0">
        <references count="1">
          <reference field="0" count="0"/>
        </references>
      </pivotArea>
    </format>
    <format dxfId="12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20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9">
      <pivotArea outline="0" fieldPosition="0">
        <references count="1">
          <reference field="4294967294" count="1" selected="0">
            <x v="4"/>
          </reference>
        </references>
      </pivotArea>
    </format>
    <format dxfId="11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5">
      <pivotArea field="0" type="button" dataOnly="0" labelOnly="1" outline="0" axis="axisRow" fieldPosition="0"/>
    </format>
    <format dxfId="1194">
      <pivotArea field="1" type="button" dataOnly="0" labelOnly="1" outline="0" axis="axisRow" fieldPosition="1"/>
    </format>
    <format dxfId="1193">
      <pivotArea field="6" type="button" dataOnly="0" labelOnly="1" outline="0" axis="axisRow" fieldPosition="2"/>
    </format>
    <format dxfId="11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1">
      <pivotArea field="0" type="button" dataOnly="0" labelOnly="1" outline="0" axis="axisRow" fieldPosition="0"/>
    </format>
    <format dxfId="1190">
      <pivotArea field="1" type="button" dataOnly="0" labelOnly="1" outline="0" axis="axisRow" fieldPosition="1"/>
    </format>
    <format dxfId="1189">
      <pivotArea field="6" type="button" dataOnly="0" labelOnly="1" outline="0" axis="axisRow" fieldPosition="2"/>
    </format>
    <format dxfId="11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5">
      <pivotArea outline="0" fieldPosition="0">
        <references count="1">
          <reference field="4294967294" count="1" selected="0">
            <x v="4"/>
          </reference>
        </references>
      </pivotArea>
    </format>
    <format dxfId="1184">
      <pivotArea field="1" type="button" dataOnly="0" labelOnly="1" outline="0" axis="axisRow" fieldPosition="1"/>
    </format>
    <format dxfId="1183">
      <pivotArea field="6" type="button" dataOnly="0" labelOnly="1" outline="0" axis="axisRow" fieldPosition="2"/>
    </format>
    <format dxfId="118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1">
      <pivotArea field="1" type="button" dataOnly="0" labelOnly="1" outline="0" axis="axisRow" fieldPosition="1"/>
    </format>
    <format dxfId="1180">
      <pivotArea field="6" type="button" dataOnly="0" labelOnly="1" outline="0" axis="axisRow" fieldPosition="2"/>
    </format>
    <format dxfId="11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5">
      <pivotArea dataOnly="0" labelOnly="1" outline="0" fieldPosition="0">
        <references count="1">
          <reference field="0" count="0"/>
        </references>
      </pivotArea>
    </format>
    <format dxfId="117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1">
      <pivotArea outline="0" fieldPosition="0">
        <references count="1">
          <reference field="4294967294" count="1" selected="0">
            <x v="4"/>
          </reference>
        </references>
      </pivotArea>
    </format>
    <format dxfId="1170">
      <pivotArea field="1" type="button" dataOnly="0" labelOnly="1" outline="0" axis="axisRow" fieldPosition="1"/>
    </format>
    <format dxfId="1169">
      <pivotArea field="6" type="button" dataOnly="0" labelOnly="1" outline="0" axis="axisRow" fieldPosition="2"/>
    </format>
    <format dxfId="11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7">
      <pivotArea field="1" type="button" dataOnly="0" labelOnly="1" outline="0" axis="axisRow" fieldPosition="1"/>
    </format>
    <format dxfId="1166">
      <pivotArea field="6" type="button" dataOnly="0" labelOnly="1" outline="0" axis="axisRow" fieldPosition="2"/>
    </format>
    <format dxfId="11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1">
      <pivotArea dataOnly="0" labelOnly="1" outline="0" fieldPosition="0">
        <references count="1">
          <reference field="0" count="0"/>
        </references>
      </pivotArea>
    </format>
    <format dxfId="1160">
      <pivotArea outline="0" collapsedLevelsAreSubtotals="1" fieldPosition="0"/>
    </format>
    <format dxfId="1159">
      <pivotArea dataOnly="0" labelOnly="1" outline="0" fieldPosition="0">
        <references count="1">
          <reference field="0" count="0"/>
        </references>
      </pivotArea>
    </format>
    <format dxfId="1158">
      <pivotArea dataOnly="0" labelOnly="1" grandRow="1" outline="0" fieldPosition="0"/>
    </format>
    <format dxfId="11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3">
      <pivotArea outline="0" fieldPosition="0">
        <references count="1">
          <reference field="4294967294" count="1" selected="0">
            <x v="4"/>
          </reference>
        </references>
      </pivotArea>
    </format>
    <format dxfId="1152">
      <pivotArea field="1" type="button" dataOnly="0" labelOnly="1" outline="0" axis="axisRow" fieldPosition="1"/>
    </format>
    <format dxfId="1151">
      <pivotArea field="6" type="button" dataOnly="0" labelOnly="1" outline="0" axis="axisRow" fieldPosition="2"/>
    </format>
    <format dxfId="11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3">
      <pivotArea outline="0" collapsedLevelsAreSubtotals="1" fieldPosition="0"/>
    </format>
    <format dxfId="1142">
      <pivotArea dataOnly="0" labelOnly="1" outline="0" fieldPosition="0">
        <references count="1">
          <reference field="0" count="0"/>
        </references>
      </pivotArea>
    </format>
    <format dxfId="1141">
      <pivotArea dataOnly="0" labelOnly="1" grandRow="1" outline="0" fieldPosition="0"/>
    </format>
    <format dxfId="11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38">
      <pivotArea outline="0" collapsedLevelsAreSubtotals="1" fieldPosition="0"/>
    </format>
    <format dxfId="1137">
      <pivotArea dataOnly="0" labelOnly="1" outline="0" fieldPosition="0">
        <references count="1">
          <reference field="0" count="0"/>
        </references>
      </pivotArea>
    </format>
    <format dxfId="1136">
      <pivotArea dataOnly="0" labelOnly="1" grandRow="1" outline="0" fieldPosition="0"/>
    </format>
    <format dxfId="11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1">
      <pivotArea outline="0" fieldPosition="0">
        <references count="1">
          <reference field="4294967294" count="1" selected="0">
            <x v="4"/>
          </reference>
        </references>
      </pivotArea>
    </format>
    <format dxfId="113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8">
      <pivotArea type="all" dataOnly="0" outline="0" fieldPosition="0"/>
    </format>
    <format dxfId="1127">
      <pivotArea outline="0" collapsedLevelsAreSubtotals="1" fieldPosition="0"/>
    </format>
    <format dxfId="1126">
      <pivotArea field="0" type="button" dataOnly="0" labelOnly="1" outline="0" axis="axisRow" fieldPosition="0"/>
    </format>
    <format dxfId="1125">
      <pivotArea field="1" type="button" dataOnly="0" labelOnly="1" outline="0" axis="axisRow" fieldPosition="1"/>
    </format>
    <format dxfId="1124">
      <pivotArea field="6" type="button" dataOnly="0" labelOnly="1" outline="0" axis="axisRow" fieldPosition="2"/>
    </format>
    <format dxfId="1123">
      <pivotArea dataOnly="0" labelOnly="1" outline="0" fieldPosition="0">
        <references count="1">
          <reference field="0" count="0"/>
        </references>
      </pivotArea>
    </format>
    <format dxfId="1122">
      <pivotArea dataOnly="0" labelOnly="1" grandRow="1" outline="0" fieldPosition="0"/>
    </format>
    <format dxfId="11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18">
      <pivotArea type="all" dataOnly="0" outline="0" fieldPosition="0"/>
    </format>
    <format dxfId="1117">
      <pivotArea outline="0" collapsedLevelsAreSubtotals="1" fieldPosition="0"/>
    </format>
    <format dxfId="1116">
      <pivotArea field="0" type="button" dataOnly="0" labelOnly="1" outline="0" axis="axisRow" fieldPosition="0"/>
    </format>
    <format dxfId="1115">
      <pivotArea field="1" type="button" dataOnly="0" labelOnly="1" outline="0" axis="axisRow" fieldPosition="1"/>
    </format>
    <format dxfId="1114">
      <pivotArea field="6" type="button" dataOnly="0" labelOnly="1" outline="0" axis="axisRow" fieldPosition="2"/>
    </format>
    <format dxfId="1113">
      <pivotArea dataOnly="0" labelOnly="1" outline="0" fieldPosition="0">
        <references count="1">
          <reference field="0" count="0"/>
        </references>
      </pivotArea>
    </format>
    <format dxfId="1112">
      <pivotArea dataOnly="0" labelOnly="1" grandRow="1" outline="0" fieldPosition="0"/>
    </format>
    <format dxfId="11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0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0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06">
      <pivotArea outline="0" fieldPosition="0">
        <references count="1">
          <reference field="4294967294" count="1" selected="0">
            <x v="4"/>
          </reference>
        </references>
      </pivotArea>
    </format>
    <format dxfId="110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3">
      <pivotArea type="all" dataOnly="0" outline="0" fieldPosition="0"/>
    </format>
    <format dxfId="1102">
      <pivotArea outline="0" collapsedLevelsAreSubtotals="1" fieldPosition="0"/>
    </format>
    <format dxfId="1101">
      <pivotArea field="0" type="button" dataOnly="0" labelOnly="1" outline="0" axis="axisRow" fieldPosition="0"/>
    </format>
    <format dxfId="1100">
      <pivotArea field="1" type="button" dataOnly="0" labelOnly="1" outline="0" axis="axisRow" fieldPosition="1"/>
    </format>
    <format dxfId="1099">
      <pivotArea field="6" type="button" dataOnly="0" labelOnly="1" outline="0" axis="axisRow" fieldPosition="2"/>
    </format>
    <format dxfId="1098">
      <pivotArea dataOnly="0" labelOnly="1" outline="0" fieldPosition="0">
        <references count="1">
          <reference field="0" count="0"/>
        </references>
      </pivotArea>
    </format>
    <format dxfId="1097">
      <pivotArea dataOnly="0" labelOnly="1" grandRow="1" outline="0" fieldPosition="0"/>
    </format>
    <format dxfId="10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3">
      <pivotArea type="all" dataOnly="0" outline="0" fieldPosition="0"/>
    </format>
    <format dxfId="1092">
      <pivotArea outline="0" collapsedLevelsAreSubtotals="1" fieldPosition="0"/>
    </format>
    <format dxfId="1091">
      <pivotArea field="0" type="button" dataOnly="0" labelOnly="1" outline="0" axis="axisRow" fieldPosition="0"/>
    </format>
    <format dxfId="1090">
      <pivotArea field="1" type="button" dataOnly="0" labelOnly="1" outline="0" axis="axisRow" fieldPosition="1"/>
    </format>
    <format dxfId="1089">
      <pivotArea field="6" type="button" dataOnly="0" labelOnly="1" outline="0" axis="axisRow" fieldPosition="2"/>
    </format>
    <format dxfId="1088">
      <pivotArea dataOnly="0" labelOnly="1" outline="0" fieldPosition="0">
        <references count="1">
          <reference field="0" count="0"/>
        </references>
      </pivotArea>
    </format>
    <format dxfId="1087">
      <pivotArea dataOnly="0" labelOnly="1" grandRow="1" outline="0" fieldPosition="0"/>
    </format>
    <format dxfId="10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1">
      <pivotArea outline="0" fieldPosition="0">
        <references count="1">
          <reference field="4294967294" count="1" selected="0">
            <x v="4"/>
          </reference>
        </references>
      </pivotArea>
    </format>
    <format dxfId="108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7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78">
      <pivotArea type="all" dataOnly="0" outline="0" fieldPosition="0"/>
    </format>
    <format dxfId="1077">
      <pivotArea outline="0" collapsedLevelsAreSubtotals="1" fieldPosition="0"/>
    </format>
    <format dxfId="1076">
      <pivotArea field="0" type="button" dataOnly="0" labelOnly="1" outline="0" axis="axisRow" fieldPosition="0"/>
    </format>
    <format dxfId="1075">
      <pivotArea field="1" type="button" dataOnly="0" labelOnly="1" outline="0" axis="axisRow" fieldPosition="1"/>
    </format>
    <format dxfId="1074">
      <pivotArea field="6" type="button" dataOnly="0" labelOnly="1" outline="0" axis="axisRow" fieldPosition="2"/>
    </format>
    <format dxfId="1073">
      <pivotArea dataOnly="0" labelOnly="1" outline="0" fieldPosition="0">
        <references count="1">
          <reference field="0" count="0"/>
        </references>
      </pivotArea>
    </format>
    <format dxfId="1072">
      <pivotArea dataOnly="0" labelOnly="1" grandRow="1" outline="0" fieldPosition="0"/>
    </format>
    <format dxfId="10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68">
      <pivotArea type="all" dataOnly="0" outline="0" fieldPosition="0"/>
    </format>
    <format dxfId="1067">
      <pivotArea outline="0" collapsedLevelsAreSubtotals="1" fieldPosition="0"/>
    </format>
    <format dxfId="1066">
      <pivotArea field="0" type="button" dataOnly="0" labelOnly="1" outline="0" axis="axisRow" fieldPosition="0"/>
    </format>
    <format dxfId="1065">
      <pivotArea field="1" type="button" dataOnly="0" labelOnly="1" outline="0" axis="axisRow" fieldPosition="1"/>
    </format>
    <format dxfId="1064">
      <pivotArea field="6" type="button" dataOnly="0" labelOnly="1" outline="0" axis="axisRow" fieldPosition="2"/>
    </format>
    <format dxfId="1063">
      <pivotArea dataOnly="0" labelOnly="1" outline="0" fieldPosition="0">
        <references count="1">
          <reference field="0" count="0"/>
        </references>
      </pivotArea>
    </format>
    <format dxfId="1062">
      <pivotArea dataOnly="0" labelOnly="1" grandRow="1" outline="0" fieldPosition="0"/>
    </format>
    <format dxfId="10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5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56">
      <pivotArea outline="0" fieldPosition="0">
        <references count="1">
          <reference field="4294967294" count="1" selected="0">
            <x v="4"/>
          </reference>
        </references>
      </pivotArea>
    </format>
    <format dxfId="10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3">
      <pivotArea type="all" dataOnly="0" outline="0" fieldPosition="0"/>
    </format>
    <format dxfId="1052">
      <pivotArea outline="0" collapsedLevelsAreSubtotals="1" fieldPosition="0"/>
    </format>
    <format dxfId="1051">
      <pivotArea field="1" type="button" dataOnly="0" labelOnly="1" outline="0" axis="axisRow" fieldPosition="1"/>
    </format>
    <format dxfId="1050">
      <pivotArea field="6" type="button" dataOnly="0" labelOnly="1" outline="0" axis="axisRow" fieldPosition="2"/>
    </format>
    <format dxfId="1049">
      <pivotArea dataOnly="0" labelOnly="1" outline="0" fieldPosition="0">
        <references count="1">
          <reference field="1" count="0"/>
        </references>
      </pivotArea>
    </format>
    <format dxfId="1048">
      <pivotArea dataOnly="0" labelOnly="1" grandRow="1" outline="0" fieldPosition="0"/>
    </format>
    <format dxfId="104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5">
      <pivotArea type="all" dataOnly="0" outline="0" fieldPosition="0"/>
    </format>
    <format dxfId="1044">
      <pivotArea outline="0" collapsedLevelsAreSubtotals="1" fieldPosition="0"/>
    </format>
    <format dxfId="1043">
      <pivotArea field="1" type="button" dataOnly="0" labelOnly="1" outline="0" axis="axisRow" fieldPosition="1"/>
    </format>
    <format dxfId="1042">
      <pivotArea field="6" type="button" dataOnly="0" labelOnly="1" outline="0" axis="axisRow" fieldPosition="2"/>
    </format>
    <format dxfId="1041">
      <pivotArea dataOnly="0" labelOnly="1" outline="0" fieldPosition="0">
        <references count="1">
          <reference field="1" count="0"/>
        </references>
      </pivotArea>
    </format>
    <format dxfId="1040">
      <pivotArea dataOnly="0" labelOnly="1" grandRow="1" outline="0" fieldPosition="0"/>
    </format>
    <format dxfId="103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0" type="button" dataOnly="0" labelOnly="1" outline="0" axis="axisRow" fieldPosition="0"/>
    </format>
    <format dxfId="1008">
      <pivotArea field="1" type="button" dataOnly="0" labelOnly="1" outline="0" axis="axisRow" fieldPosition="1"/>
    </format>
    <format dxfId="1007">
      <pivotArea field="6" type="button" dataOnly="0" labelOnly="1" outline="0" axis="axisRow" fieldPosition="2"/>
    </format>
    <format dxfId="1006">
      <pivotArea dataOnly="0" labelOnly="1" outline="0" fieldPosition="0">
        <references count="1">
          <reference field="0" count="0"/>
        </references>
      </pivotArea>
    </format>
    <format dxfId="1005">
      <pivotArea dataOnly="0" labelOnly="1" grandRow="1" outline="0" fieldPosition="0"/>
    </format>
    <format dxfId="100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1">
      <pivotArea type="all" dataOnly="0" outline="0" fieldPosition="0"/>
    </format>
    <format dxfId="1000">
      <pivotArea outline="0" collapsedLevelsAreSubtotals="1" fieldPosition="0"/>
    </format>
    <format dxfId="999">
      <pivotArea field="0" type="button" dataOnly="0" labelOnly="1" outline="0" axis="axisRow" fieldPosition="0"/>
    </format>
    <format dxfId="998">
      <pivotArea field="1" type="button" dataOnly="0" labelOnly="1" outline="0" axis="axisRow" fieldPosition="1"/>
    </format>
    <format dxfId="997">
      <pivotArea field="6" type="button" dataOnly="0" labelOnly="1" outline="0" axis="axisRow" fieldPosition="2"/>
    </format>
    <format dxfId="996">
      <pivotArea dataOnly="0" labelOnly="1" outline="0" fieldPosition="0">
        <references count="1">
          <reference field="0" count="0"/>
        </references>
      </pivotArea>
    </format>
    <format dxfId="995">
      <pivotArea dataOnly="0" labelOnly="1" grandRow="1" outline="0" fieldPosition="0"/>
    </format>
    <format dxfId="9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89">
      <pivotArea outline="0" fieldPosition="0">
        <references count="1">
          <reference field="4294967294" count="1" selected="0">
            <x v="4"/>
          </reference>
        </references>
      </pivotArea>
    </format>
    <format dxfId="9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86">
      <pivotArea type="all" dataOnly="0" outline="0" fieldPosition="0"/>
    </format>
    <format dxfId="985">
      <pivotArea outline="0" collapsedLevelsAreSubtotals="1" fieldPosition="0"/>
    </format>
    <format dxfId="984">
      <pivotArea field="1" type="button" dataOnly="0" labelOnly="1" outline="0" axis="axisRow" fieldPosition="1"/>
    </format>
    <format dxfId="983">
      <pivotArea field="6" type="button" dataOnly="0" labelOnly="1" outline="0" axis="axisRow" fieldPosition="2"/>
    </format>
    <format dxfId="982">
      <pivotArea dataOnly="0" labelOnly="1" outline="0" fieldPosition="0">
        <references count="1">
          <reference field="1" count="0"/>
        </references>
      </pivotArea>
    </format>
    <format dxfId="981">
      <pivotArea dataOnly="0" labelOnly="1" grandRow="1" outline="0" fieldPosition="0"/>
    </format>
    <format dxfId="9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78">
      <pivotArea type="all" dataOnly="0" outline="0" fieldPosition="0"/>
    </format>
    <format dxfId="977">
      <pivotArea outline="0" collapsedLevelsAreSubtotals="1" fieldPosition="0"/>
    </format>
    <format dxfId="976">
      <pivotArea field="1" type="button" dataOnly="0" labelOnly="1" outline="0" axis="axisRow" fieldPosition="1"/>
    </format>
    <format dxfId="975">
      <pivotArea field="6" type="button" dataOnly="0" labelOnly="1" outline="0" axis="axisRow" fieldPosition="2"/>
    </format>
    <format dxfId="974">
      <pivotArea dataOnly="0" labelOnly="1" outline="0" fieldPosition="0">
        <references count="1">
          <reference field="1" count="0"/>
        </references>
      </pivotArea>
    </format>
    <format dxfId="973">
      <pivotArea dataOnly="0" labelOnly="1" grandRow="1" outline="0" fieldPosition="0"/>
    </format>
    <format dxfId="9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6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m="1" x="3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4"/>
    </i>
    <i r="2"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field="1" type="button" dataOnly="0" labelOnly="1" outline="0" axis="axisRow" fieldPosition="1"/>
    </format>
    <format dxfId="858">
      <pivotArea field="6" type="button" dataOnly="0" labelOnly="1" outline="0" axis="axisRow" fieldPosition="2"/>
    </format>
    <format dxfId="857">
      <pivotArea dataOnly="0" labelOnly="1" outline="0" fieldPosition="0">
        <references count="1">
          <reference field="1" count="0"/>
        </references>
      </pivotArea>
    </format>
    <format dxfId="85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4">
      <pivotArea type="all" dataOnly="0" outline="0" fieldPosition="0"/>
    </format>
    <format dxfId="853">
      <pivotArea field="1" type="button" dataOnly="0" labelOnly="1" outline="0" axis="axisRow" fieldPosition="1"/>
    </format>
    <format dxfId="852">
      <pivotArea field="6" type="button" dataOnly="0" labelOnly="1" outline="0" axis="axisRow" fieldPosition="2"/>
    </format>
    <format dxfId="851">
      <pivotArea dataOnly="0" labelOnly="1" outline="0" fieldPosition="0">
        <references count="1">
          <reference field="1" count="0"/>
        </references>
      </pivotArea>
    </format>
    <format dxfId="8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8">
      <pivotArea outline="0" collapsedLevelsAreSubtotals="1" fieldPosition="0"/>
    </format>
    <format dxfId="847">
      <pivotArea dataOnly="0" labelOnly="1" outline="0" fieldPosition="0">
        <references count="1">
          <reference field="0" count="0"/>
        </references>
      </pivotArea>
    </format>
    <format dxfId="846">
      <pivotArea dataOnly="0" labelOnly="1" grandRow="1" outline="0" fieldPosition="0"/>
    </format>
    <format dxfId="8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43">
      <pivotArea outline="0" collapsedLevelsAreSubtotals="1" fieldPosition="0"/>
    </format>
    <format dxfId="842">
      <pivotArea dataOnly="0" labelOnly="1" outline="0" fieldPosition="0">
        <references count="1">
          <reference field="0" count="0"/>
        </references>
      </pivotArea>
    </format>
    <format dxfId="841">
      <pivotArea dataOnly="0" labelOnly="1" grandRow="1" outline="0" fieldPosition="0"/>
    </format>
    <format dxfId="8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3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3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36">
      <pivotArea outline="0" fieldPosition="0">
        <references count="1">
          <reference field="4294967294" count="1" selected="0">
            <x v="4"/>
          </reference>
        </references>
      </pivotArea>
    </format>
    <format dxfId="835">
      <pivotArea field="1" type="button" dataOnly="0" labelOnly="1" outline="0" axis="axisRow" fieldPosition="1"/>
    </format>
    <format dxfId="834">
      <pivotArea field="6" type="button" dataOnly="0" labelOnly="1" outline="0" axis="axisRow" fieldPosition="2"/>
    </format>
    <format dxfId="8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2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2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24">
      <pivotArea outline="0" fieldPosition="0">
        <references count="1">
          <reference field="4294967294" count="1" selected="0">
            <x v="4"/>
          </reference>
        </references>
      </pivotArea>
    </format>
    <format dxfId="8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field="1" type="button" dataOnly="0" labelOnly="1" outline="0" axis="axisRow" fieldPosition="1"/>
    </format>
    <format dxfId="818">
      <pivotArea field="6" type="button" dataOnly="0" labelOnly="1" outline="0" axis="axisRow" fieldPosition="2"/>
    </format>
    <format dxfId="817">
      <pivotArea dataOnly="0" labelOnly="1" outline="0" fieldPosition="0">
        <references count="1">
          <reference field="1" count="0"/>
        </references>
      </pivotArea>
    </format>
    <format dxfId="816">
      <pivotArea dataOnly="0" labelOnly="1" grandRow="1" outline="0" fieldPosition="0"/>
    </format>
    <format dxfId="81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1" count="0"/>
        </references>
      </pivotArea>
    </format>
    <format dxfId="808">
      <pivotArea dataOnly="0" labelOnly="1" grandRow="1" outline="0" fieldPosition="0"/>
    </format>
    <format dxfId="80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80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804">
      <pivotArea outline="0" fieldPosition="0">
        <references count="1">
          <reference field="4294967294" count="1" selected="0">
            <x v="3"/>
          </reference>
        </references>
      </pivotArea>
    </format>
    <format dxfId="803">
      <pivotArea field="1" type="button" dataOnly="0" labelOnly="1" outline="0" axis="axisRow" fieldPosition="1"/>
    </format>
    <format dxfId="802">
      <pivotArea field="6" type="button" dataOnly="0" labelOnly="1" outline="0" axis="axisRow" fieldPosition="2"/>
    </format>
    <format dxfId="80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800">
      <pivotArea field="1" type="button" dataOnly="0" labelOnly="1" outline="0" axis="axisRow" fieldPosition="1"/>
    </format>
    <format dxfId="799">
      <pivotArea field="6" type="button" dataOnly="0" labelOnly="1" outline="0" axis="axisRow" fieldPosition="2"/>
    </format>
    <format dxfId="79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9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9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94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92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91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88">
      <pivotArea outline="0" fieldPosition="0">
        <references count="1">
          <reference field="4294967294" count="1" selected="0">
            <x v="4"/>
          </reference>
        </references>
      </pivotArea>
    </format>
    <format dxfId="7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85">
      <pivotArea type="all" dataOnly="0" outline="0" fieldPosition="0"/>
    </format>
    <format dxfId="784">
      <pivotArea outline="0" collapsedLevelsAreSubtotals="1" fieldPosition="0"/>
    </format>
    <format dxfId="783">
      <pivotArea field="0" type="button" dataOnly="0" labelOnly="1" outline="0" axis="axisRow" fieldPosition="0"/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grandRow="1" outline="0" fieldPosition="0"/>
    </format>
    <format dxfId="7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78">
      <pivotArea type="all" dataOnly="0" outline="0" fieldPosition="0"/>
    </format>
    <format dxfId="777">
      <pivotArea outline="0" collapsedLevelsAreSubtotals="1" fieldPosition="0"/>
    </format>
    <format dxfId="776">
      <pivotArea field="0" type="button" dataOnly="0" labelOnly="1" outline="0" axis="axisRow" fieldPosition="0"/>
    </format>
    <format dxfId="775">
      <pivotArea field="1" type="button" dataOnly="0" labelOnly="1" outline="0" axis="axisRow" fieldPosition="1"/>
    </format>
    <format dxfId="774">
      <pivotArea field="6" type="button" dataOnly="0" labelOnly="1" outline="0" axis="axisRow" fieldPosition="2"/>
    </format>
    <format dxfId="773">
      <pivotArea dataOnly="0" labelOnly="1" outline="0" fieldPosition="0">
        <references count="1">
          <reference field="0" count="0"/>
        </references>
      </pivotArea>
    </format>
    <format dxfId="772">
      <pivotArea dataOnly="0" labelOnly="1" grandRow="1" outline="0" fieldPosition="0"/>
    </format>
    <format dxfId="7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68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67">
      <pivotArea dataOnly="0" labelOnly="1" outline="0" fieldPosition="0">
        <references count="1">
          <reference field="0" count="0"/>
        </references>
      </pivotArea>
    </format>
    <format dxfId="7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2">
      <pivotArea outline="0" fieldPosition="0">
        <references count="1">
          <reference field="4294967294" count="1" selected="0">
            <x v="4"/>
          </reference>
        </references>
      </pivotArea>
    </format>
    <format dxfId="76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59">
      <pivotArea type="all" dataOnly="0" outline="0" fieldPosition="0"/>
    </format>
    <format dxfId="758">
      <pivotArea outline="0" collapsedLevelsAreSubtotals="1" fieldPosition="0"/>
    </format>
    <format dxfId="757">
      <pivotArea field="0" type="button" dataOnly="0" labelOnly="1" outline="0" axis="axisRow" fieldPosition="0"/>
    </format>
    <format dxfId="756">
      <pivotArea field="1" type="button" dataOnly="0" labelOnly="1" outline="0" axis="axisRow" fieldPosition="1"/>
    </format>
    <format dxfId="755">
      <pivotArea field="6" type="button" dataOnly="0" labelOnly="1" outline="0" axis="axisRow" fieldPosition="2"/>
    </format>
    <format dxfId="754">
      <pivotArea dataOnly="0" labelOnly="1" outline="0" fieldPosition="0">
        <references count="1">
          <reference field="0" count="0"/>
        </references>
      </pivotArea>
    </format>
    <format dxfId="753">
      <pivotArea dataOnly="0" labelOnly="1" grandRow="1" outline="0" fieldPosition="0"/>
    </format>
    <format dxfId="7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9">
      <pivotArea type="all" dataOnly="0" outline="0" fieldPosition="0"/>
    </format>
    <format dxfId="748">
      <pivotArea outline="0" collapsedLevelsAreSubtotals="1" fieldPosition="0"/>
    </format>
    <format dxfId="747">
      <pivotArea field="0" type="button" dataOnly="0" labelOnly="1" outline="0" axis="axisRow" fieldPosition="0"/>
    </format>
    <format dxfId="746">
      <pivotArea field="1" type="button" dataOnly="0" labelOnly="1" outline="0" axis="axisRow" fieldPosition="1"/>
    </format>
    <format dxfId="745">
      <pivotArea field="6" type="button" dataOnly="0" labelOnly="1" outline="0" axis="axisRow" fieldPosition="2"/>
    </format>
    <format dxfId="744">
      <pivotArea dataOnly="0" labelOnly="1" outline="0" fieldPosition="0">
        <references count="1">
          <reference field="0" count="0"/>
        </references>
      </pivotArea>
    </format>
    <format dxfId="743">
      <pivotArea dataOnly="0" labelOnly="1" grandRow="1" outline="0" fieldPosition="0"/>
    </format>
    <format dxfId="7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37">
      <pivotArea outline="0" fieldPosition="0">
        <references count="1">
          <reference field="4294967294" count="1" selected="0">
            <x v="4"/>
          </reference>
        </references>
      </pivotArea>
    </format>
    <format dxfId="73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4">
      <pivotArea type="all" dataOnly="0" outline="0" fieldPosition="0"/>
    </format>
    <format dxfId="733">
      <pivotArea field="1" type="button" dataOnly="0" labelOnly="1" outline="0" axis="axisRow" fieldPosition="1"/>
    </format>
    <format dxfId="732">
      <pivotArea field="6" type="button" dataOnly="0" labelOnly="1" outline="0" axis="axisRow" fieldPosition="2"/>
    </format>
    <format dxfId="731">
      <pivotArea dataOnly="0" labelOnly="1" outline="0" fieldPosition="0">
        <references count="1">
          <reference field="1" count="0"/>
        </references>
      </pivotArea>
    </format>
    <format dxfId="7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1" type="button" dataOnly="0" labelOnly="1" outline="0" axis="axisRow" fieldPosition="1"/>
    </format>
    <format dxfId="725">
      <pivotArea field="6" type="button" dataOnly="0" labelOnly="1" outline="0" axis="axisRow" fieldPosition="2"/>
    </format>
    <format dxfId="724">
      <pivotArea dataOnly="0" labelOnly="1" outline="0" fieldPosition="0">
        <references count="1">
          <reference field="1" count="0"/>
        </references>
      </pivotArea>
    </format>
    <format dxfId="723">
      <pivotArea dataOnly="0" labelOnly="1" grandRow="1" outline="0" fieldPosition="0"/>
    </format>
    <format dxfId="72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0">
      <pivotArea outline="0" collapsedLevelsAreSubtotals="1" fieldPosition="0"/>
    </format>
    <format dxfId="719">
      <pivotArea dataOnly="0" labelOnly="1" outline="0" fieldPosition="0">
        <references count="1">
          <reference field="0" count="0"/>
        </references>
      </pivotArea>
    </format>
    <format dxfId="718">
      <pivotArea dataOnly="0" labelOnly="1" grandRow="1" outline="0" fieldPosition="0"/>
    </format>
    <format dxfId="71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3">
      <pivotArea outline="0" fieldPosition="0">
        <references count="1">
          <reference field="4294967294" count="1" selected="0">
            <x v="4"/>
          </reference>
        </references>
      </pivotArea>
    </format>
    <format dxfId="7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0">
      <pivotArea type="all" dataOnly="0" outline="0" fieldPosition="0"/>
    </format>
    <format dxfId="709">
      <pivotArea field="0" type="button" dataOnly="0" labelOnly="1" outline="0" axis="axisRow" fieldPosition="0"/>
    </format>
    <format dxfId="708">
      <pivotArea field="1" type="button" dataOnly="0" labelOnly="1" outline="0" axis="axisRow" fieldPosition="1"/>
    </format>
    <format dxfId="707">
      <pivotArea field="6" type="button" dataOnly="0" labelOnly="1" outline="0" axis="axisRow" fieldPosition="2"/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type="all" dataOnly="0" outline="0" fieldPosition="0"/>
    </format>
    <format dxfId="704">
      <pivotArea field="0" type="button" dataOnly="0" labelOnly="1" outline="0" axis="axisRow" fieldPosition="0"/>
    </format>
    <format dxfId="703">
      <pivotArea field="1" type="button" dataOnly="0" labelOnly="1" outline="0" axis="axisRow" fieldPosition="1"/>
    </format>
    <format dxfId="702">
      <pivotArea field="6" type="button" dataOnly="0" labelOnly="1" outline="0" axis="axisRow" fieldPosition="2"/>
    </format>
    <format dxfId="7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0">
      <pivotArea outline="0" collapsedLevelsAreSubtotals="1" fieldPosition="0"/>
    </format>
    <format dxfId="699">
      <pivotArea dataOnly="0" labelOnly="1" outline="0" fieldPosition="0">
        <references count="1">
          <reference field="0" count="0"/>
        </references>
      </pivotArea>
    </format>
    <format dxfId="698">
      <pivotArea dataOnly="0" labelOnly="1" grandRow="1" outline="0" fieldPosition="0"/>
    </format>
    <format dxfId="6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95">
      <pivotArea outline="0" collapsedLevelsAreSubtotals="1" fieldPosition="0"/>
    </format>
    <format dxfId="694">
      <pivotArea dataOnly="0" labelOnly="1" outline="0" fieldPosition="0">
        <references count="1">
          <reference field="0" count="0"/>
        </references>
      </pivotArea>
    </format>
    <format dxfId="693">
      <pivotArea dataOnly="0" labelOnly="1" grandRow="1" outline="0" fieldPosition="0"/>
    </format>
    <format dxfId="6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9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8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88">
      <pivotArea outline="0" fieldPosition="0">
        <references count="1">
          <reference field="4294967294" count="1" selected="0">
            <x v="4"/>
          </reference>
        </references>
      </pivotArea>
    </format>
    <format dxfId="68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5">
      <pivotArea type="all" dataOnly="0" outline="0" fieldPosition="0"/>
    </format>
    <format dxfId="684">
      <pivotArea outline="0" collapsedLevelsAreSubtotals="1" fieldPosition="0"/>
    </format>
    <format dxfId="683">
      <pivotArea field="1" type="button" dataOnly="0" labelOnly="1" outline="0" axis="axisRow" fieldPosition="1"/>
    </format>
    <format dxfId="682">
      <pivotArea field="6" type="button" dataOnly="0" labelOnly="1" outline="0" axis="axisRow" fieldPosition="2"/>
    </format>
    <format dxfId="681">
      <pivotArea dataOnly="0" labelOnly="1" outline="0" fieldPosition="0">
        <references count="1">
          <reference field="1" count="0"/>
        </references>
      </pivotArea>
    </format>
    <format dxfId="680">
      <pivotArea dataOnly="0" labelOnly="1" grandRow="1" outline="0" fieldPosition="0"/>
    </format>
    <format dxfId="67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1" type="button" dataOnly="0" labelOnly="1" outline="0" axis="axisRow" fieldPosition="1"/>
    </format>
    <format dxfId="674">
      <pivotArea field="6" type="button" dataOnly="0" labelOnly="1" outline="0" axis="axisRow" fieldPosition="2"/>
    </format>
    <format dxfId="673">
      <pivotArea dataOnly="0" labelOnly="1" outline="0" fieldPosition="0">
        <references count="1">
          <reference field="1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0" type="button" dataOnly="0" labelOnly="1" outline="0" axis="axisRow" fieldPosition="0"/>
    </format>
    <format dxfId="661">
      <pivotArea field="1" type="button" dataOnly="0" labelOnly="1" outline="0" axis="axisRow" fieldPosition="1"/>
    </format>
    <format dxfId="660">
      <pivotArea field="6" type="button" dataOnly="0" labelOnly="1" outline="0" axis="axisRow" fieldPosition="2"/>
    </format>
    <format dxfId="659">
      <pivotArea dataOnly="0" labelOnly="1" outline="0" fieldPosition="0">
        <references count="1">
          <reference field="0" count="0"/>
        </references>
      </pivotArea>
    </format>
    <format dxfId="658">
      <pivotArea dataOnly="0" labelOnly="1" grandRow="1" outline="0" fieldPosition="0"/>
    </format>
    <format dxfId="6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4">
      <pivotArea type="all" dataOnly="0" outline="0" fieldPosition="0"/>
    </format>
    <format dxfId="653">
      <pivotArea outline="0" collapsedLevelsAreSubtotals="1" fieldPosition="0"/>
    </format>
    <format dxfId="652">
      <pivotArea field="0" type="button" dataOnly="0" labelOnly="1" outline="0" axis="axisRow" fieldPosition="0"/>
    </format>
    <format dxfId="651">
      <pivotArea field="1" type="button" dataOnly="0" labelOnly="1" outline="0" axis="axisRow" fieldPosition="1"/>
    </format>
    <format dxfId="650">
      <pivotArea field="6" type="button" dataOnly="0" labelOnly="1" outline="0" axis="axisRow" fieldPosition="2"/>
    </format>
    <format dxfId="649">
      <pivotArea dataOnly="0" labelOnly="1" outline="0" fieldPosition="0">
        <references count="1">
          <reference field="0" count="0"/>
        </references>
      </pivotArea>
    </format>
    <format dxfId="648">
      <pivotArea dataOnly="0" labelOnly="1" grandRow="1" outline="0" fieldPosition="0"/>
    </format>
    <format dxfId="6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2">
      <pivotArea outline="0" fieldPosition="0">
        <references count="1">
          <reference field="4294967294" count="1" selected="0">
            <x v="4"/>
          </reference>
        </references>
      </pivotArea>
    </format>
    <format dxfId="6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field="0" type="button" dataOnly="0" labelOnly="1" outline="0" axis="axisRow" fieldPosition="0"/>
    </format>
    <format dxfId="636">
      <pivotArea field="1" type="button" dataOnly="0" labelOnly="1" outline="0" axis="axisRow" fieldPosition="1"/>
    </format>
    <format dxfId="635">
      <pivotArea field="6" type="button" dataOnly="0" labelOnly="1" outline="0" axis="axisRow" fieldPosition="2"/>
    </format>
    <format dxfId="634">
      <pivotArea dataOnly="0" labelOnly="1" outline="0" fieldPosition="0">
        <references count="1">
          <reference field="0" count="0"/>
        </references>
      </pivotArea>
    </format>
    <format dxfId="633">
      <pivotArea dataOnly="0" labelOnly="1" grandRow="1" outline="0" fieldPosition="0"/>
    </format>
    <format dxfId="63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0" type="button" dataOnly="0" labelOnly="1" outline="0" axis="axisRow" fieldPosition="0"/>
    </format>
    <format dxfId="626">
      <pivotArea field="1" type="button" dataOnly="0" labelOnly="1" outline="0" axis="axisRow" fieldPosition="1"/>
    </format>
    <format dxfId="625">
      <pivotArea field="6" type="button" dataOnly="0" labelOnly="1" outline="0" axis="axisRow" fieldPosition="2"/>
    </format>
    <format dxfId="624">
      <pivotArea dataOnly="0" labelOnly="1" outline="0" fieldPosition="0">
        <references count="1">
          <reference field="0" count="0"/>
        </references>
      </pivotArea>
    </format>
    <format dxfId="623">
      <pivotArea dataOnly="0" labelOnly="1" grandRow="1" outline="0" fieldPosition="0"/>
    </format>
    <format dxfId="6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17">
      <pivotArea outline="0" fieldPosition="0">
        <references count="1">
          <reference field="4294967294" count="1" selected="0">
            <x v="4"/>
          </reference>
        </references>
      </pivotArea>
    </format>
    <format dxfId="61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4">
      <pivotArea type="all" dataOnly="0" outline="0" fieldPosition="0"/>
    </format>
    <format dxfId="613">
      <pivotArea outline="0" collapsedLevelsAreSubtotals="1" fieldPosition="0"/>
    </format>
    <format dxfId="612">
      <pivotArea field="0" type="button" dataOnly="0" labelOnly="1" outline="0" axis="axisRow" fieldPosition="0"/>
    </format>
    <format dxfId="611">
      <pivotArea field="1" type="button" dataOnly="0" labelOnly="1" outline="0" axis="axisRow" fieldPosition="1"/>
    </format>
    <format dxfId="610">
      <pivotArea field="6" type="button" dataOnly="0" labelOnly="1" outline="0" axis="axisRow" fieldPosition="2"/>
    </format>
    <format dxfId="609">
      <pivotArea dataOnly="0" labelOnly="1" outline="0" fieldPosition="0">
        <references count="1">
          <reference field="0" count="0"/>
        </references>
      </pivotArea>
    </format>
    <format dxfId="608">
      <pivotArea dataOnly="0" labelOnly="1" grandRow="1" outline="0" fieldPosition="0"/>
    </format>
    <format dxfId="60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4">
      <pivotArea type="all" dataOnly="0" outline="0" fieldPosition="0"/>
    </format>
    <format dxfId="603">
      <pivotArea outline="0" collapsedLevelsAreSubtotals="1" fieldPosition="0"/>
    </format>
    <format dxfId="602">
      <pivotArea field="0" type="button" dataOnly="0" labelOnly="1" outline="0" axis="axisRow" fieldPosition="0"/>
    </format>
    <format dxfId="601">
      <pivotArea field="1" type="button" dataOnly="0" labelOnly="1" outline="0" axis="axisRow" fieldPosition="1"/>
    </format>
    <format dxfId="600">
      <pivotArea field="6" type="button" dataOnly="0" labelOnly="1" outline="0" axis="axisRow" fieldPosition="2"/>
    </format>
    <format dxfId="599">
      <pivotArea dataOnly="0" labelOnly="1" outline="0" fieldPosition="0">
        <references count="1">
          <reference field="0" count="0"/>
        </references>
      </pivotArea>
    </format>
    <format dxfId="598">
      <pivotArea dataOnly="0" labelOnly="1" grandRow="1" outline="0" fieldPosition="0"/>
    </format>
    <format dxfId="59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9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2">
      <pivotArea outline="0" fieldPosition="0">
        <references count="1">
          <reference field="4294967294" count="1" selected="0">
            <x v="4"/>
          </reference>
        </references>
      </pivotArea>
    </format>
    <format dxfId="5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9">
      <pivotArea type="all" dataOnly="0" outline="0" fieldPosition="0"/>
    </format>
    <format dxfId="588">
      <pivotArea outline="0" collapsedLevelsAreSubtotals="1" fieldPosition="0"/>
    </format>
    <format dxfId="587">
      <pivotArea field="0" type="button" dataOnly="0" labelOnly="1" outline="0" axis="axisRow" fieldPosition="0"/>
    </format>
    <format dxfId="586">
      <pivotArea field="1" type="button" dataOnly="0" labelOnly="1" outline="0" axis="axisRow" fieldPosition="1"/>
    </format>
    <format dxfId="585">
      <pivotArea field="6" type="button" dataOnly="0" labelOnly="1" outline="0" axis="axisRow" fieldPosition="2"/>
    </format>
    <format dxfId="584">
      <pivotArea dataOnly="0" labelOnly="1" outline="0" fieldPosition="0">
        <references count="1">
          <reference field="0" count="0"/>
        </references>
      </pivotArea>
    </format>
    <format dxfId="583">
      <pivotArea dataOnly="0" labelOnly="1" grandRow="1" outline="0" fieldPosition="0"/>
    </format>
    <format dxfId="5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0" type="button" dataOnly="0" labelOnly="1" outline="0" axis="axisRow" fieldPosition="0"/>
    </format>
    <format dxfId="576">
      <pivotArea field="1" type="button" dataOnly="0" labelOnly="1" outline="0" axis="axisRow" fieldPosition="1"/>
    </format>
    <format dxfId="575">
      <pivotArea field="6" type="button" dataOnly="0" labelOnly="1" outline="0" axis="axisRow" fieldPosition="2"/>
    </format>
    <format dxfId="574">
      <pivotArea dataOnly="0" labelOnly="1" outline="0" fieldPosition="0">
        <references count="1">
          <reference field="0" count="0"/>
        </references>
      </pivotArea>
    </format>
    <format dxfId="573">
      <pivotArea dataOnly="0" labelOnly="1" grandRow="1" outline="0" fieldPosition="0"/>
    </format>
    <format dxfId="57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67">
      <pivotArea outline="0" fieldPosition="0">
        <references count="1">
          <reference field="4294967294" count="1" selected="0">
            <x v="4"/>
          </reference>
        </references>
      </pivotArea>
    </format>
    <format dxfId="5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4">
      <pivotArea type="all" dataOnly="0" outline="0" fieldPosition="0"/>
    </format>
    <format dxfId="563">
      <pivotArea outline="0" collapsedLevelsAreSubtotals="1" fieldPosition="0"/>
    </format>
    <format dxfId="562">
      <pivotArea field="0" type="button" dataOnly="0" labelOnly="1" outline="0" axis="axisRow" fieldPosition="0"/>
    </format>
    <format dxfId="561">
      <pivotArea field="1" type="button" dataOnly="0" labelOnly="1" outline="0" axis="axisRow" fieldPosition="1"/>
    </format>
    <format dxfId="560">
      <pivotArea field="6" type="button" dataOnly="0" labelOnly="1" outline="0" axis="axisRow" fieldPosition="2"/>
    </format>
    <format dxfId="559">
      <pivotArea dataOnly="0" labelOnly="1" outline="0" fieldPosition="0">
        <references count="1">
          <reference field="0" count="0"/>
        </references>
      </pivotArea>
    </format>
    <format dxfId="558">
      <pivotArea dataOnly="0" labelOnly="1" grandRow="1" outline="0" fieldPosition="0"/>
    </format>
    <format dxfId="5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field="0" type="button" dataOnly="0" labelOnly="1" outline="0" axis="axisRow" fieldPosition="0"/>
    </format>
    <format dxfId="551">
      <pivotArea field="1" type="button" dataOnly="0" labelOnly="1" outline="0" axis="axisRow" fieldPosition="1"/>
    </format>
    <format dxfId="550">
      <pivotArea field="6" type="button" dataOnly="0" labelOnly="1" outline="0" axis="axisRow" fieldPosition="2"/>
    </format>
    <format dxfId="549">
      <pivotArea dataOnly="0" labelOnly="1" outline="0" fieldPosition="0">
        <references count="1">
          <reference field="0" count="0"/>
        </references>
      </pivotArea>
    </format>
    <format dxfId="548">
      <pivotArea dataOnly="0" labelOnly="1" grandRow="1" outline="0" fieldPosition="0"/>
    </format>
    <format dxfId="54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4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2">
      <pivotArea outline="0" fieldPosition="0">
        <references count="1">
          <reference field="4294967294" count="1" selected="0">
            <x v="4"/>
          </reference>
        </references>
      </pivotArea>
    </format>
    <format dxfId="5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9">
      <pivotArea type="all" dataOnly="0" outline="0" fieldPosition="0"/>
    </format>
    <format dxfId="538">
      <pivotArea outline="0" collapsedLevelsAreSubtotals="1" fieldPosition="0"/>
    </format>
    <format dxfId="537">
      <pivotArea field="0" type="button" dataOnly="0" labelOnly="1" outline="0" axis="axisRow" fieldPosition="0"/>
    </format>
    <format dxfId="536">
      <pivotArea field="1" type="button" dataOnly="0" labelOnly="1" outline="0" axis="axisRow" fieldPosition="1"/>
    </format>
    <format dxfId="535">
      <pivotArea field="6" type="button" dataOnly="0" labelOnly="1" outline="0" axis="axisRow" fieldPosition="2"/>
    </format>
    <format dxfId="534">
      <pivotArea dataOnly="0" labelOnly="1" outline="0" fieldPosition="0">
        <references count="1">
          <reference field="0" count="0"/>
        </references>
      </pivotArea>
    </format>
    <format dxfId="533">
      <pivotArea dataOnly="0" labelOnly="1" grandRow="1" outline="0" fieldPosition="0"/>
    </format>
    <format dxfId="53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field="0" type="button" dataOnly="0" labelOnly="1" outline="0" axis="axisRow" fieldPosition="0"/>
    </format>
    <format dxfId="526">
      <pivotArea field="1" type="button" dataOnly="0" labelOnly="1" outline="0" axis="axisRow" fieldPosition="1"/>
    </format>
    <format dxfId="525">
      <pivotArea field="6" type="button" dataOnly="0" labelOnly="1" outline="0" axis="axisRow" fieldPosition="2"/>
    </format>
    <format dxfId="524">
      <pivotArea dataOnly="0" labelOnly="1" outline="0" fieldPosition="0">
        <references count="1">
          <reference field="0" count="0"/>
        </references>
      </pivotArea>
    </format>
    <format dxfId="523">
      <pivotArea dataOnly="0" labelOnly="1" grandRow="1" outline="0" fieldPosition="0"/>
    </format>
    <format dxfId="5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5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7">
      <pivotArea outline="0" fieldPosition="0">
        <references count="1">
          <reference field="4294967294" count="1" selected="0">
            <x v="4"/>
          </reference>
        </references>
      </pivotArea>
    </format>
    <format dxfId="516">
      <pivotArea field="1" type="button" dataOnly="0" labelOnly="1" outline="0" axis="axisRow" fieldPosition="1"/>
    </format>
    <format dxfId="515">
      <pivotArea field="6" type="button" dataOnly="0" labelOnly="1" outline="0" axis="axisRow" fieldPosition="2"/>
    </format>
    <format dxfId="5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3">
      <pivotArea field="1" type="button" dataOnly="0" labelOnly="1" outline="0" axis="axisRow" fieldPosition="1"/>
    </format>
    <format dxfId="512">
      <pivotArea field="6" type="button" dataOnly="0" labelOnly="1" outline="0" axis="axisRow" fieldPosition="2"/>
    </format>
    <format dxfId="5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8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05">
      <pivotArea outline="0" fieldPosition="0">
        <references count="1">
          <reference field="4294967294" count="1" selected="0">
            <x v="4"/>
          </reference>
        </references>
      </pivotArea>
    </format>
    <format dxfId="5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02">
      <pivotArea type="all" dataOnly="0" outline="0" fieldPosition="0"/>
    </format>
    <format dxfId="501">
      <pivotArea outline="0" collapsedLevelsAreSubtotals="1" fieldPosition="0"/>
    </format>
    <format dxfId="500">
      <pivotArea field="0" type="button" dataOnly="0" labelOnly="1" outline="0" axis="axisRow" fieldPosition="0"/>
    </format>
    <format dxfId="499">
      <pivotArea field="1" type="button" dataOnly="0" labelOnly="1" outline="0" axis="axisRow" fieldPosition="1"/>
    </format>
    <format dxfId="498">
      <pivotArea field="6" type="button" dataOnly="0" labelOnly="1" outline="0" axis="axisRow" fieldPosition="2"/>
    </format>
    <format dxfId="497">
      <pivotArea dataOnly="0" labelOnly="1" outline="0" fieldPosition="0">
        <references count="1">
          <reference field="0" count="0"/>
        </references>
      </pivotArea>
    </format>
    <format dxfId="496">
      <pivotArea dataOnly="0" labelOnly="1" grandRow="1" outline="0" fieldPosition="0"/>
    </format>
    <format dxfId="4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field="1" type="button" dataOnly="0" labelOnly="1" outline="0" axis="axisRow" fieldPosition="1"/>
    </format>
    <format dxfId="488">
      <pivotArea field="6" type="button" dataOnly="0" labelOnly="1" outline="0" axis="axisRow" fieldPosition="2"/>
    </format>
    <format dxfId="487">
      <pivotArea dataOnly="0" labelOnly="1" outline="0" fieldPosition="0">
        <references count="1">
          <reference field="0" count="0"/>
        </references>
      </pivotArea>
    </format>
    <format dxfId="486">
      <pivotArea dataOnly="0" labelOnly="1" grandRow="1" outline="0" fieldPosition="0"/>
    </format>
    <format dxfId="48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8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0">
      <pivotArea outline="0" fieldPosition="0">
        <references count="1">
          <reference field="4294967294" count="1" selected="0">
            <x v="4"/>
          </reference>
        </references>
      </pivotArea>
    </format>
    <format dxfId="4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7">
      <pivotArea type="all" dataOnly="0" outline="0" fieldPosition="0"/>
    </format>
    <format dxfId="476">
      <pivotArea outline="0" collapsedLevelsAreSubtotals="1" fieldPosition="0"/>
    </format>
    <format dxfId="475">
      <pivotArea field="0" type="button" dataOnly="0" labelOnly="1" outline="0" axis="axisRow" fieldPosition="0"/>
    </format>
    <format dxfId="474">
      <pivotArea field="1" type="button" dataOnly="0" labelOnly="1" outline="0" axis="axisRow" fieldPosition="1"/>
    </format>
    <format dxfId="473">
      <pivotArea field="6" type="button" dataOnly="0" labelOnly="1" outline="0" axis="axisRow" fieldPosition="2"/>
    </format>
    <format dxfId="472">
      <pivotArea dataOnly="0" labelOnly="1" outline="0" fieldPosition="0">
        <references count="1">
          <reference field="0" count="0"/>
        </references>
      </pivotArea>
    </format>
    <format dxfId="471">
      <pivotArea dataOnly="0" labelOnly="1" grandRow="1" outline="0" fieldPosition="0"/>
    </format>
    <format dxfId="4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field="0" type="button" dataOnly="0" labelOnly="1" outline="0" axis="axisRow" fieldPosition="0"/>
    </format>
    <format dxfId="464">
      <pivotArea field="1" type="button" dataOnly="0" labelOnly="1" outline="0" axis="axisRow" fieldPosition="1"/>
    </format>
    <format dxfId="463">
      <pivotArea field="6" type="button" dataOnly="0" labelOnly="1" outline="0" axis="axisRow" fieldPosition="2"/>
    </format>
    <format dxfId="462">
      <pivotArea dataOnly="0" labelOnly="1" outline="0" fieldPosition="0">
        <references count="1">
          <reference field="0" count="0"/>
        </references>
      </pivotArea>
    </format>
    <format dxfId="461">
      <pivotArea dataOnly="0" labelOnly="1" grandRow="1" outline="0" fieldPosition="0"/>
    </format>
    <format dxfId="4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5">
      <pivotArea outline="0" fieldPosition="0">
        <references count="1">
          <reference field="4294967294" count="1" selected="0">
            <x v="4"/>
          </reference>
        </references>
      </pivotArea>
    </format>
    <format dxfId="4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0" type="button" dataOnly="0" labelOnly="1" outline="0" axis="axisRow" fieldPosition="0"/>
    </format>
    <format dxfId="449">
      <pivotArea field="1" type="button" dataOnly="0" labelOnly="1" outline="0" axis="axisRow" fieldPosition="1"/>
    </format>
    <format dxfId="448">
      <pivotArea field="6" type="button" dataOnly="0" labelOnly="1" outline="0" axis="axisRow" fieldPosition="2"/>
    </format>
    <format dxfId="447">
      <pivotArea dataOnly="0" labelOnly="1" outline="0" fieldPosition="0">
        <references count="1">
          <reference field="0" count="0"/>
        </references>
      </pivotArea>
    </format>
    <format dxfId="446">
      <pivotArea dataOnly="0" labelOnly="1" grandRow="1" outline="0" fieldPosition="0"/>
    </format>
    <format dxfId="4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0" type="button" dataOnly="0" labelOnly="1" outline="0" axis="axisRow" fieldPosition="0"/>
    </format>
    <format dxfId="439">
      <pivotArea field="1" type="button" dataOnly="0" labelOnly="1" outline="0" axis="axisRow" fieldPosition="1"/>
    </format>
    <format dxfId="438">
      <pivotArea field="6" type="button" dataOnly="0" labelOnly="1" outline="0" axis="axisRow" fieldPosition="2"/>
    </format>
    <format dxfId="437">
      <pivotArea dataOnly="0" labelOnly="1" outline="0" fieldPosition="0">
        <references count="1">
          <reference field="0" count="0"/>
        </references>
      </pivotArea>
    </format>
    <format dxfId="436">
      <pivotArea dataOnly="0" labelOnly="1" grandRow="1" outline="0" fieldPosition="0"/>
    </format>
    <format dxfId="4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0">
      <pivotArea outline="0" fieldPosition="0">
        <references count="1">
          <reference field="4294967294" count="1" selected="0">
            <x v="4"/>
          </reference>
        </references>
      </pivotArea>
    </format>
    <format dxfId="4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field="0" type="button" dataOnly="0" labelOnly="1" outline="0" axis="axisRow" fieldPosition="0"/>
    </format>
    <format dxfId="424">
      <pivotArea field="1" type="button" dataOnly="0" labelOnly="1" outline="0" axis="axisRow" fieldPosition="1"/>
    </format>
    <format dxfId="423">
      <pivotArea field="6" type="button" dataOnly="0" labelOnly="1" outline="0" axis="axisRow" fieldPosition="2"/>
    </format>
    <format dxfId="422">
      <pivotArea dataOnly="0" labelOnly="1" outline="0" fieldPosition="0">
        <references count="1">
          <reference field="0" count="0"/>
        </references>
      </pivotArea>
    </format>
    <format dxfId="421">
      <pivotArea dataOnly="0" labelOnly="1" grandRow="1" outline="0" fieldPosition="0"/>
    </format>
    <format dxfId="42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0" type="button" dataOnly="0" labelOnly="1" outline="0" axis="axisRow" fieldPosition="0"/>
    </format>
    <format dxfId="414">
      <pivotArea field="1" type="button" dataOnly="0" labelOnly="1" outline="0" axis="axisRow" fieldPosition="1"/>
    </format>
    <format dxfId="413">
      <pivotArea field="6" type="button" dataOnly="0" labelOnly="1" outline="0" axis="axisRow" fieldPosition="2"/>
    </format>
    <format dxfId="412">
      <pivotArea dataOnly="0" labelOnly="1" outline="0" fieldPosition="0">
        <references count="1">
          <reference field="0" count="0"/>
        </references>
      </pivotArea>
    </format>
    <format dxfId="411">
      <pivotArea dataOnly="0" labelOnly="1" grandRow="1" outline="0" fieldPosition="0"/>
    </format>
    <format dxfId="41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5">
      <pivotArea outline="0" fieldPosition="0">
        <references count="1">
          <reference field="4294967294" count="1" selected="0">
            <x v="4"/>
          </reference>
        </references>
      </pivotArea>
    </format>
    <format dxfId="4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2">
      <pivotArea type="all" dataOnly="0" outline="0" fieldPosition="0"/>
    </format>
    <format dxfId="401">
      <pivotArea outline="0" collapsedLevelsAreSubtotals="1" fieldPosition="0"/>
    </format>
    <format dxfId="400">
      <pivotArea field="0" type="button" dataOnly="0" labelOnly="1" outline="0" axis="axisRow" fieldPosition="0"/>
    </format>
    <format dxfId="399">
      <pivotArea field="1" type="button" dataOnly="0" labelOnly="1" outline="0" axis="axisRow" fieldPosition="1"/>
    </format>
    <format dxfId="398">
      <pivotArea field="6" type="button" dataOnly="0" labelOnly="1" outline="0" axis="axisRow" fieldPosition="2"/>
    </format>
    <format dxfId="397">
      <pivotArea dataOnly="0" labelOnly="1" outline="0" fieldPosition="0">
        <references count="1">
          <reference field="0" count="0"/>
        </references>
      </pivotArea>
    </format>
    <format dxfId="396">
      <pivotArea dataOnly="0" labelOnly="1" grandRow="1" outline="0" fieldPosition="0"/>
    </format>
    <format dxfId="3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field="0" type="button" dataOnly="0" labelOnly="1" outline="0" axis="axisRow" fieldPosition="0"/>
    </format>
    <format dxfId="389">
      <pivotArea field="1" type="button" dataOnly="0" labelOnly="1" outline="0" axis="axisRow" fieldPosition="1"/>
    </format>
    <format dxfId="388">
      <pivotArea field="6" type="button" dataOnly="0" labelOnly="1" outline="0" axis="axisRow" fieldPosition="2"/>
    </format>
    <format dxfId="387">
      <pivotArea dataOnly="0" labelOnly="1" outline="0" fieldPosition="0">
        <references count="1">
          <reference field="0" count="0"/>
        </references>
      </pivotArea>
    </format>
    <format dxfId="386">
      <pivotArea dataOnly="0" labelOnly="1" grandRow="1" outline="0" fieldPosition="0"/>
    </format>
    <format dxfId="38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0">
      <pivotArea outline="0" fieldPosition="0">
        <references count="1">
          <reference field="4294967294" count="1" selected="0">
            <x v="4"/>
          </reference>
        </references>
      </pivotArea>
    </format>
    <format dxfId="3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field="0" type="button" dataOnly="0" labelOnly="1" outline="0" axis="axisRow" fieldPosition="0"/>
    </format>
    <format dxfId="374">
      <pivotArea field="1" type="button" dataOnly="0" labelOnly="1" outline="0" axis="axisRow" fieldPosition="1"/>
    </format>
    <format dxfId="373">
      <pivotArea field="6" type="button" dataOnly="0" labelOnly="1" outline="0" axis="axisRow" fieldPosition="2"/>
    </format>
    <format dxfId="372">
      <pivotArea dataOnly="0" labelOnly="1" outline="0" fieldPosition="0">
        <references count="1">
          <reference field="0" count="0"/>
        </references>
      </pivotArea>
    </format>
    <format dxfId="371">
      <pivotArea dataOnly="0" labelOnly="1" grandRow="1" outline="0" fieldPosition="0"/>
    </format>
    <format dxfId="3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7">
      <pivotArea type="all" dataOnly="0" outline="0" fieldPosition="0"/>
    </format>
    <format dxfId="366">
      <pivotArea outline="0" collapsedLevelsAreSubtotals="1" fieldPosition="0"/>
    </format>
    <format dxfId="365">
      <pivotArea field="0" type="button" dataOnly="0" labelOnly="1" outline="0" axis="axisRow" fieldPosition="0"/>
    </format>
    <format dxfId="364">
      <pivotArea field="1" type="button" dataOnly="0" labelOnly="1" outline="0" axis="axisRow" fieldPosition="1"/>
    </format>
    <format dxfId="363">
      <pivotArea field="6" type="button" dataOnly="0" labelOnly="1" outline="0" axis="axisRow" fieldPosition="2"/>
    </format>
    <format dxfId="362">
      <pivotArea dataOnly="0" labelOnly="1" outline="0" fieldPosition="0">
        <references count="1">
          <reference field="0" count="0"/>
        </references>
      </pivotArea>
    </format>
    <format dxfId="361">
      <pivotArea dataOnly="0" labelOnly="1" grandRow="1" outline="0" fieldPosition="0"/>
    </format>
    <format dxfId="3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5">
      <pivotArea outline="0" fieldPosition="0">
        <references count="1">
          <reference field="4294967294" count="1" selected="0">
            <x v="4"/>
          </reference>
        </references>
      </pivotArea>
    </format>
    <format dxfId="3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2">
      <pivotArea type="all" dataOnly="0" outline="0" fieldPosition="0"/>
    </format>
    <format dxfId="351">
      <pivotArea outline="0" collapsedLevelsAreSubtotals="1" fieldPosition="0"/>
    </format>
    <format dxfId="350">
      <pivotArea field="0" type="button" dataOnly="0" labelOnly="1" outline="0" axis="axisRow" fieldPosition="0"/>
    </format>
    <format dxfId="349">
      <pivotArea field="1" type="button" dataOnly="0" labelOnly="1" outline="0" axis="axisRow" fieldPosition="1"/>
    </format>
    <format dxfId="348">
      <pivotArea field="6" type="button" dataOnly="0" labelOnly="1" outline="0" axis="axisRow" fieldPosition="2"/>
    </format>
    <format dxfId="347">
      <pivotArea dataOnly="0" labelOnly="1" outline="0" fieldPosition="0">
        <references count="1">
          <reference field="0" count="0"/>
        </references>
      </pivotArea>
    </format>
    <format dxfId="346">
      <pivotArea dataOnly="0" labelOnly="1" grandRow="1" outline="0" fieldPosition="0"/>
    </format>
    <format dxfId="3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field="0" type="button" dataOnly="0" labelOnly="1" outline="0" axis="axisRow" fieldPosition="0"/>
    </format>
    <format dxfId="339">
      <pivotArea field="1" type="button" dataOnly="0" labelOnly="1" outline="0" axis="axisRow" fieldPosition="1"/>
    </format>
    <format dxfId="338">
      <pivotArea field="6" type="button" dataOnly="0" labelOnly="1" outline="0" axis="axisRow" fieldPosition="2"/>
    </format>
    <format dxfId="337">
      <pivotArea dataOnly="0" labelOnly="1" outline="0" fieldPosition="0">
        <references count="1">
          <reference field="0" count="0"/>
        </references>
      </pivotArea>
    </format>
    <format dxfId="336">
      <pivotArea dataOnly="0" labelOnly="1" grandRow="1" outline="0" fieldPosition="0"/>
    </format>
    <format dxfId="3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0">
      <pivotArea outline="0" fieldPosition="0">
        <references count="1">
          <reference field="4294967294" count="1" selected="0">
            <x v="4"/>
          </reference>
        </references>
      </pivotArea>
    </format>
    <format dxfId="3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0" type="button" dataOnly="0" labelOnly="1" outline="0" axis="axisRow" fieldPosition="0"/>
    </format>
    <format dxfId="324">
      <pivotArea field="1" type="button" dataOnly="0" labelOnly="1" outline="0" axis="axisRow" fieldPosition="1"/>
    </format>
    <format dxfId="323">
      <pivotArea field="6" type="button" dataOnly="0" labelOnly="1" outline="0" axis="axisRow" fieldPosition="2"/>
    </format>
    <format dxfId="322">
      <pivotArea dataOnly="0" labelOnly="1" outline="0" fieldPosition="0">
        <references count="1">
          <reference field="0" count="0"/>
        </references>
      </pivotArea>
    </format>
    <format dxfId="321">
      <pivotArea dataOnly="0" labelOnly="1" grandRow="1" outline="0" fieldPosition="0"/>
    </format>
    <format dxfId="32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0" type="button" dataOnly="0" labelOnly="1" outline="0" axis="axisRow" fieldPosition="0"/>
    </format>
    <format dxfId="314">
      <pivotArea field="1" type="button" dataOnly="0" labelOnly="1" outline="0" axis="axisRow" fieldPosition="1"/>
    </format>
    <format dxfId="313">
      <pivotArea field="6" type="button" dataOnly="0" labelOnly="1" outline="0" axis="axisRow" fieldPosition="2"/>
    </format>
    <format dxfId="312">
      <pivotArea dataOnly="0" labelOnly="1" outline="0" fieldPosition="0">
        <references count="1">
          <reference field="0" count="0"/>
        </references>
      </pivotArea>
    </format>
    <format dxfId="311">
      <pivotArea dataOnly="0" labelOnly="1" grandRow="1" outline="0" fieldPosition="0"/>
    </format>
    <format dxfId="31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5">
      <pivotArea outline="0" fieldPosition="0">
        <references count="1">
          <reference field="4294967294" count="1" selected="0">
            <x v="4"/>
          </reference>
        </references>
      </pivotArea>
    </format>
    <format dxfId="3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0" type="button" dataOnly="0" labelOnly="1" outline="0" axis="axisRow" fieldPosition="0"/>
    </format>
    <format dxfId="299">
      <pivotArea field="1" type="button" dataOnly="0" labelOnly="1" outline="0" axis="axisRow" fieldPosition="1"/>
    </format>
    <format dxfId="298">
      <pivotArea field="6" type="button" dataOnly="0" labelOnly="1" outline="0" axis="axisRow" fieldPosition="2"/>
    </format>
    <format dxfId="297">
      <pivotArea dataOnly="0" labelOnly="1" outline="0" fieldPosition="0">
        <references count="1">
          <reference field="0" count="0"/>
        </references>
      </pivotArea>
    </format>
    <format dxfId="296">
      <pivotArea dataOnly="0" labelOnly="1" grandRow="1" outline="0" fieldPosition="0"/>
    </format>
    <format dxfId="29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field="0" type="button" dataOnly="0" labelOnly="1" outline="0" axis="axisRow" fieldPosition="0"/>
    </format>
    <format dxfId="289">
      <pivotArea field="1" type="button" dataOnly="0" labelOnly="1" outline="0" axis="axisRow" fieldPosition="1"/>
    </format>
    <format dxfId="288">
      <pivotArea field="6" type="button" dataOnly="0" labelOnly="1" outline="0" axis="axisRow" fieldPosition="2"/>
    </format>
    <format dxfId="287">
      <pivotArea dataOnly="0" labelOnly="1" outline="0" fieldPosition="0">
        <references count="1">
          <reference field="0" count="0"/>
        </references>
      </pivotArea>
    </format>
    <format dxfId="286">
      <pivotArea dataOnly="0" labelOnly="1" grandRow="1" outline="0" fieldPosition="0"/>
    </format>
    <format dxfId="28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0">
      <pivotArea outline="0" fieldPosition="0">
        <references count="1">
          <reference field="4294967294" count="1" selected="0">
            <x v="4"/>
          </reference>
        </references>
      </pivotArea>
    </format>
    <format dxfId="27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0" type="button" dataOnly="0" labelOnly="1" outline="0" axis="axisRow" fieldPosition="0"/>
    </format>
    <format dxfId="274">
      <pivotArea field="1" type="button" dataOnly="0" labelOnly="1" outline="0" axis="axisRow" fieldPosition="1"/>
    </format>
    <format dxfId="273">
      <pivotArea field="6" type="button" dataOnly="0" labelOnly="1" outline="0" axis="axisRow" fieldPosition="2"/>
    </format>
    <format dxfId="272">
      <pivotArea dataOnly="0" labelOnly="1" outline="0" fieldPosition="0">
        <references count="1">
          <reference field="0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67">
      <pivotArea type="all" dataOnly="0" outline="0" fieldPosition="0"/>
    </format>
    <format dxfId="266">
      <pivotArea outline="0" collapsedLevelsAreSubtotals="1" fieldPosition="0"/>
    </format>
    <format dxfId="265">
      <pivotArea field="0" type="button" dataOnly="0" labelOnly="1" outline="0" axis="axisRow" fieldPosition="0"/>
    </format>
    <format dxfId="264">
      <pivotArea field="1" type="button" dataOnly="0" labelOnly="1" outline="0" axis="axisRow" fieldPosition="1"/>
    </format>
    <format dxfId="263">
      <pivotArea field="6" type="button" dataOnly="0" labelOnly="1" outline="0" axis="axisRow" fieldPosition="2"/>
    </format>
    <format dxfId="262">
      <pivotArea dataOnly="0" labelOnly="1" outline="0" fieldPosition="0">
        <references count="1">
          <reference field="0" count="0"/>
        </references>
      </pivotArea>
    </format>
    <format dxfId="261">
      <pivotArea dataOnly="0" labelOnly="1" grandRow="1" outline="0" fieldPosition="0"/>
    </format>
    <format dxfId="26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5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5">
      <pivotArea outline="0" fieldPosition="0">
        <references count="1">
          <reference field="4294967294" count="1" selected="0">
            <x v="4"/>
          </reference>
        </references>
      </pivotArea>
    </format>
    <format dxfId="25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0" type="button" dataOnly="0" labelOnly="1" outline="0" axis="axisRow" fieldPosition="0"/>
    </format>
    <format dxfId="249">
      <pivotArea field="1" type="button" dataOnly="0" labelOnly="1" outline="0" axis="axisRow" fieldPosition="1"/>
    </format>
    <format dxfId="248">
      <pivotArea field="6" type="button" dataOnly="0" labelOnly="1" outline="0" axis="axisRow" fieldPosition="2"/>
    </format>
    <format dxfId="247">
      <pivotArea dataOnly="0" labelOnly="1" outline="0" fieldPosition="0">
        <references count="1">
          <reference field="0" count="0"/>
        </references>
      </pivotArea>
    </format>
    <format dxfId="246">
      <pivotArea dataOnly="0" labelOnly="1" grandRow="1" outline="0" fieldPosition="0"/>
    </format>
    <format dxfId="2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0" type="button" dataOnly="0" labelOnly="1" outline="0" axis="axisRow" fieldPosition="0"/>
    </format>
    <format dxfId="239">
      <pivotArea field="1" type="button" dataOnly="0" labelOnly="1" outline="0" axis="axisRow" fieldPosition="1"/>
    </format>
    <format dxfId="238">
      <pivotArea field="6" type="button" dataOnly="0" labelOnly="1" outline="0" axis="axisRow" fieldPosition="2"/>
    </format>
    <format dxfId="237">
      <pivotArea dataOnly="0" labelOnly="1" outline="0" fieldPosition="0">
        <references count="1">
          <reference field="0" count="0"/>
        </references>
      </pivotArea>
    </format>
    <format dxfId="236">
      <pivotArea dataOnly="0" labelOnly="1" grandRow="1" outline="0" fieldPosition="0"/>
    </format>
    <format dxfId="23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0">
      <pivotArea outline="0" fieldPosition="0">
        <references count="1">
          <reference field="4294967294" count="1" selected="0">
            <x v="4"/>
          </reference>
        </references>
      </pivotArea>
    </format>
    <format dxfId="22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field="0" type="button" dataOnly="0" labelOnly="1" outline="0" axis="axisRow" fieldPosition="0"/>
    </format>
    <format dxfId="224">
      <pivotArea field="1" type="button" dataOnly="0" labelOnly="1" outline="0" axis="axisRow" fieldPosition="1"/>
    </format>
    <format dxfId="223">
      <pivotArea field="6" type="button" dataOnly="0" labelOnly="1" outline="0" axis="axisRow" fieldPosition="2"/>
    </format>
    <format dxfId="222">
      <pivotArea dataOnly="0" labelOnly="1" outline="0" fieldPosition="0">
        <references count="1">
          <reference field="0" count="0"/>
        </references>
      </pivotArea>
    </format>
    <format dxfId="221">
      <pivotArea dataOnly="0" labelOnly="1" grandRow="1" outline="0" fieldPosition="0"/>
    </format>
    <format dxfId="22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7">
      <pivotArea type="all" dataOnly="0" outline="0" fieldPosition="0"/>
    </format>
    <format dxfId="216">
      <pivotArea outline="0" collapsedLevelsAreSubtotals="1" fieldPosition="0"/>
    </format>
    <format dxfId="215">
      <pivotArea field="0" type="button" dataOnly="0" labelOnly="1" outline="0" axis="axisRow" fieldPosition="0"/>
    </format>
    <format dxfId="214">
      <pivotArea field="1" type="button" dataOnly="0" labelOnly="1" outline="0" axis="axisRow" fieldPosition="1"/>
    </format>
    <format dxfId="213">
      <pivotArea field="6" type="button" dataOnly="0" labelOnly="1" outline="0" axis="axisRow" fieldPosition="2"/>
    </format>
    <format dxfId="212">
      <pivotArea dataOnly="0" labelOnly="1" outline="0" fieldPosition="0">
        <references count="1">
          <reference field="0" count="0"/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5">
      <pivotArea outline="0" fieldPosition="0">
        <references count="1">
          <reference field="4294967294" count="1" selected="0">
            <x v="4"/>
          </reference>
        </references>
      </pivotArea>
    </format>
    <format dxfId="204">
      <pivotArea field="1" type="button" dataOnly="0" labelOnly="1" outline="0" axis="axisRow" fieldPosition="1"/>
    </format>
    <format dxfId="203">
      <pivotArea field="6" type="button" dataOnly="0" labelOnly="1" outline="0" axis="axisRow" fieldPosition="2"/>
    </format>
    <format dxfId="2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1">
      <pivotArea field="1" type="button" dataOnly="0" labelOnly="1" outline="0" axis="axisRow" fieldPosition="1"/>
    </format>
    <format dxfId="200">
      <pivotArea field="6" type="button" dataOnly="0" labelOnly="1" outline="0" axis="axisRow" fieldPosition="2"/>
    </format>
    <format dxfId="1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95">
      <pivotArea outline="0" collapsedLevelsAreSubtotals="1" fieldPosition="0"/>
    </format>
    <format dxfId="194">
      <pivotArea dataOnly="0" labelOnly="1" outline="0" fieldPosition="0">
        <references count="1">
          <reference field="0" count="0"/>
        </references>
      </pivotArea>
    </format>
    <format dxfId="193">
      <pivotArea dataOnly="0" labelOnly="1" grandRow="1" outline="0" fieldPosition="0"/>
    </format>
    <format dxfId="19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0">
      <pivotArea outline="0" collapsedLevelsAreSubtotals="1" fieldPosition="0"/>
    </format>
    <format dxfId="189">
      <pivotArea dataOnly="0" labelOnly="1" outline="0" fieldPosition="0">
        <references count="1">
          <reference field="0" count="0"/>
        </references>
      </pivotArea>
    </format>
    <format dxfId="188">
      <pivotArea dataOnly="0" labelOnly="1" grandRow="1" outline="0" fieldPosition="0"/>
    </format>
    <format dxfId="1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5">
      <pivotArea outline="0" fieldPosition="0">
        <references count="1">
          <reference field="4294967294" count="1" selected="0">
            <x v="2"/>
          </reference>
        </references>
      </pivotArea>
    </format>
    <format dxfId="1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83">
      <pivotArea outline="0" fieldPosition="0">
        <references count="1">
          <reference field="4294967294" count="1" selected="0">
            <x v="2"/>
          </reference>
        </references>
      </pivotArea>
    </format>
    <format dxfId="18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81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80">
      <pivotArea outline="0" fieldPosition="0">
        <references count="1">
          <reference field="4294967294" count="1" selected="0">
            <x v="3"/>
          </reference>
        </references>
      </pivotArea>
    </format>
    <format dxfId="179">
      <pivotArea field="1" type="button" dataOnly="0" labelOnly="1" outline="0" axis="axisRow" fieldPosition="1"/>
    </format>
    <format dxfId="178">
      <pivotArea field="6" type="button" dataOnly="0" labelOnly="1" outline="0" axis="axisRow" fieldPosition="2"/>
    </format>
    <format dxfId="1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6">
      <pivotArea field="1" type="button" dataOnly="0" labelOnly="1" outline="0" axis="axisRow" fieldPosition="1"/>
    </format>
    <format dxfId="175">
      <pivotArea field="6" type="button" dataOnly="0" labelOnly="1" outline="0" axis="axisRow" fieldPosition="2"/>
    </format>
    <format dxfId="174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0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69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68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67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64">
      <pivotArea outline="0" fieldPosition="0">
        <references count="1">
          <reference field="4294967294" count="1" selected="0">
            <x v="4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1">
      <pivotArea type="all" dataOnly="0" outline="0" fieldPosition="0"/>
    </format>
    <format dxfId="160">
      <pivotArea outline="0" collapsedLevelsAreSubtotals="1" fieldPosition="0"/>
    </format>
    <format dxfId="159">
      <pivotArea field="0" type="button" dataOnly="0" labelOnly="1" outline="0" axis="axisRow" fieldPosition="0"/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0" count="0"/>
        </references>
      </pivotArea>
    </format>
    <format dxfId="155">
      <pivotArea dataOnly="0" labelOnly="1" grandRow="1" outline="0" fieldPosition="0"/>
    </format>
    <format dxfId="1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field="0" type="button" dataOnly="0" labelOnly="1" outline="0" axis="axisRow" fieldPosition="0"/>
    </format>
    <format dxfId="148">
      <pivotArea field="1" type="button" dataOnly="0" labelOnly="1" outline="0" axis="axisRow" fieldPosition="1"/>
    </format>
    <format dxfId="147">
      <pivotArea field="6" type="button" dataOnly="0" labelOnly="1" outline="0" axis="axisRow" fieldPosition="2"/>
    </format>
    <format dxfId="146">
      <pivotArea dataOnly="0" labelOnly="1" outline="0" fieldPosition="0">
        <references count="1">
          <reference field="0" count="0"/>
        </references>
      </pivotArea>
    </format>
    <format dxfId="145">
      <pivotArea dataOnly="0" labelOnly="1" grandRow="1" outline="0" fieldPosition="0"/>
    </format>
    <format dxfId="1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9">
      <pivotArea outline="0" fieldPosition="0">
        <references count="1">
          <reference field="4294967294" count="1" selected="0">
            <x v="4"/>
          </reference>
        </references>
      </pivotArea>
    </format>
    <format dxfId="1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6">
      <pivotArea type="all" dataOnly="0" outline="0" fieldPosition="0"/>
    </format>
    <format dxfId="135">
      <pivotArea outline="0" collapsedLevelsAreSubtotals="1" fieldPosition="0"/>
    </format>
    <format dxfId="134">
      <pivotArea field="0" type="button" dataOnly="0" labelOnly="1" outline="0" axis="axisRow" fieldPosition="0"/>
    </format>
    <format dxfId="133">
      <pivotArea field="1" type="button" dataOnly="0" labelOnly="1" outline="0" axis="axisRow" fieldPosition="1"/>
    </format>
    <format dxfId="132">
      <pivotArea field="6" type="button" dataOnly="0" labelOnly="1" outline="0" axis="axisRow" fieldPosition="2"/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grandRow="1" outline="0" fieldPosition="0"/>
    </format>
    <format dxfId="1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field="0" type="button" dataOnly="0" labelOnly="1" outline="0" axis="axisRow" fieldPosition="0"/>
    </format>
    <format dxfId="123">
      <pivotArea field="1" type="button" dataOnly="0" labelOnly="1" outline="0" axis="axisRow" fieldPosition="1"/>
    </format>
    <format dxfId="122">
      <pivotArea field="6" type="button" dataOnly="0" labelOnly="1" outline="0" axis="axisRow" fieldPosition="2"/>
    </format>
    <format dxfId="121">
      <pivotArea dataOnly="0" labelOnly="1" outline="0" fieldPosition="0">
        <references count="1">
          <reference field="0" count="0"/>
        </references>
      </pivotArea>
    </format>
    <format dxfId="120">
      <pivotArea dataOnly="0" labelOnly="1" grandRow="1" outline="0" fieldPosition="0"/>
    </format>
    <format dxfId="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4">
      <pivotArea outline="0" fieldPosition="0">
        <references count="1">
          <reference field="4294967294" count="1" selected="0">
            <x v="4"/>
          </reference>
        </references>
      </pivotArea>
    </format>
    <format dxfId="1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">
      <pivotArea type="all" dataOnly="0" outline="0" fieldPosition="0"/>
    </format>
    <format dxfId="110">
      <pivotArea outline="0" collapsedLevelsAreSubtotals="1" fieldPosition="0"/>
    </format>
    <format dxfId="109">
      <pivotArea field="0" type="button" dataOnly="0" labelOnly="1" outline="0" axis="axisRow" fieldPosition="0"/>
    </format>
    <format dxfId="108">
      <pivotArea field="1" type="button" dataOnly="0" labelOnly="1" outline="0" axis="axisRow" fieldPosition="1"/>
    </format>
    <format dxfId="107">
      <pivotArea field="6" type="button" dataOnly="0" labelOnly="1" outline="0" axis="axisRow" fieldPosition="2"/>
    </format>
    <format dxfId="106">
      <pivotArea dataOnly="0" labelOnly="1" outline="0" fieldPosition="0">
        <references count="1">
          <reference field="0" count="0"/>
        </references>
      </pivotArea>
    </format>
    <format dxfId="105">
      <pivotArea dataOnly="0" labelOnly="1" grandRow="1" outline="0" fieldPosition="0"/>
    </format>
    <format dxfId="1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field="0" type="button" dataOnly="0" labelOnly="1" outline="0" axis="axisRow" fieldPosition="0"/>
    </format>
    <format dxfId="100">
      <pivotArea field="1" type="button" dataOnly="0" labelOnly="1" outline="0" axis="axisRow" fieldPosition="1"/>
    </format>
    <format dxfId="99">
      <pivotArea field="6" type="button" dataOnly="0" labelOnly="1" outline="0" axis="axisRow" fieldPosition="2"/>
    </format>
    <format dxfId="98">
      <pivotArea dataOnly="0" labelOnly="1" outline="0" fieldPosition="0">
        <references count="1">
          <reference field="0" count="0"/>
        </references>
      </pivotArea>
    </format>
    <format dxfId="97">
      <pivotArea dataOnly="0" labelOnly="1" grandRow="1" outline="0" fieldPosition="0"/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0" type="button" dataOnly="0" labelOnly="1" outline="0" axis="axisRow" fieldPosition="0"/>
    </format>
    <format dxfId="77">
      <pivotArea field="1" type="button" dataOnly="0" labelOnly="1" outline="0" axis="axisRow" fieldPosition="1"/>
    </format>
    <format dxfId="76">
      <pivotArea field="6" type="button" dataOnly="0" labelOnly="1" outline="0" axis="axisRow" fieldPosition="2"/>
    </format>
    <format dxfId="75">
      <pivotArea dataOnly="0" labelOnly="1" outline="0" fieldPosition="0">
        <references count="1">
          <reference field="0" count="0"/>
        </references>
      </pivotArea>
    </format>
    <format dxfId="74">
      <pivotArea dataOnly="0" labelOnly="1" grandRow="1" outline="0" fieldPosition="0"/>
    </format>
    <format dxfId="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8">
      <pivotArea outline="0" fieldPosition="0">
        <references count="1">
          <reference field="4294967294" count="1" selected="0">
            <x v="4"/>
          </reference>
        </references>
      </pivotArea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field="1" type="button" dataOnly="0" labelOnly="1" outline="0" axis="axisRow" fieldPosition="1"/>
    </format>
    <format dxfId="61">
      <pivotArea field="6" type="button" dataOnly="0" labelOnly="1" outline="0" axis="axisRow" fieldPosition="2"/>
    </format>
    <format dxfId="60">
      <pivotArea dataOnly="0" labelOnly="1" outline="0" fieldPosition="0">
        <references count="1">
          <reference field="0" count="0"/>
        </references>
      </pivotArea>
    </format>
    <format dxfId="59">
      <pivotArea dataOnly="0" labelOnly="1" grandRow="1" outline="0" fieldPosition="0"/>
    </format>
    <format dxfId="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 axis="axisRow" fieldPosition="0"/>
    </format>
    <format dxfId="52">
      <pivotArea field="1" type="button" dataOnly="0" labelOnly="1" outline="0" axis="axisRow" fieldPosition="1"/>
    </format>
    <format dxfId="51">
      <pivotArea field="6" type="button" dataOnly="0" labelOnly="1" outline="0" axis="axisRow" fieldPosition="2"/>
    </format>
    <format dxfId="50">
      <pivotArea dataOnly="0" labelOnly="1" outline="0" fieldPosition="0">
        <references count="1">
          <reference field="0" count="0"/>
        </references>
      </pivotArea>
    </format>
    <format dxfId="49">
      <pivotArea dataOnly="0" labelOnly="1" grandRow="1" outline="0" fieldPosition="0"/>
    </format>
    <format dxfId="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">
      <pivotArea outline="0" fieldPosition="0">
        <references count="1">
          <reference field="4294967294" count="1" selected="0">
            <x v="4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0" type="button" dataOnly="0" labelOnly="1" outline="0" axis="axisRow" fieldPosition="0"/>
    </format>
    <format dxfId="37">
      <pivotArea field="1" type="button" dataOnly="0" labelOnly="1" outline="0" axis="axisRow" fieldPosition="1"/>
    </format>
    <format dxfId="36">
      <pivotArea field="6" type="button" dataOnly="0" labelOnly="1" outline="0" axis="axisRow" fieldPosition="2"/>
    </format>
    <format dxfId="35">
      <pivotArea dataOnly="0" labelOnly="1" outline="0" fieldPosition="0">
        <references count="1">
          <reference field="0" count="0"/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0" type="button" dataOnly="0" labelOnly="1" outline="0" axis="axisRow" fieldPosition="0"/>
    </format>
    <format dxfId="27">
      <pivotArea field="1" type="button" dataOnly="0" labelOnly="1" outline="0" axis="axisRow" fieldPosition="1"/>
    </format>
    <format dxfId="26">
      <pivotArea field="6" type="button" dataOnly="0" labelOnly="1" outline="0" axis="axisRow" fieldPosition="2"/>
    </format>
    <format dxfId="25">
      <pivotArea dataOnly="0" labelOnly="1" outline="0" fieldPosition="0">
        <references count="1">
          <reference field="0" count="0"/>
        </references>
      </pivotArea>
    </format>
    <format dxfId="24">
      <pivotArea dataOnly="0" labelOnly="1" grandRow="1" outline="0" fieldPosition="0"/>
    </format>
    <format dxfId="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A1575" zoomScale="70" zoomScaleNormal="70" workbookViewId="0">
      <selection activeCell="L1628" sqref="L1628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9" t="s">
        <v>8</v>
      </c>
      <c r="C1" s="130"/>
      <c r="D1" s="130"/>
      <c r="E1" s="130"/>
      <c r="F1" s="130"/>
      <c r="G1" s="130"/>
      <c r="H1" s="130"/>
      <c r="I1" s="130"/>
      <c r="J1" s="130"/>
      <c r="K1" s="130"/>
      <c r="L1" s="131"/>
      <c r="M1" s="129" t="s">
        <v>260</v>
      </c>
      <c r="N1" s="130"/>
      <c r="O1" s="130"/>
      <c r="P1" s="130"/>
      <c r="Q1" s="130"/>
      <c r="R1" s="130"/>
      <c r="S1" s="131"/>
    </row>
    <row r="2" spans="2:19" ht="14.45" customHeight="1">
      <c r="B2" s="132"/>
      <c r="C2" s="133"/>
      <c r="D2" s="133"/>
      <c r="E2" s="133"/>
      <c r="F2" s="133"/>
      <c r="G2" s="133"/>
      <c r="H2" s="133"/>
      <c r="I2" s="133"/>
      <c r="J2" s="133"/>
      <c r="K2" s="133"/>
      <c r="L2" s="134"/>
      <c r="M2" s="132"/>
      <c r="N2" s="133"/>
      <c r="O2" s="133"/>
      <c r="P2" s="133"/>
      <c r="Q2" s="133"/>
      <c r="R2" s="133"/>
      <c r="S2" s="134"/>
    </row>
    <row r="3" spans="2:19" ht="14.45" customHeight="1"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7"/>
      <c r="M3" s="135"/>
      <c r="N3" s="136"/>
      <c r="O3" s="136"/>
      <c r="P3" s="136"/>
      <c r="Q3" s="136"/>
      <c r="R3" s="136"/>
      <c r="S3" s="137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258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348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348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348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348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348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348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348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348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348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348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>
        <v>1921.2</v>
      </c>
      <c r="F532" s="15">
        <v>1930.6</v>
      </c>
      <c r="G532" s="15">
        <f t="shared" si="153"/>
        <v>9.3999999999998636</v>
      </c>
      <c r="H532" s="16" t="s">
        <v>348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348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348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348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348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348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348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348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348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348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348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348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348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348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348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348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348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348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348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348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348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266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284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284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284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284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358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358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358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358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358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358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358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358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>
        <v>2360.9</v>
      </c>
      <c r="F704" s="15">
        <v>2377.6</v>
      </c>
      <c r="G704" s="15">
        <f t="shared" si="201"/>
        <v>16.699999999999818</v>
      </c>
      <c r="H704" s="16" t="s">
        <v>358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>
        <v>2377.6</v>
      </c>
      <c r="F705" s="15">
        <v>2381.3000000000002</v>
      </c>
      <c r="G705" s="15">
        <f t="shared" si="201"/>
        <v>3.7000000000002728</v>
      </c>
      <c r="H705" s="16" t="s">
        <v>358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358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358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358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358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358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358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358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358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358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358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358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358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358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358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358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358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358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245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274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273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273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273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273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273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273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273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273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273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273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273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273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273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273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273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273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273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273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273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273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273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273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273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273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273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273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273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273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273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273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273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273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273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273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273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273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273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273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273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273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273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273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273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273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273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273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273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273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273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273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273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273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273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273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273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270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270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270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270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270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270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270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270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270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270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270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270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270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270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270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270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270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270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270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270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270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270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270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270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270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270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270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270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270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270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270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257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247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247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247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247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247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247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247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247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247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247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247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247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247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247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247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247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247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247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247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247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247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247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247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247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247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247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247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247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247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247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247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263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335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335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335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335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359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359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359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335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>
        <v>2847.4</v>
      </c>
      <c r="F1552" s="15">
        <v>2849.1</v>
      </c>
      <c r="G1552" s="15">
        <f t="shared" si="445"/>
        <v>1.6999999999998181</v>
      </c>
      <c r="H1552" s="16" t="s">
        <v>359</v>
      </c>
      <c r="I1552" s="10">
        <f t="shared" si="444"/>
        <v>496.77419354838707</v>
      </c>
      <c r="J1552" s="16"/>
      <c r="K1552" s="15">
        <v>1</v>
      </c>
      <c r="L1552" s="15">
        <v>40</v>
      </c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359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>
        <v>2849.1</v>
      </c>
      <c r="F1554" s="15">
        <v>2856.2</v>
      </c>
      <c r="G1554" s="15">
        <f t="shared" si="445"/>
        <v>7.0999999999999091</v>
      </c>
      <c r="H1554" s="16" t="s">
        <v>359</v>
      </c>
      <c r="I1554" s="10">
        <f t="shared" si="444"/>
        <v>496.77419354838707</v>
      </c>
      <c r="J1554" s="16"/>
      <c r="K1554" s="15">
        <v>1</v>
      </c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>
        <v>2856.2</v>
      </c>
      <c r="F1555" s="15">
        <v>2859.4</v>
      </c>
      <c r="G1555" s="15">
        <f t="shared" si="445"/>
        <v>3.2000000000002728</v>
      </c>
      <c r="H1555" s="16" t="s">
        <v>359</v>
      </c>
      <c r="I1555" s="10">
        <f t="shared" si="444"/>
        <v>496.77419354838707</v>
      </c>
      <c r="J1555" s="16"/>
      <c r="K1555" s="15">
        <v>1</v>
      </c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359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359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359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359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359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359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359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359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359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359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359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359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359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359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359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359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359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359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359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248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347</v>
      </c>
      <c r="I1578" s="10">
        <f>P1578</f>
        <v>496.77419354838707</v>
      </c>
      <c r="J1578" s="16" t="s">
        <v>16</v>
      </c>
      <c r="K1578" s="15">
        <v>1</v>
      </c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347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347</v>
      </c>
      <c r="I1580" s="10">
        <f t="shared" ref="I1580:I1604" si="454">I1579</f>
        <v>496.77419354838707</v>
      </c>
      <c r="J1580" s="16" t="s">
        <v>16</v>
      </c>
      <c r="K1580" s="15">
        <v>1</v>
      </c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347</v>
      </c>
      <c r="I1581" s="10">
        <f t="shared" si="454"/>
        <v>496.77419354838707</v>
      </c>
      <c r="J1581" s="16" t="s">
        <v>16</v>
      </c>
      <c r="K1581" s="15">
        <v>1</v>
      </c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347</v>
      </c>
      <c r="I1582" s="10">
        <f t="shared" si="454"/>
        <v>496.77419354838707</v>
      </c>
      <c r="J1582" s="16" t="s">
        <v>16</v>
      </c>
      <c r="K1582" s="15">
        <v>1</v>
      </c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347</v>
      </c>
      <c r="I1583" s="10">
        <f t="shared" si="454"/>
        <v>496.77419354838707</v>
      </c>
      <c r="J1583" s="16" t="s">
        <v>16</v>
      </c>
      <c r="K1583" s="15">
        <v>1</v>
      </c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347</v>
      </c>
      <c r="I1584" s="10">
        <f t="shared" si="454"/>
        <v>496.77419354838707</v>
      </c>
      <c r="J1584" s="16" t="s">
        <v>16</v>
      </c>
      <c r="K1584" s="15">
        <v>1</v>
      </c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347</v>
      </c>
      <c r="I1585" s="10">
        <f t="shared" si="454"/>
        <v>496.77419354838707</v>
      </c>
      <c r="J1585" s="16" t="s">
        <v>16</v>
      </c>
      <c r="K1585" s="15">
        <v>1</v>
      </c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/>
      <c r="H1586" s="16" t="s">
        <v>360</v>
      </c>
      <c r="I1586" s="10">
        <f t="shared" si="454"/>
        <v>496.77419354838707</v>
      </c>
      <c r="J1586" s="16"/>
      <c r="K1586" s="15">
        <v>1</v>
      </c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360</v>
      </c>
      <c r="I1587" s="10">
        <f t="shared" si="454"/>
        <v>496.77419354838707</v>
      </c>
      <c r="J1587" s="16" t="s">
        <v>16</v>
      </c>
      <c r="K1587" s="15">
        <v>1</v>
      </c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>
        <v>337599</v>
      </c>
      <c r="F1588" s="15">
        <v>337676</v>
      </c>
      <c r="G1588" s="15">
        <f t="shared" si="455"/>
        <v>77</v>
      </c>
      <c r="H1588" s="16" t="s">
        <v>360</v>
      </c>
      <c r="I1588" s="10">
        <f t="shared" si="454"/>
        <v>496.77419354838707</v>
      </c>
      <c r="J1588" s="16" t="s">
        <v>16</v>
      </c>
      <c r="K1588" s="15">
        <v>1</v>
      </c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>
        <v>337674</v>
      </c>
      <c r="F1589" s="15">
        <v>337738</v>
      </c>
      <c r="G1589" s="15">
        <f t="shared" si="455"/>
        <v>64</v>
      </c>
      <c r="H1589" s="16" t="s">
        <v>361</v>
      </c>
      <c r="I1589" s="10">
        <f t="shared" si="454"/>
        <v>496.77419354838707</v>
      </c>
      <c r="J1589" s="16" t="s">
        <v>16</v>
      </c>
      <c r="K1589" s="15">
        <v>1</v>
      </c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>
        <v>337738</v>
      </c>
      <c r="F1590" s="15">
        <v>337745</v>
      </c>
      <c r="G1590" s="15">
        <f t="shared" si="455"/>
        <v>7</v>
      </c>
      <c r="H1590" s="16" t="s">
        <v>361</v>
      </c>
      <c r="I1590" s="10">
        <f t="shared" si="454"/>
        <v>496.77419354838707</v>
      </c>
      <c r="J1590" s="16" t="s">
        <v>16</v>
      </c>
      <c r="K1590" s="15">
        <v>1</v>
      </c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>
        <v>337745</v>
      </c>
      <c r="F1591" s="15">
        <v>337770</v>
      </c>
      <c r="G1591" s="15">
        <f t="shared" si="455"/>
        <v>25</v>
      </c>
      <c r="H1591" s="16" t="s">
        <v>361</v>
      </c>
      <c r="I1591" s="10">
        <f t="shared" si="454"/>
        <v>496.77419354838707</v>
      </c>
      <c r="J1591" s="16"/>
      <c r="K1591" s="15">
        <v>1</v>
      </c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361</v>
      </c>
      <c r="I1592" s="10">
        <f t="shared" si="454"/>
        <v>496.77419354838707</v>
      </c>
      <c r="J1592" s="16" t="s">
        <v>16</v>
      </c>
      <c r="K1592" s="15">
        <v>1</v>
      </c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361</v>
      </c>
      <c r="I1593" s="10">
        <f t="shared" si="454"/>
        <v>496.77419354838707</v>
      </c>
      <c r="J1593" s="16" t="s">
        <v>16</v>
      </c>
      <c r="K1593" s="15">
        <v>1</v>
      </c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361</v>
      </c>
      <c r="I1594" s="10">
        <f t="shared" si="454"/>
        <v>496.77419354838707</v>
      </c>
      <c r="J1594" s="16" t="s">
        <v>16</v>
      </c>
      <c r="K1594" s="15">
        <v>1</v>
      </c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361</v>
      </c>
      <c r="I1595" s="10">
        <f t="shared" si="454"/>
        <v>496.77419354838707</v>
      </c>
      <c r="J1595" s="16" t="s">
        <v>16</v>
      </c>
      <c r="K1595" s="15">
        <v>1</v>
      </c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361</v>
      </c>
      <c r="I1596" s="10">
        <f t="shared" si="454"/>
        <v>496.77419354838707</v>
      </c>
      <c r="J1596" s="16" t="s">
        <v>16</v>
      </c>
      <c r="K1596" s="15">
        <v>1</v>
      </c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361</v>
      </c>
      <c r="I1597" s="10">
        <f t="shared" si="454"/>
        <v>496.77419354838707</v>
      </c>
      <c r="J1597" s="16" t="s">
        <v>16</v>
      </c>
      <c r="K1597" s="15">
        <v>1</v>
      </c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361</v>
      </c>
      <c r="I1598" s="10">
        <f t="shared" si="454"/>
        <v>496.77419354838707</v>
      </c>
      <c r="J1598" s="16" t="s">
        <v>16</v>
      </c>
      <c r="K1598" s="15">
        <v>1</v>
      </c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361</v>
      </c>
      <c r="I1599" s="10">
        <f t="shared" si="454"/>
        <v>496.77419354838707</v>
      </c>
      <c r="J1599" s="16" t="s">
        <v>16</v>
      </c>
      <c r="K1599" s="15">
        <v>1</v>
      </c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361</v>
      </c>
      <c r="I1600" s="10">
        <f t="shared" si="454"/>
        <v>496.77419354838707</v>
      </c>
      <c r="J1600" s="16" t="s">
        <v>16</v>
      </c>
      <c r="K1600" s="15">
        <v>1</v>
      </c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361</v>
      </c>
      <c r="I1601" s="10">
        <f t="shared" si="454"/>
        <v>496.77419354838707</v>
      </c>
      <c r="J1601" s="16" t="s">
        <v>16</v>
      </c>
      <c r="K1601" s="15">
        <v>1</v>
      </c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361</v>
      </c>
      <c r="I1602" s="10">
        <f t="shared" si="454"/>
        <v>496.77419354838707</v>
      </c>
      <c r="J1602" s="16" t="s">
        <v>16</v>
      </c>
      <c r="K1602" s="15">
        <v>1</v>
      </c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361</v>
      </c>
      <c r="I1603" s="10">
        <f t="shared" si="454"/>
        <v>496.77419354838707</v>
      </c>
      <c r="J1603" s="16" t="s">
        <v>16</v>
      </c>
      <c r="K1603" s="15">
        <v>1</v>
      </c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361</v>
      </c>
      <c r="I1604" s="10">
        <f t="shared" si="454"/>
        <v>496.77419354838707</v>
      </c>
      <c r="J1604" s="16" t="s">
        <v>16</v>
      </c>
      <c r="K1604" s="15">
        <v>1</v>
      </c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361</v>
      </c>
      <c r="I1605" s="10">
        <f>I1601</f>
        <v>496.77419354838707</v>
      </c>
      <c r="J1605" s="16" t="s">
        <v>16</v>
      </c>
      <c r="K1605" s="15">
        <v>1</v>
      </c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361</v>
      </c>
      <c r="I1606" s="10">
        <f>I1602</f>
        <v>496.77419354838707</v>
      </c>
      <c r="J1606" s="16" t="s">
        <v>16</v>
      </c>
      <c r="K1606" s="15">
        <v>1</v>
      </c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361</v>
      </c>
      <c r="I1607" s="10">
        <f>I1603</f>
        <v>496.77419354838707</v>
      </c>
      <c r="J1607" s="16" t="s">
        <v>16</v>
      </c>
      <c r="K1607" s="15">
        <v>1</v>
      </c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361</v>
      </c>
      <c r="I1608" s="10">
        <f>I1604</f>
        <v>496.77419354838707</v>
      </c>
      <c r="J1608" s="16" t="s">
        <v>16</v>
      </c>
      <c r="K1608" s="15">
        <v>1</v>
      </c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>
        <v>951.1</v>
      </c>
      <c r="F1620" s="15">
        <v>957.3</v>
      </c>
      <c r="G1620" s="15">
        <f t="shared" si="463"/>
        <v>6.1999999999999318</v>
      </c>
      <c r="H1620" s="16" t="s">
        <v>250</v>
      </c>
      <c r="I1620" s="10">
        <f t="shared" si="465"/>
        <v>464.51612903225805</v>
      </c>
      <c r="J1620" s="16"/>
      <c r="K1620" s="15">
        <v>1</v>
      </c>
      <c r="L1620" s="15">
        <v>20</v>
      </c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>
        <v>957.3</v>
      </c>
      <c r="F1621" s="15">
        <v>964</v>
      </c>
      <c r="G1621" s="15">
        <f t="shared" si="463"/>
        <v>6.7000000000000455</v>
      </c>
      <c r="H1621" s="16" t="s">
        <v>250</v>
      </c>
      <c r="I1621" s="10">
        <f t="shared" si="465"/>
        <v>464.51612903225805</v>
      </c>
      <c r="J1621" s="16"/>
      <c r="K1621" s="15">
        <v>1</v>
      </c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>
        <v>964</v>
      </c>
      <c r="F1622" s="15">
        <v>972</v>
      </c>
      <c r="G1622" s="15">
        <f t="shared" si="463"/>
        <v>8</v>
      </c>
      <c r="H1622" s="16" t="s">
        <v>250</v>
      </c>
      <c r="I1622" s="10">
        <f t="shared" si="465"/>
        <v>464.51612903225805</v>
      </c>
      <c r="J1622" s="16"/>
      <c r="K1622" s="15">
        <v>1</v>
      </c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>
        <v>972.3</v>
      </c>
      <c r="F1623" s="15">
        <v>980.8</v>
      </c>
      <c r="G1623" s="15">
        <f t="shared" si="463"/>
        <v>8.5</v>
      </c>
      <c r="H1623" s="16" t="s">
        <v>250</v>
      </c>
      <c r="I1623" s="10">
        <f t="shared" si="465"/>
        <v>464.51612903225805</v>
      </c>
      <c r="J1623" s="16"/>
      <c r="K1623" s="15">
        <v>1</v>
      </c>
      <c r="L1623" s="15">
        <v>48</v>
      </c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>
        <v>980.8</v>
      </c>
      <c r="F1624" s="15">
        <v>988.2</v>
      </c>
      <c r="G1624" s="15">
        <f t="shared" si="463"/>
        <v>7.4000000000000909</v>
      </c>
      <c r="H1624" s="16" t="s">
        <v>250</v>
      </c>
      <c r="I1624" s="10">
        <f t="shared" si="465"/>
        <v>464.51612903225805</v>
      </c>
      <c r="J1624" s="16"/>
      <c r="K1624" s="15">
        <v>1</v>
      </c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250</v>
      </c>
      <c r="I1625" s="10">
        <f t="shared" si="465"/>
        <v>464.51612903225805</v>
      </c>
      <c r="J1625" s="16" t="s">
        <v>16</v>
      </c>
      <c r="K1625" s="15">
        <v>1</v>
      </c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250</v>
      </c>
      <c r="I1626" s="10">
        <f t="shared" si="465"/>
        <v>464.51612903225805</v>
      </c>
      <c r="J1626" s="16" t="s">
        <v>16</v>
      </c>
      <c r="K1626" s="15">
        <v>1</v>
      </c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250</v>
      </c>
      <c r="I1627" s="10">
        <f t="shared" si="465"/>
        <v>464.51612903225805</v>
      </c>
      <c r="J1627" s="16" t="s">
        <v>16</v>
      </c>
      <c r="K1627" s="15">
        <v>1</v>
      </c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250</v>
      </c>
      <c r="I1628" s="10">
        <f t="shared" si="465"/>
        <v>464.51612903225805</v>
      </c>
      <c r="J1628" s="16" t="s">
        <v>16</v>
      </c>
      <c r="K1628" s="15">
        <v>1</v>
      </c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250</v>
      </c>
      <c r="I1629" s="10">
        <f t="shared" si="465"/>
        <v>464.51612903225805</v>
      </c>
      <c r="J1629" s="16" t="s">
        <v>16</v>
      </c>
      <c r="K1629" s="15">
        <v>1</v>
      </c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250</v>
      </c>
      <c r="I1630" s="10">
        <f t="shared" si="465"/>
        <v>464.51612903225805</v>
      </c>
      <c r="J1630" s="16" t="s">
        <v>16</v>
      </c>
      <c r="K1630" s="15">
        <v>1</v>
      </c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250</v>
      </c>
      <c r="I1631" s="10">
        <f t="shared" si="465"/>
        <v>464.51612903225805</v>
      </c>
      <c r="J1631" s="16" t="s">
        <v>16</v>
      </c>
      <c r="K1631" s="15">
        <v>1</v>
      </c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250</v>
      </c>
      <c r="I1632" s="10">
        <f t="shared" si="465"/>
        <v>464.51612903225805</v>
      </c>
      <c r="J1632" s="16" t="s">
        <v>16</v>
      </c>
      <c r="K1632" s="15">
        <v>1</v>
      </c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250</v>
      </c>
      <c r="I1633" s="10">
        <f t="shared" si="465"/>
        <v>464.51612903225805</v>
      </c>
      <c r="J1633" s="16" t="s">
        <v>16</v>
      </c>
      <c r="K1633" s="15">
        <v>1</v>
      </c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250</v>
      </c>
      <c r="I1634" s="10">
        <f t="shared" si="465"/>
        <v>464.51612903225805</v>
      </c>
      <c r="J1634" s="16" t="s">
        <v>16</v>
      </c>
      <c r="K1634" s="15">
        <v>1</v>
      </c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250</v>
      </c>
      <c r="I1635" s="10">
        <f t="shared" si="465"/>
        <v>464.51612903225805</v>
      </c>
      <c r="J1635" s="16" t="s">
        <v>16</v>
      </c>
      <c r="K1635" s="15">
        <v>1</v>
      </c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250</v>
      </c>
      <c r="I1636" s="10">
        <f t="shared" si="465"/>
        <v>464.51612903225805</v>
      </c>
      <c r="J1636" s="16" t="s">
        <v>16</v>
      </c>
      <c r="K1636" s="15">
        <v>1</v>
      </c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250</v>
      </c>
      <c r="I1637" s="10">
        <f t="shared" si="465"/>
        <v>464.51612903225805</v>
      </c>
      <c r="J1637" s="16" t="s">
        <v>16</v>
      </c>
      <c r="K1637" s="15">
        <v>1</v>
      </c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250</v>
      </c>
      <c r="I1638" s="10">
        <f t="shared" si="465"/>
        <v>464.51612903225805</v>
      </c>
      <c r="J1638" s="16" t="s">
        <v>16</v>
      </c>
      <c r="K1638" s="15">
        <v>1</v>
      </c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250</v>
      </c>
      <c r="I1639" s="10">
        <f>I1635</f>
        <v>464.51612903225805</v>
      </c>
      <c r="J1639" s="16" t="s">
        <v>16</v>
      </c>
      <c r="K1639" s="15">
        <v>1</v>
      </c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250</v>
      </c>
      <c r="I1640" s="10">
        <f>I1636</f>
        <v>464.51612903225805</v>
      </c>
      <c r="J1640" s="16" t="s">
        <v>16</v>
      </c>
      <c r="K1640" s="15">
        <v>1</v>
      </c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250</v>
      </c>
      <c r="I1641" s="10">
        <f>I1637</f>
        <v>464.51612903225805</v>
      </c>
      <c r="J1641" s="16" t="s">
        <v>16</v>
      </c>
      <c r="K1641" s="15">
        <v>1</v>
      </c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250</v>
      </c>
      <c r="I1642" s="10">
        <f>I1638</f>
        <v>464.51612903225805</v>
      </c>
      <c r="J1642" s="16" t="s">
        <v>16</v>
      </c>
      <c r="K1642" s="15">
        <v>1</v>
      </c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250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250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250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250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250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250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250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250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250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250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250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250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250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250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250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250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250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250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250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250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250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250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250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250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250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250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250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250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250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250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250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>
        <f t="shared" ref="G1714:G1721" si="493">F1714-E1714</f>
        <v>0</v>
      </c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4">SUM(R1714+Q1714+I1714)</f>
        <v>464.51612903225805</v>
      </c>
    </row>
    <row r="1715" spans="2:19" outlineLevel="1">
      <c r="B1715" s="13" t="s">
        <v>120</v>
      </c>
      <c r="C1715" s="7" t="str">
        <f t="shared" ref="C1715:C1744" si="495">C$1712</f>
        <v>ROLO DINAPACK MOD CA 25 KIT PATA CHASSIS B001497</v>
      </c>
      <c r="D1715" s="8">
        <f t="shared" si="492"/>
        <v>46083</v>
      </c>
      <c r="E1715" s="15"/>
      <c r="F1715" s="15"/>
      <c r="G1715" s="15">
        <f t="shared" si="493"/>
        <v>0</v>
      </c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4"/>
        <v>464.51612903225805</v>
      </c>
    </row>
    <row r="1716" spans="2:19" outlineLevel="1">
      <c r="B1716" s="13" t="s">
        <v>120</v>
      </c>
      <c r="C1716" s="7" t="str">
        <f t="shared" si="495"/>
        <v>ROLO DINAPACK MOD CA 25 KIT PATA CHASSIS B001497</v>
      </c>
      <c r="D1716" s="8">
        <f t="shared" si="492"/>
        <v>46084</v>
      </c>
      <c r="E1716" s="15"/>
      <c r="F1716" s="15"/>
      <c r="G1716" s="15">
        <f t="shared" si="493"/>
        <v>0</v>
      </c>
      <c r="H1716" s="16" t="s">
        <v>233</v>
      </c>
      <c r="I1716" s="10">
        <f t="shared" ref="I1716:I1740" si="496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4"/>
        <v>464.51612903225805</v>
      </c>
    </row>
    <row r="1717" spans="2:19" outlineLevel="1">
      <c r="B1717" s="13" t="s">
        <v>120</v>
      </c>
      <c r="C1717" s="7" t="str">
        <f t="shared" si="495"/>
        <v>ROLO DINAPACK MOD CA 25 KIT PATA CHASSIS B001497</v>
      </c>
      <c r="D1717" s="8">
        <f t="shared" si="492"/>
        <v>46085</v>
      </c>
      <c r="E1717" s="15"/>
      <c r="F1717" s="15"/>
      <c r="G1717" s="15">
        <f t="shared" si="493"/>
        <v>0</v>
      </c>
      <c r="H1717" s="16" t="s">
        <v>233</v>
      </c>
      <c r="I1717" s="10">
        <f t="shared" si="496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4"/>
        <v>464.51612903225805</v>
      </c>
    </row>
    <row r="1718" spans="2:19" outlineLevel="1">
      <c r="B1718" s="13" t="s">
        <v>120</v>
      </c>
      <c r="C1718" s="7" t="str">
        <f t="shared" si="495"/>
        <v>ROLO DINAPACK MOD CA 25 KIT PATA CHASSIS B001497</v>
      </c>
      <c r="D1718" s="8">
        <f t="shared" si="492"/>
        <v>46086</v>
      </c>
      <c r="E1718" s="15"/>
      <c r="F1718" s="15"/>
      <c r="G1718" s="15">
        <f t="shared" si="493"/>
        <v>0</v>
      </c>
      <c r="H1718" s="16" t="s">
        <v>233</v>
      </c>
      <c r="I1718" s="10">
        <f t="shared" si="496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4"/>
        <v>464.51612903225805</v>
      </c>
    </row>
    <row r="1719" spans="2:19" outlineLevel="1">
      <c r="B1719" s="13" t="s">
        <v>120</v>
      </c>
      <c r="C1719" s="7" t="str">
        <f t="shared" si="495"/>
        <v>ROLO DINAPACK MOD CA 25 KIT PATA CHASSIS B001497</v>
      </c>
      <c r="D1719" s="8">
        <f t="shared" si="492"/>
        <v>46087</v>
      </c>
      <c r="E1719" s="15"/>
      <c r="F1719" s="15"/>
      <c r="G1719" s="15">
        <f t="shared" si="493"/>
        <v>0</v>
      </c>
      <c r="H1719" s="16" t="s">
        <v>233</v>
      </c>
      <c r="I1719" s="10">
        <f t="shared" si="496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4"/>
        <v>464.51612903225805</v>
      </c>
    </row>
    <row r="1720" spans="2:19" outlineLevel="1">
      <c r="B1720" s="13" t="s">
        <v>120</v>
      </c>
      <c r="C1720" s="7" t="str">
        <f t="shared" si="495"/>
        <v>ROLO DINAPACK MOD CA 25 KIT PATA CHASSIS B001497</v>
      </c>
      <c r="D1720" s="8">
        <f t="shared" si="492"/>
        <v>46088</v>
      </c>
      <c r="E1720" s="15"/>
      <c r="F1720" s="15"/>
      <c r="G1720" s="15">
        <f t="shared" si="493"/>
        <v>0</v>
      </c>
      <c r="H1720" s="16" t="s">
        <v>233</v>
      </c>
      <c r="I1720" s="10">
        <f t="shared" si="496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4"/>
        <v>464.51612903225805</v>
      </c>
    </row>
    <row r="1721" spans="2:19" outlineLevel="1">
      <c r="B1721" s="13" t="s">
        <v>120</v>
      </c>
      <c r="C1721" s="7" t="str">
        <f t="shared" si="495"/>
        <v>ROLO DINAPACK MOD CA 25 KIT PATA CHASSIS B001497</v>
      </c>
      <c r="D1721" s="8">
        <f t="shared" si="492"/>
        <v>46089</v>
      </c>
      <c r="E1721" s="15"/>
      <c r="F1721" s="15"/>
      <c r="G1721" s="15">
        <f t="shared" si="493"/>
        <v>0</v>
      </c>
      <c r="H1721" s="16" t="s">
        <v>233</v>
      </c>
      <c r="I1721" s="10">
        <f t="shared" si="496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4"/>
        <v>464.51612903225805</v>
      </c>
    </row>
    <row r="1722" spans="2:19" outlineLevel="1">
      <c r="B1722" s="13" t="s">
        <v>120</v>
      </c>
      <c r="C1722" s="7" t="str">
        <f t="shared" si="495"/>
        <v>ROLO DINAPACK MOD CA 25 KIT PATA CHASSIS B001497</v>
      </c>
      <c r="D1722" s="8">
        <f t="shared" si="492"/>
        <v>46090</v>
      </c>
      <c r="E1722" s="15">
        <v>5743</v>
      </c>
      <c r="F1722" s="15">
        <v>5745</v>
      </c>
      <c r="G1722" s="15">
        <f>F1722-E1722</f>
        <v>2</v>
      </c>
      <c r="H1722" s="16" t="s">
        <v>360</v>
      </c>
      <c r="I1722" s="10">
        <f t="shared" si="496"/>
        <v>464.51612903225805</v>
      </c>
      <c r="J1722" s="16"/>
      <c r="K1722" s="15">
        <v>1</v>
      </c>
      <c r="L1722" s="15"/>
      <c r="M1722" s="17"/>
      <c r="N1722" s="9"/>
      <c r="O1722" s="18"/>
      <c r="P1722" s="9"/>
      <c r="Q1722" s="9"/>
      <c r="R1722" s="9"/>
      <c r="S1722" s="10">
        <f t="shared" si="494"/>
        <v>464.51612903225805</v>
      </c>
    </row>
    <row r="1723" spans="2:19" outlineLevel="1">
      <c r="B1723" s="13" t="s">
        <v>120</v>
      </c>
      <c r="C1723" s="7" t="str">
        <f t="shared" si="495"/>
        <v>ROLO DINAPACK MOD CA 25 KIT PATA CHASSIS B001497</v>
      </c>
      <c r="D1723" s="8">
        <f t="shared" si="492"/>
        <v>46091</v>
      </c>
      <c r="E1723" s="15">
        <v>5745</v>
      </c>
      <c r="F1723" s="15">
        <v>5746</v>
      </c>
      <c r="G1723" s="15">
        <f t="shared" ref="G1723:G1744" si="497">F1723-E1723</f>
        <v>1</v>
      </c>
      <c r="H1723" s="16" t="s">
        <v>360</v>
      </c>
      <c r="I1723" s="10">
        <f t="shared" si="496"/>
        <v>464.51612903225805</v>
      </c>
      <c r="J1723" s="16"/>
      <c r="K1723" s="15">
        <v>1</v>
      </c>
      <c r="L1723" s="15"/>
      <c r="M1723" s="17"/>
      <c r="N1723" s="9"/>
      <c r="O1723" s="18"/>
      <c r="P1723" s="9"/>
      <c r="Q1723" s="9"/>
      <c r="R1723" s="9"/>
      <c r="S1723" s="10">
        <f t="shared" si="494"/>
        <v>464.51612903225805</v>
      </c>
    </row>
    <row r="1724" spans="2:19" outlineLevel="1">
      <c r="B1724" s="13" t="s">
        <v>120</v>
      </c>
      <c r="C1724" s="7" t="str">
        <f t="shared" si="495"/>
        <v>ROLO DINAPACK MOD CA 25 KIT PATA CHASSIS B001497</v>
      </c>
      <c r="D1724" s="8">
        <f t="shared" si="492"/>
        <v>46092</v>
      </c>
      <c r="E1724" s="15"/>
      <c r="F1724" s="15"/>
      <c r="G1724" s="15">
        <f t="shared" si="497"/>
        <v>0</v>
      </c>
      <c r="H1724" s="16" t="s">
        <v>360</v>
      </c>
      <c r="I1724" s="10">
        <f t="shared" si="496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4"/>
        <v>464.51612903225805</v>
      </c>
    </row>
    <row r="1725" spans="2:19" outlineLevel="1">
      <c r="B1725" s="13" t="s">
        <v>120</v>
      </c>
      <c r="C1725" s="7" t="str">
        <f t="shared" si="495"/>
        <v>ROLO DINAPACK MOD CA 25 KIT PATA CHASSIS B001497</v>
      </c>
      <c r="D1725" s="8">
        <f t="shared" si="492"/>
        <v>46093</v>
      </c>
      <c r="E1725" s="15">
        <v>5746</v>
      </c>
      <c r="F1725" s="15">
        <v>5748</v>
      </c>
      <c r="G1725" s="15">
        <f t="shared" si="497"/>
        <v>2</v>
      </c>
      <c r="H1725" s="16" t="s">
        <v>360</v>
      </c>
      <c r="I1725" s="10">
        <f t="shared" si="496"/>
        <v>464.51612903225805</v>
      </c>
      <c r="J1725" s="16"/>
      <c r="K1725" s="15">
        <v>1</v>
      </c>
      <c r="L1725" s="15"/>
      <c r="M1725" s="17"/>
      <c r="N1725" s="9"/>
      <c r="O1725" s="18">
        <f t="shared" ref="O1725:O1740" si="498">O1724</f>
        <v>0</v>
      </c>
      <c r="P1725" s="9"/>
      <c r="Q1725" s="9"/>
      <c r="R1725" s="9"/>
      <c r="S1725" s="10">
        <f t="shared" ref="S1725:S1744" si="499">SUM(R1725+Q1725+I1725)</f>
        <v>464.51612903225805</v>
      </c>
    </row>
    <row r="1726" spans="2:19" outlineLevel="1">
      <c r="B1726" s="13" t="s">
        <v>120</v>
      </c>
      <c r="C1726" s="7" t="str">
        <f t="shared" si="495"/>
        <v>ROLO DINAPACK MOD CA 25 KIT PATA CHASSIS B001497</v>
      </c>
      <c r="D1726" s="8">
        <f t="shared" si="492"/>
        <v>46094</v>
      </c>
      <c r="E1726" s="15">
        <v>5748</v>
      </c>
      <c r="F1726" s="15">
        <v>5751</v>
      </c>
      <c r="G1726" s="15">
        <f t="shared" si="497"/>
        <v>3</v>
      </c>
      <c r="H1726" s="16" t="s">
        <v>360</v>
      </c>
      <c r="I1726" s="10">
        <f t="shared" si="496"/>
        <v>464.51612903225805</v>
      </c>
      <c r="J1726" s="16"/>
      <c r="K1726" s="15">
        <v>1</v>
      </c>
      <c r="L1726" s="15"/>
      <c r="M1726" s="17"/>
      <c r="N1726" s="9"/>
      <c r="O1726" s="18">
        <f t="shared" si="498"/>
        <v>0</v>
      </c>
      <c r="P1726" s="9"/>
      <c r="Q1726" s="9"/>
      <c r="R1726" s="9"/>
      <c r="S1726" s="10">
        <f t="shared" si="499"/>
        <v>464.51612903225805</v>
      </c>
    </row>
    <row r="1727" spans="2:19" outlineLevel="1">
      <c r="B1727" s="13" t="s">
        <v>120</v>
      </c>
      <c r="C1727" s="7" t="str">
        <f t="shared" si="495"/>
        <v>ROLO DINAPACK MOD CA 25 KIT PATA CHASSIS B001497</v>
      </c>
      <c r="D1727" s="8">
        <f t="shared" si="492"/>
        <v>46095</v>
      </c>
      <c r="E1727" s="15">
        <v>5751</v>
      </c>
      <c r="F1727" s="15">
        <v>5752</v>
      </c>
      <c r="G1727" s="15">
        <f t="shared" si="497"/>
        <v>1</v>
      </c>
      <c r="H1727" s="16" t="s">
        <v>360</v>
      </c>
      <c r="I1727" s="10">
        <f t="shared" si="496"/>
        <v>464.51612903225805</v>
      </c>
      <c r="J1727" s="16" t="s">
        <v>16</v>
      </c>
      <c r="K1727" s="15"/>
      <c r="L1727" s="15"/>
      <c r="M1727" s="17"/>
      <c r="N1727" s="9"/>
      <c r="O1727" s="18">
        <f t="shared" si="498"/>
        <v>0</v>
      </c>
      <c r="P1727" s="9"/>
      <c r="Q1727" s="9"/>
      <c r="R1727" s="9"/>
      <c r="S1727" s="10">
        <f t="shared" si="499"/>
        <v>464.51612903225805</v>
      </c>
    </row>
    <row r="1728" spans="2:19" outlineLevel="1">
      <c r="B1728" s="13" t="s">
        <v>120</v>
      </c>
      <c r="C1728" s="7" t="str">
        <f t="shared" si="495"/>
        <v>ROLO DINAPACK MOD CA 25 KIT PATA CHASSIS B001497</v>
      </c>
      <c r="D1728" s="8">
        <f t="shared" si="492"/>
        <v>46096</v>
      </c>
      <c r="E1728" s="15"/>
      <c r="F1728" s="15"/>
      <c r="G1728" s="15">
        <f t="shared" si="497"/>
        <v>0</v>
      </c>
      <c r="H1728" s="16" t="s">
        <v>360</v>
      </c>
      <c r="I1728" s="10">
        <f t="shared" si="496"/>
        <v>464.51612903225805</v>
      </c>
      <c r="J1728" s="16" t="s">
        <v>16</v>
      </c>
      <c r="K1728" s="15"/>
      <c r="L1728" s="15"/>
      <c r="M1728" s="17"/>
      <c r="N1728" s="9"/>
      <c r="O1728" s="18">
        <f t="shared" si="498"/>
        <v>0</v>
      </c>
      <c r="P1728" s="9"/>
      <c r="Q1728" s="9"/>
      <c r="R1728" s="9"/>
      <c r="S1728" s="10">
        <f t="shared" si="499"/>
        <v>464.51612903225805</v>
      </c>
    </row>
    <row r="1729" spans="2:19" outlineLevel="1">
      <c r="B1729" s="13" t="s">
        <v>120</v>
      </c>
      <c r="C1729" s="7" t="str">
        <f t="shared" si="495"/>
        <v>ROLO DINAPACK MOD CA 25 KIT PATA CHASSIS B001497</v>
      </c>
      <c r="D1729" s="8">
        <f t="shared" si="492"/>
        <v>46097</v>
      </c>
      <c r="E1729" s="15"/>
      <c r="F1729" s="15"/>
      <c r="G1729" s="15">
        <f t="shared" si="497"/>
        <v>0</v>
      </c>
      <c r="H1729" s="16" t="s">
        <v>360</v>
      </c>
      <c r="I1729" s="10">
        <f t="shared" si="496"/>
        <v>464.51612903225805</v>
      </c>
      <c r="J1729" s="16" t="s">
        <v>16</v>
      </c>
      <c r="K1729" s="15"/>
      <c r="L1729" s="15"/>
      <c r="M1729" s="17"/>
      <c r="N1729" s="9"/>
      <c r="O1729" s="18">
        <f t="shared" si="498"/>
        <v>0</v>
      </c>
      <c r="P1729" s="9"/>
      <c r="Q1729" s="9"/>
      <c r="R1729" s="9"/>
      <c r="S1729" s="10">
        <f t="shared" si="499"/>
        <v>464.51612903225805</v>
      </c>
    </row>
    <row r="1730" spans="2:19" outlineLevel="1">
      <c r="B1730" s="13" t="s">
        <v>120</v>
      </c>
      <c r="C1730" s="7" t="str">
        <f t="shared" si="495"/>
        <v>ROLO DINAPACK MOD CA 25 KIT PATA CHASSIS B001497</v>
      </c>
      <c r="D1730" s="8">
        <f t="shared" si="492"/>
        <v>46098</v>
      </c>
      <c r="E1730" s="15"/>
      <c r="F1730" s="15"/>
      <c r="G1730" s="15">
        <f t="shared" si="497"/>
        <v>0</v>
      </c>
      <c r="H1730" s="16" t="s">
        <v>360</v>
      </c>
      <c r="I1730" s="10">
        <f t="shared" si="496"/>
        <v>464.51612903225805</v>
      </c>
      <c r="J1730" s="16" t="s">
        <v>16</v>
      </c>
      <c r="K1730" s="15"/>
      <c r="L1730" s="15"/>
      <c r="M1730" s="17"/>
      <c r="N1730" s="9"/>
      <c r="O1730" s="18">
        <f t="shared" si="498"/>
        <v>0</v>
      </c>
      <c r="P1730" s="9"/>
      <c r="Q1730" s="9"/>
      <c r="R1730" s="9"/>
      <c r="S1730" s="10">
        <f t="shared" si="499"/>
        <v>464.51612903225805</v>
      </c>
    </row>
    <row r="1731" spans="2:19" outlineLevel="1">
      <c r="B1731" s="13" t="s">
        <v>120</v>
      </c>
      <c r="C1731" s="7" t="str">
        <f t="shared" si="495"/>
        <v>ROLO DINAPACK MOD CA 25 KIT PATA CHASSIS B001497</v>
      </c>
      <c r="D1731" s="8">
        <f t="shared" si="492"/>
        <v>46099</v>
      </c>
      <c r="E1731" s="15"/>
      <c r="F1731" s="15"/>
      <c r="G1731" s="15">
        <f t="shared" si="497"/>
        <v>0</v>
      </c>
      <c r="H1731" s="16" t="s">
        <v>360</v>
      </c>
      <c r="I1731" s="10">
        <f t="shared" si="496"/>
        <v>464.51612903225805</v>
      </c>
      <c r="J1731" s="16" t="s">
        <v>16</v>
      </c>
      <c r="K1731" s="15"/>
      <c r="L1731" s="15"/>
      <c r="M1731" s="17"/>
      <c r="N1731" s="9"/>
      <c r="O1731" s="18">
        <f t="shared" si="498"/>
        <v>0</v>
      </c>
      <c r="P1731" s="9"/>
      <c r="Q1731" s="9"/>
      <c r="R1731" s="9"/>
      <c r="S1731" s="10">
        <f t="shared" si="499"/>
        <v>464.51612903225805</v>
      </c>
    </row>
    <row r="1732" spans="2:19" outlineLevel="1">
      <c r="B1732" s="13" t="s">
        <v>120</v>
      </c>
      <c r="C1732" s="7" t="str">
        <f t="shared" si="495"/>
        <v>ROLO DINAPACK MOD CA 25 KIT PATA CHASSIS B001497</v>
      </c>
      <c r="D1732" s="8">
        <f t="shared" si="492"/>
        <v>46100</v>
      </c>
      <c r="E1732" s="15"/>
      <c r="F1732" s="15"/>
      <c r="G1732" s="15">
        <f t="shared" si="497"/>
        <v>0</v>
      </c>
      <c r="H1732" s="16" t="s">
        <v>360</v>
      </c>
      <c r="I1732" s="10">
        <f t="shared" si="496"/>
        <v>464.51612903225805</v>
      </c>
      <c r="J1732" s="16" t="s">
        <v>16</v>
      </c>
      <c r="K1732" s="15"/>
      <c r="L1732" s="15"/>
      <c r="M1732" s="17"/>
      <c r="N1732" s="9"/>
      <c r="O1732" s="18">
        <f t="shared" si="498"/>
        <v>0</v>
      </c>
      <c r="P1732" s="9"/>
      <c r="Q1732" s="9"/>
      <c r="R1732" s="9"/>
      <c r="S1732" s="10">
        <f t="shared" si="499"/>
        <v>464.51612903225805</v>
      </c>
    </row>
    <row r="1733" spans="2:19" outlineLevel="1">
      <c r="B1733" s="13" t="s">
        <v>120</v>
      </c>
      <c r="C1733" s="7" t="str">
        <f t="shared" si="495"/>
        <v>ROLO DINAPACK MOD CA 25 KIT PATA CHASSIS B001497</v>
      </c>
      <c r="D1733" s="8">
        <f t="shared" si="492"/>
        <v>46101</v>
      </c>
      <c r="E1733" s="15"/>
      <c r="F1733" s="15"/>
      <c r="G1733" s="15">
        <f t="shared" si="497"/>
        <v>0</v>
      </c>
      <c r="H1733" s="16" t="s">
        <v>360</v>
      </c>
      <c r="I1733" s="10">
        <f t="shared" si="496"/>
        <v>464.51612903225805</v>
      </c>
      <c r="J1733" s="16"/>
      <c r="K1733" s="15"/>
      <c r="L1733" s="15"/>
      <c r="M1733" s="17"/>
      <c r="N1733" s="9"/>
      <c r="O1733" s="18">
        <f t="shared" si="498"/>
        <v>0</v>
      </c>
      <c r="P1733" s="9"/>
      <c r="Q1733" s="9"/>
      <c r="R1733" s="9"/>
      <c r="S1733" s="10">
        <f t="shared" si="499"/>
        <v>464.51612903225805</v>
      </c>
    </row>
    <row r="1734" spans="2:19" outlineLevel="1">
      <c r="B1734" s="13" t="s">
        <v>120</v>
      </c>
      <c r="C1734" s="7" t="str">
        <f t="shared" si="495"/>
        <v>ROLO DINAPACK MOD CA 25 KIT PATA CHASSIS B001497</v>
      </c>
      <c r="D1734" s="8">
        <f t="shared" si="492"/>
        <v>46102</v>
      </c>
      <c r="E1734" s="15"/>
      <c r="F1734" s="15"/>
      <c r="G1734" s="15">
        <f t="shared" si="497"/>
        <v>0</v>
      </c>
      <c r="H1734" s="16" t="s">
        <v>360</v>
      </c>
      <c r="I1734" s="10">
        <f t="shared" si="496"/>
        <v>464.51612903225805</v>
      </c>
      <c r="J1734" s="16" t="s">
        <v>16</v>
      </c>
      <c r="K1734" s="15"/>
      <c r="L1734" s="15"/>
      <c r="M1734" s="17"/>
      <c r="N1734" s="9"/>
      <c r="O1734" s="18">
        <f t="shared" si="498"/>
        <v>0</v>
      </c>
      <c r="P1734" s="9"/>
      <c r="Q1734" s="9"/>
      <c r="R1734" s="9"/>
      <c r="S1734" s="10">
        <f t="shared" si="499"/>
        <v>464.51612903225805</v>
      </c>
    </row>
    <row r="1735" spans="2:19" outlineLevel="1">
      <c r="B1735" s="13" t="s">
        <v>120</v>
      </c>
      <c r="C1735" s="7" t="str">
        <f t="shared" si="495"/>
        <v>ROLO DINAPACK MOD CA 25 KIT PATA CHASSIS B001497</v>
      </c>
      <c r="D1735" s="8">
        <f t="shared" si="492"/>
        <v>46103</v>
      </c>
      <c r="E1735" s="15"/>
      <c r="F1735" s="15"/>
      <c r="G1735" s="15">
        <f t="shared" si="497"/>
        <v>0</v>
      </c>
      <c r="H1735" s="16" t="s">
        <v>360</v>
      </c>
      <c r="I1735" s="10">
        <f t="shared" si="496"/>
        <v>464.51612903225805</v>
      </c>
      <c r="J1735" s="16" t="s">
        <v>16</v>
      </c>
      <c r="K1735" s="15"/>
      <c r="L1735" s="15"/>
      <c r="M1735" s="17"/>
      <c r="N1735" s="9"/>
      <c r="O1735" s="18">
        <f t="shared" si="498"/>
        <v>0</v>
      </c>
      <c r="P1735" s="9"/>
      <c r="Q1735" s="9"/>
      <c r="R1735" s="9"/>
      <c r="S1735" s="10">
        <f t="shared" si="499"/>
        <v>464.51612903225805</v>
      </c>
    </row>
    <row r="1736" spans="2:19" outlineLevel="1">
      <c r="B1736" s="13" t="s">
        <v>120</v>
      </c>
      <c r="C1736" s="7" t="str">
        <f t="shared" si="495"/>
        <v>ROLO DINAPACK MOD CA 25 KIT PATA CHASSIS B001497</v>
      </c>
      <c r="D1736" s="8">
        <f t="shared" si="492"/>
        <v>46104</v>
      </c>
      <c r="E1736" s="15"/>
      <c r="F1736" s="15"/>
      <c r="G1736" s="15">
        <f t="shared" si="497"/>
        <v>0</v>
      </c>
      <c r="H1736" s="16" t="s">
        <v>360</v>
      </c>
      <c r="I1736" s="10">
        <f t="shared" si="496"/>
        <v>464.51612903225805</v>
      </c>
      <c r="J1736" s="16"/>
      <c r="K1736" s="15"/>
      <c r="L1736" s="15"/>
      <c r="M1736" s="17"/>
      <c r="N1736" s="9"/>
      <c r="O1736" s="18">
        <f t="shared" si="498"/>
        <v>0</v>
      </c>
      <c r="P1736" s="9"/>
      <c r="Q1736" s="9"/>
      <c r="R1736" s="9"/>
      <c r="S1736" s="10">
        <f t="shared" si="499"/>
        <v>464.51612903225805</v>
      </c>
    </row>
    <row r="1737" spans="2:19" outlineLevel="1">
      <c r="B1737" s="13" t="s">
        <v>120</v>
      </c>
      <c r="C1737" s="7" t="str">
        <f t="shared" si="495"/>
        <v>ROLO DINAPACK MOD CA 25 KIT PATA CHASSIS B001497</v>
      </c>
      <c r="D1737" s="8">
        <f t="shared" si="492"/>
        <v>46105</v>
      </c>
      <c r="E1737" s="15"/>
      <c r="F1737" s="15"/>
      <c r="G1737" s="15">
        <f t="shared" si="497"/>
        <v>0</v>
      </c>
      <c r="H1737" s="16" t="s">
        <v>360</v>
      </c>
      <c r="I1737" s="10">
        <f t="shared" si="496"/>
        <v>464.51612903225805</v>
      </c>
      <c r="J1737" s="16"/>
      <c r="K1737" s="15"/>
      <c r="L1737" s="15"/>
      <c r="M1737" s="17"/>
      <c r="N1737" s="9"/>
      <c r="O1737" s="18">
        <f t="shared" si="498"/>
        <v>0</v>
      </c>
      <c r="P1737" s="9"/>
      <c r="Q1737" s="9"/>
      <c r="R1737" s="9"/>
      <c r="S1737" s="10">
        <f t="shared" si="499"/>
        <v>464.51612903225805</v>
      </c>
    </row>
    <row r="1738" spans="2:19" outlineLevel="1">
      <c r="B1738" s="13" t="s">
        <v>120</v>
      </c>
      <c r="C1738" s="7" t="str">
        <f t="shared" si="495"/>
        <v>ROLO DINAPACK MOD CA 25 KIT PATA CHASSIS B001497</v>
      </c>
      <c r="D1738" s="8">
        <f t="shared" si="492"/>
        <v>46106</v>
      </c>
      <c r="E1738" s="15"/>
      <c r="F1738" s="15"/>
      <c r="G1738" s="15">
        <f t="shared" si="497"/>
        <v>0</v>
      </c>
      <c r="H1738" s="16" t="s">
        <v>360</v>
      </c>
      <c r="I1738" s="10">
        <f t="shared" si="496"/>
        <v>464.51612903225805</v>
      </c>
      <c r="J1738" s="16"/>
      <c r="K1738" s="15"/>
      <c r="L1738" s="15"/>
      <c r="M1738" s="17"/>
      <c r="N1738" s="9"/>
      <c r="O1738" s="18">
        <f t="shared" si="498"/>
        <v>0</v>
      </c>
      <c r="P1738" s="9"/>
      <c r="Q1738" s="9"/>
      <c r="R1738" s="9"/>
      <c r="S1738" s="10">
        <f t="shared" si="499"/>
        <v>464.51612903225805</v>
      </c>
    </row>
    <row r="1739" spans="2:19" outlineLevel="1">
      <c r="B1739" s="13" t="s">
        <v>120</v>
      </c>
      <c r="C1739" s="7" t="str">
        <f t="shared" si="495"/>
        <v>ROLO DINAPACK MOD CA 25 KIT PATA CHASSIS B001497</v>
      </c>
      <c r="D1739" s="8">
        <f t="shared" si="492"/>
        <v>46107</v>
      </c>
      <c r="E1739" s="15"/>
      <c r="F1739" s="15"/>
      <c r="G1739" s="15">
        <f t="shared" si="497"/>
        <v>0</v>
      </c>
      <c r="H1739" s="16" t="s">
        <v>360</v>
      </c>
      <c r="I1739" s="10">
        <f t="shared" si="496"/>
        <v>464.51612903225805</v>
      </c>
      <c r="J1739" s="16" t="s">
        <v>16</v>
      </c>
      <c r="K1739" s="15"/>
      <c r="L1739" s="15"/>
      <c r="M1739" s="17"/>
      <c r="N1739" s="9"/>
      <c r="O1739" s="18">
        <f t="shared" si="498"/>
        <v>0</v>
      </c>
      <c r="P1739" s="9"/>
      <c r="Q1739" s="9"/>
      <c r="R1739" s="9"/>
      <c r="S1739" s="10">
        <f t="shared" si="499"/>
        <v>464.51612903225805</v>
      </c>
    </row>
    <row r="1740" spans="2:19" outlineLevel="1">
      <c r="B1740" s="13" t="s">
        <v>120</v>
      </c>
      <c r="C1740" s="7" t="str">
        <f t="shared" si="495"/>
        <v>ROLO DINAPACK MOD CA 25 KIT PATA CHASSIS B001497</v>
      </c>
      <c r="D1740" s="8">
        <f t="shared" si="492"/>
        <v>46108</v>
      </c>
      <c r="E1740" s="15"/>
      <c r="F1740" s="15"/>
      <c r="G1740" s="15">
        <f t="shared" si="497"/>
        <v>0</v>
      </c>
      <c r="H1740" s="16" t="s">
        <v>360</v>
      </c>
      <c r="I1740" s="10">
        <f t="shared" si="496"/>
        <v>464.51612903225805</v>
      </c>
      <c r="J1740" s="16" t="s">
        <v>16</v>
      </c>
      <c r="K1740" s="15"/>
      <c r="L1740" s="15"/>
      <c r="M1740" s="17"/>
      <c r="N1740" s="9"/>
      <c r="O1740" s="18">
        <f t="shared" si="498"/>
        <v>0</v>
      </c>
      <c r="P1740" s="9"/>
      <c r="Q1740" s="9"/>
      <c r="R1740" s="9"/>
      <c r="S1740" s="10">
        <f t="shared" si="499"/>
        <v>464.51612903225805</v>
      </c>
    </row>
    <row r="1741" spans="2:19" outlineLevel="1">
      <c r="B1741" s="13" t="s">
        <v>120</v>
      </c>
      <c r="C1741" s="7" t="str">
        <f t="shared" si="495"/>
        <v>ROLO DINAPACK MOD CA 25 KIT PATA CHASSIS B001497</v>
      </c>
      <c r="D1741" s="8">
        <f t="shared" ref="D1741" si="500">D1673</f>
        <v>46109</v>
      </c>
      <c r="E1741" s="15"/>
      <c r="F1741" s="15"/>
      <c r="G1741" s="15">
        <f t="shared" si="497"/>
        <v>0</v>
      </c>
      <c r="H1741" s="16" t="s">
        <v>360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5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497"/>
        <v>0</v>
      </c>
      <c r="H1742" s="16" t="s">
        <v>360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5"/>
        <v>ROLO DINAPACK MOD CA 25 KIT PATA CHASSIS B001497</v>
      </c>
      <c r="D1743" s="8">
        <f t="shared" si="502"/>
        <v>46111</v>
      </c>
      <c r="E1743" s="15"/>
      <c r="F1743" s="15"/>
      <c r="G1743" s="15">
        <f t="shared" si="497"/>
        <v>0</v>
      </c>
      <c r="H1743" s="16" t="s">
        <v>360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5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7"/>
        <v>0</v>
      </c>
      <c r="H1744" s="16" t="s">
        <v>360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9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255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246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338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338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338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338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359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359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359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>
        <v>418.2</v>
      </c>
      <c r="F1823" s="15">
        <v>421.4</v>
      </c>
      <c r="G1823" s="15">
        <f t="shared" si="530"/>
        <v>3.1999999999999886</v>
      </c>
      <c r="H1823" s="16" t="s">
        <v>359</v>
      </c>
      <c r="I1823" s="10">
        <f t="shared" si="529"/>
        <v>1451.6129032258063</v>
      </c>
      <c r="J1823" s="16"/>
      <c r="K1823" s="15">
        <v>1</v>
      </c>
      <c r="L1823" s="15">
        <v>80</v>
      </c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359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359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>
        <v>421.4</v>
      </c>
      <c r="F1826" s="15">
        <v>428.7</v>
      </c>
      <c r="G1826" s="15">
        <f t="shared" ref="G1826" si="531">F1826-E1826</f>
        <v>7.3000000000000114</v>
      </c>
      <c r="H1826" s="16" t="s">
        <v>359</v>
      </c>
      <c r="I1826" s="10">
        <f t="shared" si="529"/>
        <v>1451.6129032258063</v>
      </c>
      <c r="J1826" s="16"/>
      <c r="K1826" s="15">
        <v>1</v>
      </c>
      <c r="L1826" s="15"/>
      <c r="M1826" s="17"/>
      <c r="N1826" s="9"/>
      <c r="O1826" s="18">
        <f t="shared" ref="O1826:O1842" si="532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359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2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/>
      <c r="H1828" s="16" t="s">
        <v>359</v>
      </c>
      <c r="I1828" s="10">
        <f t="shared" si="529"/>
        <v>1451.6129032258063</v>
      </c>
      <c r="J1828" s="16"/>
      <c r="K1828" s="15"/>
      <c r="L1828" s="15"/>
      <c r="M1828" s="17"/>
      <c r="N1828" s="9"/>
      <c r="O1828" s="18">
        <f t="shared" si="532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359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2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359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2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359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2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359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2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359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2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359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2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359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2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359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2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359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2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359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2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359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2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359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2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359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2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359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2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3">D1775</f>
        <v>46109</v>
      </c>
      <c r="E1843" s="15"/>
      <c r="F1843" s="15"/>
      <c r="G1843" s="15">
        <f t="shared" si="530"/>
        <v>0</v>
      </c>
      <c r="H1843" s="16" t="s">
        <v>359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4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5">D1776</f>
        <v>46110</v>
      </c>
      <c r="E1844" s="15"/>
      <c r="F1844" s="15"/>
      <c r="G1844" s="15">
        <f t="shared" si="530"/>
        <v>0</v>
      </c>
      <c r="H1844" s="16" t="s">
        <v>359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4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5"/>
        <v>46111</v>
      </c>
      <c r="E1845" s="15"/>
      <c r="F1845" s="15"/>
      <c r="G1845" s="15">
        <f t="shared" si="530"/>
        <v>0</v>
      </c>
      <c r="H1845" s="16" t="s">
        <v>359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4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5"/>
        <v>46112</v>
      </c>
      <c r="E1846" s="15"/>
      <c r="F1846" s="15"/>
      <c r="G1846" s="15">
        <f t="shared" si="530"/>
        <v>0</v>
      </c>
      <c r="H1846" s="16" t="s">
        <v>359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6">C$1848</f>
        <v>MOTONIVELADORA CASE NOVA MOD 865B  HBZN865BAPAF32370</v>
      </c>
      <c r="D1850" s="8">
        <f t="shared" ref="D1850:D1880" si="537">D1782</f>
        <v>46082</v>
      </c>
      <c r="E1850" s="15"/>
      <c r="F1850" s="15"/>
      <c r="G1850" s="15">
        <f t="shared" ref="G1850:G1851" si="538">F1850-E1850</f>
        <v>0</v>
      </c>
      <c r="H1850" s="16" t="s">
        <v>278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6"/>
        <v>MOTONIVELADORA CASE NOVA MOD 865B  HBZN865BAPAF32370</v>
      </c>
      <c r="D1851" s="8">
        <f t="shared" si="537"/>
        <v>46083</v>
      </c>
      <c r="E1851" s="15"/>
      <c r="F1851" s="15"/>
      <c r="G1851" s="15">
        <f t="shared" si="538"/>
        <v>0</v>
      </c>
      <c r="H1851" s="16" t="s">
        <v>278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9">SUM(R1851+Q1851+I1851)</f>
        <v>903.22580645161293</v>
      </c>
    </row>
    <row r="1852" spans="2:19" outlineLevel="1">
      <c r="B1852" s="13" t="s">
        <v>130</v>
      </c>
      <c r="C1852" s="7" t="str">
        <f t="shared" si="536"/>
        <v>MOTONIVELADORA CASE NOVA MOD 865B  HBZN865BAPAF32370</v>
      </c>
      <c r="D1852" s="8">
        <f t="shared" si="537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278</v>
      </c>
      <c r="I1852" s="10">
        <f t="shared" ref="I1852:I1876" si="540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9"/>
        <v>903.22580645161293</v>
      </c>
    </row>
    <row r="1853" spans="2:19" outlineLevel="1">
      <c r="B1853" s="13" t="s">
        <v>130</v>
      </c>
      <c r="C1853" s="7" t="str">
        <f t="shared" si="536"/>
        <v>MOTONIVELADORA CASE NOVA MOD 865B  HBZN865BAPAF32370</v>
      </c>
      <c r="D1853" s="8">
        <f t="shared" si="537"/>
        <v>46085</v>
      </c>
      <c r="E1853" s="15">
        <v>3829</v>
      </c>
      <c r="F1853" s="15">
        <v>3834</v>
      </c>
      <c r="G1853" s="15">
        <f t="shared" ref="G1853:G1880" si="541">F1853-E1853</f>
        <v>5</v>
      </c>
      <c r="H1853" s="16" t="s">
        <v>278</v>
      </c>
      <c r="I1853" s="10">
        <f t="shared" si="540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9"/>
        <v>903.22580645161293</v>
      </c>
    </row>
    <row r="1854" spans="2:19" outlineLevel="1">
      <c r="B1854" s="13" t="s">
        <v>130</v>
      </c>
      <c r="C1854" s="7" t="str">
        <f t="shared" si="536"/>
        <v>MOTONIVELADORA CASE NOVA MOD 865B  HBZN865BAPAF32370</v>
      </c>
      <c r="D1854" s="8">
        <f t="shared" si="537"/>
        <v>46086</v>
      </c>
      <c r="E1854" s="15">
        <v>3834</v>
      </c>
      <c r="F1854" s="15">
        <v>3838</v>
      </c>
      <c r="G1854" s="15">
        <f t="shared" si="541"/>
        <v>4</v>
      </c>
      <c r="H1854" s="16" t="s">
        <v>278</v>
      </c>
      <c r="I1854" s="10">
        <f t="shared" si="540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9"/>
        <v>903.22580645161293</v>
      </c>
    </row>
    <row r="1855" spans="2:19" outlineLevel="1">
      <c r="B1855" s="13" t="s">
        <v>130</v>
      </c>
      <c r="C1855" s="7" t="str">
        <f t="shared" si="536"/>
        <v>MOTONIVELADORA CASE NOVA MOD 865B  HBZN865BAPAF32370</v>
      </c>
      <c r="D1855" s="8">
        <f t="shared" si="537"/>
        <v>46087</v>
      </c>
      <c r="E1855" s="15">
        <v>3838</v>
      </c>
      <c r="F1855" s="15">
        <v>3840</v>
      </c>
      <c r="G1855" s="15">
        <f t="shared" si="541"/>
        <v>2</v>
      </c>
      <c r="H1855" s="16" t="s">
        <v>278</v>
      </c>
      <c r="I1855" s="10">
        <f t="shared" si="540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9"/>
        <v>903.22580645161293</v>
      </c>
    </row>
    <row r="1856" spans="2:19" outlineLevel="1">
      <c r="B1856" s="13" t="s">
        <v>130</v>
      </c>
      <c r="C1856" s="7" t="str">
        <f t="shared" si="536"/>
        <v>MOTONIVELADORA CASE NOVA MOD 865B  HBZN865BAPAF32370</v>
      </c>
      <c r="D1856" s="8">
        <f t="shared" si="537"/>
        <v>46088</v>
      </c>
      <c r="E1856" s="15"/>
      <c r="F1856" s="15"/>
      <c r="G1856" s="15">
        <f t="shared" si="541"/>
        <v>0</v>
      </c>
      <c r="H1856" s="16" t="s">
        <v>278</v>
      </c>
      <c r="I1856" s="10">
        <f t="shared" si="540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9"/>
        <v>903.22580645161293</v>
      </c>
    </row>
    <row r="1857" spans="2:19" outlineLevel="1">
      <c r="B1857" s="13" t="s">
        <v>130</v>
      </c>
      <c r="C1857" s="7" t="str">
        <f t="shared" si="536"/>
        <v>MOTONIVELADORA CASE NOVA MOD 865B  HBZN865BAPAF32370</v>
      </c>
      <c r="D1857" s="8">
        <f t="shared" si="537"/>
        <v>46089</v>
      </c>
      <c r="E1857" s="15"/>
      <c r="F1857" s="15"/>
      <c r="G1857" s="15">
        <f t="shared" si="541"/>
        <v>0</v>
      </c>
      <c r="H1857" s="16" t="s">
        <v>278</v>
      </c>
      <c r="I1857" s="10">
        <f t="shared" si="540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9"/>
        <v>903.22580645161293</v>
      </c>
    </row>
    <row r="1858" spans="2:19" outlineLevel="1">
      <c r="B1858" s="13" t="s">
        <v>130</v>
      </c>
      <c r="C1858" s="7" t="str">
        <f t="shared" si="536"/>
        <v>MOTONIVELADORA CASE NOVA MOD 865B  HBZN865BAPAF32370</v>
      </c>
      <c r="D1858" s="8">
        <f t="shared" si="537"/>
        <v>46090</v>
      </c>
      <c r="E1858" s="15">
        <v>3840</v>
      </c>
      <c r="F1858" s="15">
        <v>3844</v>
      </c>
      <c r="G1858" s="15">
        <f t="shared" si="541"/>
        <v>4</v>
      </c>
      <c r="H1858" s="16" t="s">
        <v>278</v>
      </c>
      <c r="I1858" s="10">
        <f t="shared" si="540"/>
        <v>903.22580645161293</v>
      </c>
      <c r="J1858" s="16"/>
      <c r="K1858" s="15">
        <v>1</v>
      </c>
      <c r="L1858" s="15"/>
      <c r="M1858" s="17"/>
      <c r="N1858" s="9"/>
      <c r="O1858" s="9"/>
      <c r="P1858" s="9"/>
      <c r="Q1858" s="9"/>
      <c r="R1858" s="9"/>
      <c r="S1858" s="10">
        <f t="shared" si="539"/>
        <v>903.22580645161293</v>
      </c>
    </row>
    <row r="1859" spans="2:19" outlineLevel="1">
      <c r="B1859" s="13" t="s">
        <v>130</v>
      </c>
      <c r="C1859" s="7" t="str">
        <f t="shared" si="536"/>
        <v>MOTONIVELADORA CASE NOVA MOD 865B  HBZN865BAPAF32370</v>
      </c>
      <c r="D1859" s="8">
        <f t="shared" si="537"/>
        <v>46091</v>
      </c>
      <c r="E1859" s="15">
        <v>3844</v>
      </c>
      <c r="F1859" s="15">
        <v>3846</v>
      </c>
      <c r="G1859" s="15">
        <f t="shared" si="541"/>
        <v>2</v>
      </c>
      <c r="H1859" s="16" t="s">
        <v>278</v>
      </c>
      <c r="I1859" s="10">
        <f t="shared" si="540"/>
        <v>903.22580645161293</v>
      </c>
      <c r="J1859" s="16"/>
      <c r="K1859" s="15">
        <v>1</v>
      </c>
      <c r="L1859" s="15"/>
      <c r="M1859" s="17"/>
      <c r="N1859" s="9"/>
      <c r="O1859" s="9"/>
      <c r="P1859" s="9"/>
      <c r="Q1859" s="9"/>
      <c r="R1859" s="9"/>
      <c r="S1859" s="10">
        <f t="shared" si="539"/>
        <v>903.22580645161293</v>
      </c>
    </row>
    <row r="1860" spans="2:19" outlineLevel="1">
      <c r="B1860" s="13" t="s">
        <v>130</v>
      </c>
      <c r="C1860" s="7" t="str">
        <f t="shared" si="536"/>
        <v>MOTONIVELADORA CASE NOVA MOD 865B  HBZN865BAPAF32370</v>
      </c>
      <c r="D1860" s="8">
        <f t="shared" si="537"/>
        <v>46092</v>
      </c>
      <c r="E1860" s="15">
        <v>3846</v>
      </c>
      <c r="F1860" s="15">
        <v>3848</v>
      </c>
      <c r="G1860" s="15">
        <f t="shared" si="541"/>
        <v>2</v>
      </c>
      <c r="H1860" s="16" t="s">
        <v>278</v>
      </c>
      <c r="I1860" s="10">
        <f t="shared" si="540"/>
        <v>903.22580645161293</v>
      </c>
      <c r="J1860" s="16"/>
      <c r="K1860" s="15">
        <v>1</v>
      </c>
      <c r="L1860" s="15"/>
      <c r="M1860" s="17"/>
      <c r="N1860" s="9"/>
      <c r="O1860" s="9"/>
      <c r="P1860" s="9"/>
      <c r="Q1860" s="9"/>
      <c r="R1860" s="9"/>
      <c r="S1860" s="10">
        <f t="shared" si="539"/>
        <v>903.22580645161293</v>
      </c>
    </row>
    <row r="1861" spans="2:19" outlineLevel="1">
      <c r="B1861" s="13" t="s">
        <v>130</v>
      </c>
      <c r="C1861" s="7" t="str">
        <f t="shared" si="536"/>
        <v>MOTONIVELADORA CASE NOVA MOD 865B  HBZN865BAPAF32370</v>
      </c>
      <c r="D1861" s="8">
        <f t="shared" si="537"/>
        <v>46093</v>
      </c>
      <c r="E1861" s="15">
        <v>3848</v>
      </c>
      <c r="F1861" s="15">
        <v>3850</v>
      </c>
      <c r="G1861" s="15">
        <f t="shared" si="541"/>
        <v>2</v>
      </c>
      <c r="H1861" s="16" t="s">
        <v>278</v>
      </c>
      <c r="I1861" s="10">
        <f t="shared" si="540"/>
        <v>903.22580645161293</v>
      </c>
      <c r="J1861" s="16"/>
      <c r="K1861" s="15">
        <v>1</v>
      </c>
      <c r="L1861" s="15">
        <v>178</v>
      </c>
      <c r="M1861" s="17"/>
      <c r="N1861" s="9"/>
      <c r="O1861" s="9"/>
      <c r="P1861" s="9"/>
      <c r="Q1861" s="9"/>
      <c r="R1861" s="9"/>
      <c r="S1861" s="10">
        <f t="shared" si="539"/>
        <v>903.22580645161293</v>
      </c>
    </row>
    <row r="1862" spans="2:19" outlineLevel="1">
      <c r="B1862" s="13" t="s">
        <v>130</v>
      </c>
      <c r="C1862" s="7" t="str">
        <f t="shared" si="536"/>
        <v>MOTONIVELADORA CASE NOVA MOD 865B  HBZN865BAPAF32370</v>
      </c>
      <c r="D1862" s="8">
        <f t="shared" si="537"/>
        <v>46094</v>
      </c>
      <c r="E1862" s="15">
        <v>3850</v>
      </c>
      <c r="F1862" s="15">
        <v>3855</v>
      </c>
      <c r="G1862" s="15">
        <f t="shared" si="541"/>
        <v>5</v>
      </c>
      <c r="H1862" s="16" t="s">
        <v>278</v>
      </c>
      <c r="I1862" s="10">
        <f t="shared" si="540"/>
        <v>903.22580645161293</v>
      </c>
      <c r="J1862" s="16"/>
      <c r="K1862" s="15">
        <v>1</v>
      </c>
      <c r="L1862" s="15"/>
      <c r="M1862" s="17"/>
      <c r="N1862" s="9"/>
      <c r="O1862" s="18"/>
      <c r="P1862" s="9"/>
      <c r="Q1862" s="9"/>
      <c r="R1862" s="9"/>
      <c r="S1862" s="10">
        <f t="shared" si="539"/>
        <v>903.22580645161293</v>
      </c>
    </row>
    <row r="1863" spans="2:19" outlineLevel="1">
      <c r="B1863" s="13" t="s">
        <v>130</v>
      </c>
      <c r="C1863" s="7" t="str">
        <f t="shared" si="536"/>
        <v>MOTONIVELADORA CASE NOVA MOD 865B  HBZN865BAPAF32370</v>
      </c>
      <c r="D1863" s="8">
        <f t="shared" si="537"/>
        <v>46095</v>
      </c>
      <c r="E1863" s="15"/>
      <c r="F1863" s="15"/>
      <c r="G1863" s="15">
        <f t="shared" si="541"/>
        <v>0</v>
      </c>
      <c r="H1863" s="16" t="s">
        <v>278</v>
      </c>
      <c r="I1863" s="10">
        <f t="shared" si="540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9"/>
        <v>903.22580645161293</v>
      </c>
    </row>
    <row r="1864" spans="2:19" outlineLevel="1">
      <c r="B1864" s="13" t="s">
        <v>130</v>
      </c>
      <c r="C1864" s="7" t="str">
        <f t="shared" si="536"/>
        <v>MOTONIVELADORA CASE NOVA MOD 865B  HBZN865BAPAF32370</v>
      </c>
      <c r="D1864" s="8">
        <f t="shared" si="537"/>
        <v>46096</v>
      </c>
      <c r="E1864" s="15"/>
      <c r="F1864" s="15"/>
      <c r="G1864" s="15">
        <f t="shared" si="541"/>
        <v>0</v>
      </c>
      <c r="H1864" s="16" t="s">
        <v>278</v>
      </c>
      <c r="I1864" s="10">
        <f t="shared" si="540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9"/>
        <v>903.22580645161293</v>
      </c>
    </row>
    <row r="1865" spans="2:19" outlineLevel="1">
      <c r="B1865" s="13" t="s">
        <v>130</v>
      </c>
      <c r="C1865" s="7" t="str">
        <f t="shared" si="536"/>
        <v>MOTONIVELADORA CASE NOVA MOD 865B  HBZN865BAPAF32370</v>
      </c>
      <c r="D1865" s="8">
        <f t="shared" si="537"/>
        <v>46097</v>
      </c>
      <c r="E1865" s="15"/>
      <c r="F1865" s="15"/>
      <c r="G1865" s="15">
        <f t="shared" si="541"/>
        <v>0</v>
      </c>
      <c r="H1865" s="16" t="s">
        <v>278</v>
      </c>
      <c r="I1865" s="10">
        <f t="shared" si="540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2">O1864</f>
        <v>0</v>
      </c>
      <c r="P1865" s="9"/>
      <c r="Q1865" s="9"/>
      <c r="R1865" s="9"/>
      <c r="S1865" s="10">
        <f t="shared" si="539"/>
        <v>903.22580645161293</v>
      </c>
    </row>
    <row r="1866" spans="2:19" outlineLevel="1">
      <c r="B1866" s="13" t="s">
        <v>130</v>
      </c>
      <c r="C1866" s="7" t="str">
        <f t="shared" si="536"/>
        <v>MOTONIVELADORA CASE NOVA MOD 865B  HBZN865BAPAF32370</v>
      </c>
      <c r="D1866" s="8">
        <f t="shared" si="537"/>
        <v>46098</v>
      </c>
      <c r="E1866" s="15"/>
      <c r="F1866" s="15"/>
      <c r="G1866" s="15">
        <f t="shared" si="541"/>
        <v>0</v>
      </c>
      <c r="H1866" s="16" t="s">
        <v>278</v>
      </c>
      <c r="I1866" s="10">
        <f t="shared" si="540"/>
        <v>903.22580645161293</v>
      </c>
      <c r="J1866" s="16" t="s">
        <v>16</v>
      </c>
      <c r="K1866" s="15"/>
      <c r="L1866" s="15"/>
      <c r="M1866" s="17"/>
      <c r="N1866" s="9"/>
      <c r="O1866" s="18">
        <f t="shared" si="542"/>
        <v>0</v>
      </c>
      <c r="P1866" s="9"/>
      <c r="Q1866" s="9"/>
      <c r="R1866" s="9"/>
      <c r="S1866" s="10">
        <f t="shared" si="539"/>
        <v>903.22580645161293</v>
      </c>
    </row>
    <row r="1867" spans="2:19" outlineLevel="1">
      <c r="B1867" s="13" t="s">
        <v>130</v>
      </c>
      <c r="C1867" s="7" t="str">
        <f t="shared" si="536"/>
        <v>MOTONIVELADORA CASE NOVA MOD 865B  HBZN865BAPAF32370</v>
      </c>
      <c r="D1867" s="8">
        <f t="shared" si="537"/>
        <v>46099</v>
      </c>
      <c r="E1867" s="15"/>
      <c r="F1867" s="15"/>
      <c r="G1867" s="15">
        <f t="shared" si="541"/>
        <v>0</v>
      </c>
      <c r="H1867" s="16" t="s">
        <v>278</v>
      </c>
      <c r="I1867" s="10">
        <f t="shared" si="540"/>
        <v>903.22580645161293</v>
      </c>
      <c r="J1867" s="16" t="s">
        <v>16</v>
      </c>
      <c r="K1867" s="15"/>
      <c r="L1867" s="15"/>
      <c r="M1867" s="17"/>
      <c r="N1867" s="9"/>
      <c r="O1867" s="18">
        <f t="shared" si="542"/>
        <v>0</v>
      </c>
      <c r="P1867" s="9"/>
      <c r="Q1867" s="9"/>
      <c r="R1867" s="9"/>
      <c r="S1867" s="10">
        <f t="shared" si="539"/>
        <v>903.22580645161293</v>
      </c>
    </row>
    <row r="1868" spans="2:19" outlineLevel="1">
      <c r="B1868" s="13" t="s">
        <v>130</v>
      </c>
      <c r="C1868" s="7" t="str">
        <f t="shared" si="536"/>
        <v>MOTONIVELADORA CASE NOVA MOD 865B  HBZN865BAPAF32370</v>
      </c>
      <c r="D1868" s="8">
        <f t="shared" si="537"/>
        <v>46100</v>
      </c>
      <c r="E1868" s="15"/>
      <c r="F1868" s="15"/>
      <c r="G1868" s="15">
        <f t="shared" si="541"/>
        <v>0</v>
      </c>
      <c r="H1868" s="16" t="s">
        <v>278</v>
      </c>
      <c r="I1868" s="10">
        <f t="shared" si="540"/>
        <v>903.22580645161293</v>
      </c>
      <c r="J1868" s="16"/>
      <c r="K1868" s="15"/>
      <c r="L1868" s="15"/>
      <c r="M1868" s="17"/>
      <c r="N1868" s="9"/>
      <c r="O1868" s="18">
        <f t="shared" si="542"/>
        <v>0</v>
      </c>
      <c r="P1868" s="9"/>
      <c r="Q1868" s="9"/>
      <c r="R1868" s="9"/>
      <c r="S1868" s="10">
        <f t="shared" si="539"/>
        <v>903.22580645161293</v>
      </c>
    </row>
    <row r="1869" spans="2:19" outlineLevel="1">
      <c r="B1869" s="13" t="s">
        <v>130</v>
      </c>
      <c r="C1869" s="7" t="str">
        <f t="shared" si="536"/>
        <v>MOTONIVELADORA CASE NOVA MOD 865B  HBZN865BAPAF32370</v>
      </c>
      <c r="D1869" s="8">
        <f t="shared" si="537"/>
        <v>46101</v>
      </c>
      <c r="E1869" s="15"/>
      <c r="F1869" s="15"/>
      <c r="G1869" s="15">
        <f t="shared" si="541"/>
        <v>0</v>
      </c>
      <c r="H1869" s="16" t="s">
        <v>278</v>
      </c>
      <c r="I1869" s="10">
        <f t="shared" si="540"/>
        <v>903.22580645161293</v>
      </c>
      <c r="J1869" s="16"/>
      <c r="K1869" s="15"/>
      <c r="L1869" s="15"/>
      <c r="M1869" s="17"/>
      <c r="N1869" s="9"/>
      <c r="O1869" s="18">
        <f t="shared" si="542"/>
        <v>0</v>
      </c>
      <c r="P1869" s="9"/>
      <c r="Q1869" s="9"/>
      <c r="R1869" s="9"/>
      <c r="S1869" s="10">
        <f t="shared" si="539"/>
        <v>903.22580645161293</v>
      </c>
    </row>
    <row r="1870" spans="2:19" outlineLevel="1">
      <c r="B1870" s="13" t="s">
        <v>130</v>
      </c>
      <c r="C1870" s="7" t="str">
        <f t="shared" si="536"/>
        <v>MOTONIVELADORA CASE NOVA MOD 865B  HBZN865BAPAF32370</v>
      </c>
      <c r="D1870" s="8">
        <f t="shared" si="537"/>
        <v>46102</v>
      </c>
      <c r="E1870" s="15"/>
      <c r="F1870" s="15"/>
      <c r="G1870" s="15">
        <f t="shared" si="541"/>
        <v>0</v>
      </c>
      <c r="H1870" s="16" t="s">
        <v>278</v>
      </c>
      <c r="I1870" s="10">
        <f t="shared" si="540"/>
        <v>903.22580645161293</v>
      </c>
      <c r="J1870" s="16" t="s">
        <v>16</v>
      </c>
      <c r="K1870" s="15"/>
      <c r="L1870" s="15"/>
      <c r="M1870" s="17"/>
      <c r="N1870" s="9"/>
      <c r="O1870" s="18">
        <f t="shared" si="542"/>
        <v>0</v>
      </c>
      <c r="P1870" s="9"/>
      <c r="Q1870" s="9"/>
      <c r="R1870" s="9"/>
      <c r="S1870" s="10">
        <f t="shared" si="539"/>
        <v>903.22580645161293</v>
      </c>
    </row>
    <row r="1871" spans="2:19" outlineLevel="1">
      <c r="B1871" s="13" t="s">
        <v>130</v>
      </c>
      <c r="C1871" s="7" t="str">
        <f t="shared" si="536"/>
        <v>MOTONIVELADORA CASE NOVA MOD 865B  HBZN865BAPAF32370</v>
      </c>
      <c r="D1871" s="8">
        <f t="shared" si="537"/>
        <v>46103</v>
      </c>
      <c r="E1871" s="15"/>
      <c r="F1871" s="15"/>
      <c r="G1871" s="15">
        <f t="shared" si="541"/>
        <v>0</v>
      </c>
      <c r="H1871" s="16" t="s">
        <v>278</v>
      </c>
      <c r="I1871" s="10">
        <f t="shared" si="540"/>
        <v>903.22580645161293</v>
      </c>
      <c r="J1871" s="16" t="s">
        <v>16</v>
      </c>
      <c r="K1871" s="15"/>
      <c r="L1871" s="15"/>
      <c r="M1871" s="17"/>
      <c r="N1871" s="9"/>
      <c r="O1871" s="18">
        <f t="shared" si="542"/>
        <v>0</v>
      </c>
      <c r="P1871" s="9"/>
      <c r="Q1871" s="9"/>
      <c r="R1871" s="9"/>
      <c r="S1871" s="10">
        <f t="shared" si="539"/>
        <v>903.22580645161293</v>
      </c>
    </row>
    <row r="1872" spans="2:19" outlineLevel="1">
      <c r="B1872" s="13" t="s">
        <v>130</v>
      </c>
      <c r="C1872" s="7" t="str">
        <f t="shared" si="536"/>
        <v>MOTONIVELADORA CASE NOVA MOD 865B  HBZN865BAPAF32370</v>
      </c>
      <c r="D1872" s="8">
        <f t="shared" si="537"/>
        <v>46104</v>
      </c>
      <c r="E1872" s="15"/>
      <c r="F1872" s="15"/>
      <c r="G1872" s="15">
        <f t="shared" si="541"/>
        <v>0</v>
      </c>
      <c r="H1872" s="16" t="s">
        <v>278</v>
      </c>
      <c r="I1872" s="10">
        <f t="shared" si="540"/>
        <v>903.22580645161293</v>
      </c>
      <c r="J1872" s="16"/>
      <c r="K1872" s="15"/>
      <c r="L1872" s="15"/>
      <c r="M1872" s="17"/>
      <c r="N1872" s="9"/>
      <c r="O1872" s="18">
        <f t="shared" si="542"/>
        <v>0</v>
      </c>
      <c r="P1872" s="9"/>
      <c r="Q1872" s="9"/>
      <c r="R1872" s="9"/>
      <c r="S1872" s="10">
        <f t="shared" si="539"/>
        <v>903.22580645161293</v>
      </c>
    </row>
    <row r="1873" spans="2:19" outlineLevel="1">
      <c r="B1873" s="13" t="s">
        <v>130</v>
      </c>
      <c r="C1873" s="7" t="str">
        <f t="shared" si="536"/>
        <v>MOTONIVELADORA CASE NOVA MOD 865B  HBZN865BAPAF32370</v>
      </c>
      <c r="D1873" s="8">
        <f t="shared" si="537"/>
        <v>46105</v>
      </c>
      <c r="E1873" s="15"/>
      <c r="F1873" s="15"/>
      <c r="G1873" s="15">
        <f t="shared" si="541"/>
        <v>0</v>
      </c>
      <c r="H1873" s="16" t="s">
        <v>278</v>
      </c>
      <c r="I1873" s="10">
        <f t="shared" si="540"/>
        <v>903.22580645161293</v>
      </c>
      <c r="J1873" s="16"/>
      <c r="K1873" s="15"/>
      <c r="L1873" s="15"/>
      <c r="M1873" s="17"/>
      <c r="N1873" s="9"/>
      <c r="O1873" s="18">
        <f t="shared" si="542"/>
        <v>0</v>
      </c>
      <c r="P1873" s="9"/>
      <c r="Q1873" s="9"/>
      <c r="R1873" s="9"/>
      <c r="S1873" s="10">
        <f t="shared" si="539"/>
        <v>903.22580645161293</v>
      </c>
    </row>
    <row r="1874" spans="2:19" outlineLevel="1">
      <c r="B1874" s="13" t="s">
        <v>130</v>
      </c>
      <c r="C1874" s="7" t="str">
        <f t="shared" si="536"/>
        <v>MOTONIVELADORA CASE NOVA MOD 865B  HBZN865BAPAF32370</v>
      </c>
      <c r="D1874" s="8">
        <f t="shared" si="537"/>
        <v>46106</v>
      </c>
      <c r="E1874" s="15"/>
      <c r="F1874" s="15"/>
      <c r="G1874" s="15">
        <f t="shared" si="541"/>
        <v>0</v>
      </c>
      <c r="H1874" s="16" t="s">
        <v>278</v>
      </c>
      <c r="I1874" s="10">
        <f t="shared" si="540"/>
        <v>903.22580645161293</v>
      </c>
      <c r="J1874" s="16"/>
      <c r="K1874" s="15"/>
      <c r="L1874" s="15"/>
      <c r="M1874" s="17"/>
      <c r="N1874" s="9"/>
      <c r="O1874" s="18">
        <f t="shared" si="542"/>
        <v>0</v>
      </c>
      <c r="P1874" s="9"/>
      <c r="Q1874" s="9"/>
      <c r="R1874" s="9"/>
      <c r="S1874" s="10">
        <f t="shared" si="539"/>
        <v>903.22580645161293</v>
      </c>
    </row>
    <row r="1875" spans="2:19" outlineLevel="1">
      <c r="B1875" s="13" t="s">
        <v>130</v>
      </c>
      <c r="C1875" s="7" t="str">
        <f t="shared" si="536"/>
        <v>MOTONIVELADORA CASE NOVA MOD 865B  HBZN865BAPAF32370</v>
      </c>
      <c r="D1875" s="8">
        <f t="shared" si="537"/>
        <v>46107</v>
      </c>
      <c r="E1875" s="15"/>
      <c r="F1875" s="15"/>
      <c r="G1875" s="15">
        <f t="shared" si="541"/>
        <v>0</v>
      </c>
      <c r="H1875" s="16" t="s">
        <v>278</v>
      </c>
      <c r="I1875" s="10">
        <f t="shared" si="540"/>
        <v>903.22580645161293</v>
      </c>
      <c r="J1875" s="16"/>
      <c r="K1875" s="15"/>
      <c r="L1875" s="15"/>
      <c r="M1875" s="17"/>
      <c r="N1875" s="9"/>
      <c r="O1875" s="18">
        <f t="shared" si="542"/>
        <v>0</v>
      </c>
      <c r="P1875" s="9"/>
      <c r="Q1875" s="9"/>
      <c r="R1875" s="9"/>
      <c r="S1875" s="10">
        <f t="shared" si="539"/>
        <v>903.22580645161293</v>
      </c>
    </row>
    <row r="1876" spans="2:19" outlineLevel="1">
      <c r="B1876" s="13" t="s">
        <v>130</v>
      </c>
      <c r="C1876" s="7" t="str">
        <f t="shared" si="536"/>
        <v>MOTONIVELADORA CASE NOVA MOD 865B  HBZN865BAPAF32370</v>
      </c>
      <c r="D1876" s="8">
        <f t="shared" si="537"/>
        <v>46108</v>
      </c>
      <c r="E1876" s="15"/>
      <c r="F1876" s="15"/>
      <c r="G1876" s="15">
        <f t="shared" si="541"/>
        <v>0</v>
      </c>
      <c r="H1876" s="16" t="s">
        <v>278</v>
      </c>
      <c r="I1876" s="10">
        <f t="shared" si="540"/>
        <v>903.22580645161293</v>
      </c>
      <c r="J1876" s="16"/>
      <c r="K1876" s="15"/>
      <c r="L1876" s="15"/>
      <c r="M1876" s="17"/>
      <c r="N1876" s="9"/>
      <c r="O1876" s="18">
        <f t="shared" si="542"/>
        <v>0</v>
      </c>
      <c r="P1876" s="9"/>
      <c r="Q1876" s="9"/>
      <c r="R1876" s="9"/>
      <c r="S1876" s="10">
        <f t="shared" si="539"/>
        <v>903.22580645161293</v>
      </c>
    </row>
    <row r="1877" spans="2:19" outlineLevel="1">
      <c r="B1877" s="13" t="s">
        <v>130</v>
      </c>
      <c r="C1877" s="7" t="str">
        <f t="shared" si="536"/>
        <v>MOTONIVELADORA CASE NOVA MOD 865B  HBZN865BAPAF32370</v>
      </c>
      <c r="D1877" s="8">
        <f t="shared" si="537"/>
        <v>46109</v>
      </c>
      <c r="E1877" s="15"/>
      <c r="F1877" s="15"/>
      <c r="G1877" s="15">
        <f t="shared" si="541"/>
        <v>0</v>
      </c>
      <c r="H1877" s="16" t="s">
        <v>278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3">SUM(R1877+Q1877+I1877)</f>
        <v>903.22580645161293</v>
      </c>
    </row>
    <row r="1878" spans="2:19" outlineLevel="1">
      <c r="B1878" s="13" t="s">
        <v>130</v>
      </c>
      <c r="C1878" s="7" t="str">
        <f t="shared" si="536"/>
        <v>MOTONIVELADORA CASE NOVA MOD 865B  HBZN865BAPAF32370</v>
      </c>
      <c r="D1878" s="8">
        <f t="shared" si="537"/>
        <v>46110</v>
      </c>
      <c r="E1878" s="15"/>
      <c r="F1878" s="15"/>
      <c r="G1878" s="15">
        <f t="shared" si="541"/>
        <v>0</v>
      </c>
      <c r="H1878" s="16" t="s">
        <v>278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3"/>
        <v>903.22580645161293</v>
      </c>
    </row>
    <row r="1879" spans="2:19" outlineLevel="1">
      <c r="B1879" s="13" t="s">
        <v>130</v>
      </c>
      <c r="C1879" s="7" t="str">
        <f t="shared" si="536"/>
        <v>MOTONIVELADORA CASE NOVA MOD 865B  HBZN865BAPAF32370</v>
      </c>
      <c r="D1879" s="8">
        <f t="shared" si="537"/>
        <v>46111</v>
      </c>
      <c r="E1879" s="15"/>
      <c r="F1879" s="15"/>
      <c r="G1879" s="15">
        <f t="shared" si="541"/>
        <v>0</v>
      </c>
      <c r="H1879" s="16" t="s">
        <v>278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3"/>
        <v>903.22580645161293</v>
      </c>
    </row>
    <row r="1880" spans="2:19" outlineLevel="1">
      <c r="B1880" s="13" t="s">
        <v>130</v>
      </c>
      <c r="C1880" s="7" t="str">
        <f t="shared" si="536"/>
        <v>MOTONIVELADORA CASE NOVA MOD 865B  HBZN865BAPAF32370</v>
      </c>
      <c r="D1880" s="8">
        <f t="shared" si="537"/>
        <v>46112</v>
      </c>
      <c r="E1880" s="15"/>
      <c r="F1880" s="15"/>
      <c r="G1880" s="15">
        <f t="shared" si="541"/>
        <v>0</v>
      </c>
      <c r="H1880" s="16" t="s">
        <v>278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9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4">D1816</f>
        <v>46082</v>
      </c>
      <c r="E1884" s="15"/>
      <c r="F1884" s="15"/>
      <c r="G1884" s="15">
        <f t="shared" ref="G1884:G1889" si="545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6">C$1882</f>
        <v>ROLO COMPACTADOR KIT NOVO DINAPAC CA-30 CHASSIS PB007883</v>
      </c>
      <c r="D1885" s="8">
        <f t="shared" si="544"/>
        <v>46083</v>
      </c>
      <c r="E1885" s="15">
        <v>3815</v>
      </c>
      <c r="F1885" s="15">
        <v>3823</v>
      </c>
      <c r="G1885" s="15">
        <f t="shared" si="545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7">SUM(R1885+Q1885+I1885)</f>
        <v>464.51612903225805</v>
      </c>
    </row>
    <row r="1886" spans="2:19" outlineLevel="1">
      <c r="B1886" s="13" t="s">
        <v>132</v>
      </c>
      <c r="C1886" s="7" t="str">
        <f t="shared" si="546"/>
        <v>ROLO COMPACTADOR KIT NOVO DINAPAC CA-30 CHASSIS PB007883</v>
      </c>
      <c r="D1886" s="8">
        <f t="shared" si="544"/>
        <v>46084</v>
      </c>
      <c r="E1886" s="15"/>
      <c r="F1886" s="15"/>
      <c r="G1886" s="15">
        <f t="shared" si="545"/>
        <v>0</v>
      </c>
      <c r="H1886" s="16" t="s">
        <v>7</v>
      </c>
      <c r="I1886" s="10">
        <f t="shared" ref="I1886:I1910" si="548">I1885</f>
        <v>464.51612903225805</v>
      </c>
      <c r="J1886" s="16" t="s">
        <v>275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7"/>
        <v>464.51612903225805</v>
      </c>
    </row>
    <row r="1887" spans="2:19" outlineLevel="1">
      <c r="B1887" s="13" t="s">
        <v>132</v>
      </c>
      <c r="C1887" s="7" t="str">
        <f t="shared" si="546"/>
        <v>ROLO COMPACTADOR KIT NOVO DINAPAC CA-30 CHASSIS PB007883</v>
      </c>
      <c r="D1887" s="8">
        <f t="shared" si="544"/>
        <v>46085</v>
      </c>
      <c r="E1887" s="15"/>
      <c r="F1887" s="15"/>
      <c r="G1887" s="15">
        <f t="shared" si="545"/>
        <v>0</v>
      </c>
      <c r="H1887" s="16" t="s">
        <v>7</v>
      </c>
      <c r="I1887" s="10">
        <f t="shared" si="548"/>
        <v>464.51612903225805</v>
      </c>
      <c r="J1887" s="16" t="s">
        <v>275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7"/>
        <v>464.51612903225805</v>
      </c>
    </row>
    <row r="1888" spans="2:19" outlineLevel="1">
      <c r="B1888" s="13" t="s">
        <v>132</v>
      </c>
      <c r="C1888" s="7" t="str">
        <f t="shared" si="546"/>
        <v>ROLO COMPACTADOR KIT NOVO DINAPAC CA-30 CHASSIS PB007883</v>
      </c>
      <c r="D1888" s="8">
        <f t="shared" si="544"/>
        <v>46086</v>
      </c>
      <c r="E1888" s="15"/>
      <c r="F1888" s="15"/>
      <c r="G1888" s="15">
        <f t="shared" si="545"/>
        <v>0</v>
      </c>
      <c r="H1888" s="16" t="s">
        <v>7</v>
      </c>
      <c r="I1888" s="10">
        <f t="shared" si="548"/>
        <v>464.51612903225805</v>
      </c>
      <c r="J1888" s="16" t="s">
        <v>275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7"/>
        <v>464.51612903225805</v>
      </c>
    </row>
    <row r="1889" spans="2:19" outlineLevel="1">
      <c r="B1889" s="13" t="s">
        <v>132</v>
      </c>
      <c r="C1889" s="7" t="str">
        <f t="shared" si="546"/>
        <v>ROLO COMPACTADOR KIT NOVO DINAPAC CA-30 CHASSIS PB007883</v>
      </c>
      <c r="D1889" s="8">
        <f t="shared" si="544"/>
        <v>46087</v>
      </c>
      <c r="E1889" s="15"/>
      <c r="F1889" s="15"/>
      <c r="G1889" s="15">
        <f t="shared" si="545"/>
        <v>0</v>
      </c>
      <c r="H1889" s="16" t="s">
        <v>7</v>
      </c>
      <c r="I1889" s="10">
        <f t="shared" si="548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7"/>
        <v>464.51612903225805</v>
      </c>
    </row>
    <row r="1890" spans="2:19" outlineLevel="1">
      <c r="B1890" s="13" t="s">
        <v>132</v>
      </c>
      <c r="C1890" s="7" t="str">
        <f t="shared" si="546"/>
        <v>ROLO COMPACTADOR KIT NOVO DINAPAC CA-30 CHASSIS PB007883</v>
      </c>
      <c r="D1890" s="8">
        <f t="shared" si="544"/>
        <v>46088</v>
      </c>
      <c r="E1890" s="15"/>
      <c r="F1890" s="15"/>
      <c r="G1890" s="15">
        <f t="shared" ref="G1890:G1914" si="549">F1890-E1890</f>
        <v>0</v>
      </c>
      <c r="H1890" s="16" t="s">
        <v>7</v>
      </c>
      <c r="I1890" s="10">
        <f t="shared" si="548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7"/>
        <v>464.51612903225805</v>
      </c>
    </row>
    <row r="1891" spans="2:19" outlineLevel="1">
      <c r="B1891" s="13" t="s">
        <v>132</v>
      </c>
      <c r="C1891" s="7" t="str">
        <f t="shared" si="546"/>
        <v>ROLO COMPACTADOR KIT NOVO DINAPAC CA-30 CHASSIS PB007883</v>
      </c>
      <c r="D1891" s="8">
        <f t="shared" si="544"/>
        <v>46089</v>
      </c>
      <c r="E1891" s="15"/>
      <c r="F1891" s="15"/>
      <c r="G1891" s="15">
        <f t="shared" si="549"/>
        <v>0</v>
      </c>
      <c r="H1891" s="16" t="s">
        <v>7</v>
      </c>
      <c r="I1891" s="10">
        <f t="shared" si="548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7"/>
        <v>464.51612903225805</v>
      </c>
    </row>
    <row r="1892" spans="2:19" outlineLevel="1">
      <c r="B1892" s="13" t="s">
        <v>132</v>
      </c>
      <c r="C1892" s="7" t="str">
        <f t="shared" si="546"/>
        <v>ROLO COMPACTADOR KIT NOVO DINAPAC CA-30 CHASSIS PB007883</v>
      </c>
      <c r="D1892" s="8">
        <f t="shared" si="544"/>
        <v>46090</v>
      </c>
      <c r="E1892" s="15"/>
      <c r="F1892" s="15"/>
      <c r="G1892" s="15">
        <f t="shared" si="549"/>
        <v>0</v>
      </c>
      <c r="H1892" s="16" t="s">
        <v>7</v>
      </c>
      <c r="I1892" s="10">
        <f t="shared" si="548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7"/>
        <v>464.51612903225805</v>
      </c>
    </row>
    <row r="1893" spans="2:19" outlineLevel="1">
      <c r="B1893" s="13" t="s">
        <v>132</v>
      </c>
      <c r="C1893" s="7" t="str">
        <f t="shared" si="546"/>
        <v>ROLO COMPACTADOR KIT NOVO DINAPAC CA-30 CHASSIS PB007883</v>
      </c>
      <c r="D1893" s="8">
        <f t="shared" si="544"/>
        <v>46091</v>
      </c>
      <c r="E1893" s="15"/>
      <c r="F1893" s="15"/>
      <c r="G1893" s="15">
        <f t="shared" si="549"/>
        <v>0</v>
      </c>
      <c r="H1893" s="16" t="s">
        <v>7</v>
      </c>
      <c r="I1893" s="10">
        <f t="shared" si="548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7"/>
        <v>464.51612903225805</v>
      </c>
    </row>
    <row r="1894" spans="2:19" outlineLevel="1">
      <c r="B1894" s="13" t="s">
        <v>132</v>
      </c>
      <c r="C1894" s="7" t="str">
        <f t="shared" si="546"/>
        <v>ROLO COMPACTADOR KIT NOVO DINAPAC CA-30 CHASSIS PB007883</v>
      </c>
      <c r="D1894" s="8">
        <f t="shared" si="544"/>
        <v>46092</v>
      </c>
      <c r="E1894" s="15"/>
      <c r="F1894" s="15"/>
      <c r="G1894" s="15">
        <f t="shared" si="549"/>
        <v>0</v>
      </c>
      <c r="H1894" s="16" t="s">
        <v>7</v>
      </c>
      <c r="I1894" s="10">
        <f t="shared" si="548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7"/>
        <v>464.51612903225805</v>
      </c>
    </row>
    <row r="1895" spans="2:19" outlineLevel="1">
      <c r="B1895" s="13" t="s">
        <v>132</v>
      </c>
      <c r="C1895" s="7" t="str">
        <f t="shared" si="546"/>
        <v>ROLO COMPACTADOR KIT NOVO DINAPAC CA-30 CHASSIS PB007883</v>
      </c>
      <c r="D1895" s="8">
        <f t="shared" si="544"/>
        <v>46093</v>
      </c>
      <c r="E1895" s="15"/>
      <c r="F1895" s="15"/>
      <c r="G1895" s="15">
        <f t="shared" si="549"/>
        <v>0</v>
      </c>
      <c r="H1895" s="16" t="s">
        <v>7</v>
      </c>
      <c r="I1895" s="10">
        <f t="shared" si="548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7"/>
        <v>464.51612903225805</v>
      </c>
    </row>
    <row r="1896" spans="2:19" outlineLevel="1">
      <c r="B1896" s="13" t="s">
        <v>132</v>
      </c>
      <c r="C1896" s="7" t="str">
        <f t="shared" si="546"/>
        <v>ROLO COMPACTADOR KIT NOVO DINAPAC CA-30 CHASSIS PB007883</v>
      </c>
      <c r="D1896" s="8">
        <f t="shared" si="544"/>
        <v>46094</v>
      </c>
      <c r="E1896" s="15"/>
      <c r="F1896" s="15"/>
      <c r="G1896" s="15">
        <f t="shared" si="549"/>
        <v>0</v>
      </c>
      <c r="H1896" s="16" t="s">
        <v>7</v>
      </c>
      <c r="I1896" s="10">
        <f t="shared" si="548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7"/>
        <v>464.51612903225805</v>
      </c>
    </row>
    <row r="1897" spans="2:19" outlineLevel="1">
      <c r="B1897" s="13" t="s">
        <v>132</v>
      </c>
      <c r="C1897" s="7" t="str">
        <f t="shared" si="546"/>
        <v>ROLO COMPACTADOR KIT NOVO DINAPAC CA-30 CHASSIS PB007883</v>
      </c>
      <c r="D1897" s="8">
        <f t="shared" si="544"/>
        <v>46095</v>
      </c>
      <c r="E1897" s="15"/>
      <c r="F1897" s="15"/>
      <c r="G1897" s="15">
        <f t="shared" si="549"/>
        <v>0</v>
      </c>
      <c r="H1897" s="16" t="s">
        <v>7</v>
      </c>
      <c r="I1897" s="10">
        <f t="shared" si="548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7"/>
        <v>464.51612903225805</v>
      </c>
    </row>
    <row r="1898" spans="2:19" outlineLevel="1">
      <c r="B1898" s="13" t="s">
        <v>132</v>
      </c>
      <c r="C1898" s="7" t="str">
        <f t="shared" si="546"/>
        <v>ROLO COMPACTADOR KIT NOVO DINAPAC CA-30 CHASSIS PB007883</v>
      </c>
      <c r="D1898" s="8">
        <f t="shared" si="544"/>
        <v>46096</v>
      </c>
      <c r="E1898" s="15"/>
      <c r="F1898" s="15"/>
      <c r="G1898" s="15">
        <f t="shared" si="549"/>
        <v>0</v>
      </c>
      <c r="H1898" s="16" t="s">
        <v>7</v>
      </c>
      <c r="I1898" s="10">
        <f t="shared" si="548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7"/>
        <v>464.51612903225805</v>
      </c>
    </row>
    <row r="1899" spans="2:19" outlineLevel="1">
      <c r="B1899" s="13" t="s">
        <v>132</v>
      </c>
      <c r="C1899" s="7" t="str">
        <f t="shared" si="546"/>
        <v>ROLO COMPACTADOR KIT NOVO DINAPAC CA-30 CHASSIS PB007883</v>
      </c>
      <c r="D1899" s="8">
        <f t="shared" si="544"/>
        <v>46097</v>
      </c>
      <c r="E1899" s="15"/>
      <c r="F1899" s="15"/>
      <c r="G1899" s="15">
        <f t="shared" si="549"/>
        <v>0</v>
      </c>
      <c r="H1899" s="16" t="s">
        <v>7</v>
      </c>
      <c r="I1899" s="10">
        <f t="shared" si="548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7"/>
        <v>464.51612903225805</v>
      </c>
    </row>
    <row r="1900" spans="2:19" outlineLevel="1">
      <c r="B1900" s="13" t="s">
        <v>132</v>
      </c>
      <c r="C1900" s="7" t="str">
        <f t="shared" si="546"/>
        <v>ROLO COMPACTADOR KIT NOVO DINAPAC CA-30 CHASSIS PB007883</v>
      </c>
      <c r="D1900" s="8">
        <f t="shared" si="544"/>
        <v>46098</v>
      </c>
      <c r="E1900" s="15"/>
      <c r="F1900" s="15"/>
      <c r="G1900" s="15">
        <f t="shared" si="549"/>
        <v>0</v>
      </c>
      <c r="H1900" s="16" t="s">
        <v>7</v>
      </c>
      <c r="I1900" s="10">
        <f t="shared" si="548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50">O1899</f>
        <v>0</v>
      </c>
      <c r="P1900" s="9"/>
      <c r="Q1900" s="9"/>
      <c r="R1900" s="9"/>
      <c r="S1900" s="10">
        <f t="shared" si="547"/>
        <v>464.51612903225805</v>
      </c>
    </row>
    <row r="1901" spans="2:19" outlineLevel="1">
      <c r="B1901" s="13" t="s">
        <v>132</v>
      </c>
      <c r="C1901" s="7" t="str">
        <f t="shared" si="546"/>
        <v>ROLO COMPACTADOR KIT NOVO DINAPAC CA-30 CHASSIS PB007883</v>
      </c>
      <c r="D1901" s="8">
        <f t="shared" si="544"/>
        <v>46099</v>
      </c>
      <c r="E1901" s="15"/>
      <c r="F1901" s="15"/>
      <c r="G1901" s="15">
        <f t="shared" si="549"/>
        <v>0</v>
      </c>
      <c r="H1901" s="16" t="s">
        <v>7</v>
      </c>
      <c r="I1901" s="10">
        <f t="shared" si="548"/>
        <v>464.51612903225805</v>
      </c>
      <c r="J1901" s="16" t="s">
        <v>16</v>
      </c>
      <c r="K1901" s="15"/>
      <c r="L1901" s="15"/>
      <c r="M1901" s="17"/>
      <c r="N1901" s="9"/>
      <c r="O1901" s="18">
        <f t="shared" si="550"/>
        <v>0</v>
      </c>
      <c r="P1901" s="9"/>
      <c r="Q1901" s="9"/>
      <c r="R1901" s="9"/>
      <c r="S1901" s="10">
        <f t="shared" si="547"/>
        <v>464.51612903225805</v>
      </c>
    </row>
    <row r="1902" spans="2:19" outlineLevel="1">
      <c r="B1902" s="13" t="s">
        <v>132</v>
      </c>
      <c r="C1902" s="7" t="str">
        <f t="shared" si="546"/>
        <v>ROLO COMPACTADOR KIT NOVO DINAPAC CA-30 CHASSIS PB007883</v>
      </c>
      <c r="D1902" s="8">
        <f t="shared" si="544"/>
        <v>46100</v>
      </c>
      <c r="E1902" s="15"/>
      <c r="F1902" s="15"/>
      <c r="G1902" s="15">
        <f t="shared" si="549"/>
        <v>0</v>
      </c>
      <c r="H1902" s="16" t="s">
        <v>7</v>
      </c>
      <c r="I1902" s="10">
        <f t="shared" si="548"/>
        <v>464.51612903225805</v>
      </c>
      <c r="J1902" s="16" t="s">
        <v>16</v>
      </c>
      <c r="K1902" s="15"/>
      <c r="L1902" s="15"/>
      <c r="M1902" s="17"/>
      <c r="N1902" s="9"/>
      <c r="O1902" s="18">
        <f t="shared" si="550"/>
        <v>0</v>
      </c>
      <c r="P1902" s="9"/>
      <c r="Q1902" s="9"/>
      <c r="R1902" s="9"/>
      <c r="S1902" s="10">
        <f t="shared" si="547"/>
        <v>464.51612903225805</v>
      </c>
    </row>
    <row r="1903" spans="2:19" outlineLevel="1">
      <c r="B1903" s="13" t="s">
        <v>132</v>
      </c>
      <c r="C1903" s="7" t="str">
        <f t="shared" si="546"/>
        <v>ROLO COMPACTADOR KIT NOVO DINAPAC CA-30 CHASSIS PB007883</v>
      </c>
      <c r="D1903" s="8">
        <f t="shared" si="544"/>
        <v>46101</v>
      </c>
      <c r="E1903" s="15"/>
      <c r="F1903" s="15"/>
      <c r="G1903" s="15">
        <f t="shared" si="549"/>
        <v>0</v>
      </c>
      <c r="H1903" s="16" t="s">
        <v>7</v>
      </c>
      <c r="I1903" s="10">
        <f t="shared" si="548"/>
        <v>464.51612903225805</v>
      </c>
      <c r="J1903" s="16" t="s">
        <v>16</v>
      </c>
      <c r="K1903" s="15"/>
      <c r="L1903" s="15"/>
      <c r="M1903" s="17"/>
      <c r="N1903" s="9"/>
      <c r="O1903" s="18">
        <f t="shared" si="550"/>
        <v>0</v>
      </c>
      <c r="P1903" s="9"/>
      <c r="Q1903" s="9"/>
      <c r="R1903" s="9"/>
      <c r="S1903" s="10">
        <f t="shared" si="547"/>
        <v>464.51612903225805</v>
      </c>
    </row>
    <row r="1904" spans="2:19" outlineLevel="1">
      <c r="B1904" s="13" t="s">
        <v>132</v>
      </c>
      <c r="C1904" s="7" t="str">
        <f t="shared" si="546"/>
        <v>ROLO COMPACTADOR KIT NOVO DINAPAC CA-30 CHASSIS PB007883</v>
      </c>
      <c r="D1904" s="8">
        <f t="shared" si="544"/>
        <v>46102</v>
      </c>
      <c r="E1904" s="15"/>
      <c r="F1904" s="15"/>
      <c r="G1904" s="15">
        <f t="shared" si="549"/>
        <v>0</v>
      </c>
      <c r="H1904" s="16" t="s">
        <v>7</v>
      </c>
      <c r="I1904" s="10">
        <f t="shared" si="548"/>
        <v>464.51612903225805</v>
      </c>
      <c r="J1904" s="16" t="s">
        <v>16</v>
      </c>
      <c r="K1904" s="15"/>
      <c r="L1904" s="15"/>
      <c r="M1904" s="17"/>
      <c r="N1904" s="9"/>
      <c r="O1904" s="18">
        <f t="shared" si="550"/>
        <v>0</v>
      </c>
      <c r="P1904" s="9"/>
      <c r="Q1904" s="9"/>
      <c r="R1904" s="9"/>
      <c r="S1904" s="10">
        <f t="shared" si="547"/>
        <v>464.51612903225805</v>
      </c>
    </row>
    <row r="1905" spans="2:20" outlineLevel="1">
      <c r="B1905" s="13" t="s">
        <v>132</v>
      </c>
      <c r="C1905" s="7" t="str">
        <f t="shared" si="546"/>
        <v>ROLO COMPACTADOR KIT NOVO DINAPAC CA-30 CHASSIS PB007883</v>
      </c>
      <c r="D1905" s="8">
        <f t="shared" si="544"/>
        <v>46103</v>
      </c>
      <c r="E1905" s="15"/>
      <c r="F1905" s="15"/>
      <c r="G1905" s="15">
        <f t="shared" si="549"/>
        <v>0</v>
      </c>
      <c r="H1905" s="16" t="s">
        <v>7</v>
      </c>
      <c r="I1905" s="10">
        <f t="shared" si="548"/>
        <v>464.51612903225805</v>
      </c>
      <c r="J1905" s="16" t="s">
        <v>16</v>
      </c>
      <c r="K1905" s="15"/>
      <c r="L1905" s="15"/>
      <c r="M1905" s="17"/>
      <c r="N1905" s="9"/>
      <c r="O1905" s="18">
        <f t="shared" si="550"/>
        <v>0</v>
      </c>
      <c r="P1905" s="9"/>
      <c r="Q1905" s="9"/>
      <c r="R1905" s="9"/>
      <c r="S1905" s="10">
        <f t="shared" si="547"/>
        <v>464.51612903225805</v>
      </c>
    </row>
    <row r="1906" spans="2:20" outlineLevel="1">
      <c r="B1906" s="13" t="s">
        <v>132</v>
      </c>
      <c r="C1906" s="7" t="str">
        <f t="shared" si="546"/>
        <v>ROLO COMPACTADOR KIT NOVO DINAPAC CA-30 CHASSIS PB007883</v>
      </c>
      <c r="D1906" s="8">
        <f t="shared" si="544"/>
        <v>46104</v>
      </c>
      <c r="E1906" s="15"/>
      <c r="F1906" s="15"/>
      <c r="G1906" s="15">
        <f t="shared" si="549"/>
        <v>0</v>
      </c>
      <c r="H1906" s="16" t="s">
        <v>7</v>
      </c>
      <c r="I1906" s="10">
        <f t="shared" si="548"/>
        <v>464.51612903225805</v>
      </c>
      <c r="J1906" s="16" t="s">
        <v>16</v>
      </c>
      <c r="K1906" s="15"/>
      <c r="L1906" s="15"/>
      <c r="M1906" s="17"/>
      <c r="N1906" s="9"/>
      <c r="O1906" s="18">
        <f t="shared" si="550"/>
        <v>0</v>
      </c>
      <c r="P1906" s="9"/>
      <c r="Q1906" s="9"/>
      <c r="R1906" s="9"/>
      <c r="S1906" s="10">
        <f t="shared" si="547"/>
        <v>464.51612903225805</v>
      </c>
    </row>
    <row r="1907" spans="2:20" outlineLevel="1">
      <c r="B1907" s="13" t="s">
        <v>132</v>
      </c>
      <c r="C1907" s="7" t="str">
        <f t="shared" si="546"/>
        <v>ROLO COMPACTADOR KIT NOVO DINAPAC CA-30 CHASSIS PB007883</v>
      </c>
      <c r="D1907" s="8">
        <f t="shared" si="544"/>
        <v>46105</v>
      </c>
      <c r="E1907" s="15"/>
      <c r="F1907" s="15"/>
      <c r="G1907" s="15">
        <f t="shared" si="549"/>
        <v>0</v>
      </c>
      <c r="H1907" s="16" t="s">
        <v>7</v>
      </c>
      <c r="I1907" s="10">
        <f t="shared" si="548"/>
        <v>464.51612903225805</v>
      </c>
      <c r="J1907" s="16" t="s">
        <v>16</v>
      </c>
      <c r="K1907" s="15"/>
      <c r="L1907" s="15"/>
      <c r="M1907" s="17"/>
      <c r="N1907" s="9"/>
      <c r="O1907" s="18">
        <f t="shared" si="550"/>
        <v>0</v>
      </c>
      <c r="P1907" s="9"/>
      <c r="Q1907" s="9"/>
      <c r="R1907" s="9"/>
      <c r="S1907" s="10">
        <f t="shared" si="547"/>
        <v>464.51612903225805</v>
      </c>
    </row>
    <row r="1908" spans="2:20" outlineLevel="1">
      <c r="B1908" s="13" t="s">
        <v>132</v>
      </c>
      <c r="C1908" s="7" t="str">
        <f t="shared" si="546"/>
        <v>ROLO COMPACTADOR KIT NOVO DINAPAC CA-30 CHASSIS PB007883</v>
      </c>
      <c r="D1908" s="8">
        <f t="shared" si="544"/>
        <v>46106</v>
      </c>
      <c r="E1908" s="15"/>
      <c r="F1908" s="15"/>
      <c r="G1908" s="15">
        <f t="shared" si="549"/>
        <v>0</v>
      </c>
      <c r="H1908" s="16" t="s">
        <v>7</v>
      </c>
      <c r="I1908" s="10">
        <f t="shared" si="548"/>
        <v>464.51612903225805</v>
      </c>
      <c r="J1908" s="16" t="s">
        <v>16</v>
      </c>
      <c r="K1908" s="15"/>
      <c r="L1908" s="15"/>
      <c r="M1908" s="17"/>
      <c r="N1908" s="9"/>
      <c r="O1908" s="18">
        <f t="shared" si="550"/>
        <v>0</v>
      </c>
      <c r="P1908" s="9"/>
      <c r="Q1908" s="9"/>
      <c r="R1908" s="9"/>
      <c r="S1908" s="10">
        <f t="shared" si="547"/>
        <v>464.51612903225805</v>
      </c>
    </row>
    <row r="1909" spans="2:20" outlineLevel="1">
      <c r="B1909" s="13" t="s">
        <v>132</v>
      </c>
      <c r="C1909" s="7" t="str">
        <f t="shared" si="546"/>
        <v>ROLO COMPACTADOR KIT NOVO DINAPAC CA-30 CHASSIS PB007883</v>
      </c>
      <c r="D1909" s="8">
        <f t="shared" si="544"/>
        <v>46107</v>
      </c>
      <c r="E1909" s="15"/>
      <c r="F1909" s="15"/>
      <c r="G1909" s="15">
        <f t="shared" si="549"/>
        <v>0</v>
      </c>
      <c r="H1909" s="16" t="s">
        <v>7</v>
      </c>
      <c r="I1909" s="10">
        <f t="shared" si="548"/>
        <v>464.51612903225805</v>
      </c>
      <c r="J1909" s="16" t="s">
        <v>16</v>
      </c>
      <c r="K1909" s="15"/>
      <c r="L1909" s="15"/>
      <c r="M1909" s="17"/>
      <c r="N1909" s="9"/>
      <c r="O1909" s="18">
        <f t="shared" si="550"/>
        <v>0</v>
      </c>
      <c r="P1909" s="9"/>
      <c r="Q1909" s="9"/>
      <c r="R1909" s="9"/>
      <c r="S1909" s="10">
        <f t="shared" si="547"/>
        <v>464.51612903225805</v>
      </c>
    </row>
    <row r="1910" spans="2:20" outlineLevel="1">
      <c r="B1910" s="13" t="s">
        <v>132</v>
      </c>
      <c r="C1910" s="7" t="str">
        <f t="shared" si="546"/>
        <v>ROLO COMPACTADOR KIT NOVO DINAPAC CA-30 CHASSIS PB007883</v>
      </c>
      <c r="D1910" s="8">
        <f t="shared" si="544"/>
        <v>46108</v>
      </c>
      <c r="E1910" s="15"/>
      <c r="F1910" s="15"/>
      <c r="G1910" s="15">
        <f t="shared" si="549"/>
        <v>0</v>
      </c>
      <c r="H1910" s="16" t="s">
        <v>7</v>
      </c>
      <c r="I1910" s="10">
        <f t="shared" si="548"/>
        <v>464.51612903225805</v>
      </c>
      <c r="J1910" s="16" t="s">
        <v>16</v>
      </c>
      <c r="K1910" s="15"/>
      <c r="L1910" s="15"/>
      <c r="M1910" s="17"/>
      <c r="N1910" s="9"/>
      <c r="O1910" s="18">
        <f t="shared" si="550"/>
        <v>0</v>
      </c>
      <c r="P1910" s="9"/>
      <c r="Q1910" s="9"/>
      <c r="R1910" s="9"/>
      <c r="S1910" s="10">
        <f t="shared" si="547"/>
        <v>464.51612903225805</v>
      </c>
    </row>
    <row r="1911" spans="2:20" outlineLevel="1">
      <c r="B1911" s="13" t="s">
        <v>132</v>
      </c>
      <c r="C1911" s="7" t="str">
        <f t="shared" si="546"/>
        <v>ROLO COMPACTADOR KIT NOVO DINAPAC CA-30 CHASSIS PB007883</v>
      </c>
      <c r="D1911" s="8">
        <f t="shared" si="544"/>
        <v>46109</v>
      </c>
      <c r="E1911" s="15"/>
      <c r="F1911" s="15"/>
      <c r="G1911" s="15">
        <f t="shared" ref="G1911:G1913" si="551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2">SUM(R1911+Q1911+I1911)</f>
        <v>464.51612903225805</v>
      </c>
    </row>
    <row r="1912" spans="2:20" outlineLevel="1">
      <c r="B1912" s="13" t="s">
        <v>132</v>
      </c>
      <c r="C1912" s="7" t="str">
        <f t="shared" si="546"/>
        <v>ROLO COMPACTADOR KIT NOVO DINAPAC CA-30 CHASSIS PB007883</v>
      </c>
      <c r="D1912" s="8">
        <f t="shared" si="544"/>
        <v>46110</v>
      </c>
      <c r="E1912" s="15"/>
      <c r="F1912" s="15"/>
      <c r="G1912" s="15">
        <f t="shared" si="551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2"/>
        <v>464.51612903225805</v>
      </c>
    </row>
    <row r="1913" spans="2:20" outlineLevel="1">
      <c r="B1913" s="13" t="s">
        <v>132</v>
      </c>
      <c r="C1913" s="7" t="str">
        <f t="shared" si="546"/>
        <v>ROLO COMPACTADOR KIT NOVO DINAPAC CA-30 CHASSIS PB007883</v>
      </c>
      <c r="D1913" s="8">
        <f t="shared" si="544"/>
        <v>46111</v>
      </c>
      <c r="E1913" s="15"/>
      <c r="F1913" s="15"/>
      <c r="G1913" s="15">
        <f t="shared" si="551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2"/>
        <v>464.51612903225805</v>
      </c>
    </row>
    <row r="1914" spans="2:20" outlineLevel="1">
      <c r="B1914" s="13" t="s">
        <v>132</v>
      </c>
      <c r="C1914" s="7" t="str">
        <f t="shared" si="546"/>
        <v>ROLO COMPACTADOR KIT NOVO DINAPAC CA-30 CHASSIS PB007883</v>
      </c>
      <c r="D1914" s="8">
        <f t="shared" si="544"/>
        <v>46112</v>
      </c>
      <c r="E1914" s="15"/>
      <c r="F1914" s="15"/>
      <c r="G1914" s="15">
        <f t="shared" si="549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7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3">D1850</f>
        <v>46082</v>
      </c>
      <c r="E1918" s="15"/>
      <c r="F1918" s="15"/>
      <c r="G1918" s="15">
        <f t="shared" ref="G1918:G1919" si="554">F1918-E1918</f>
        <v>0</v>
      </c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5">C$1916</f>
        <v>ROLO COMPACTADORES HAMM 341 CHASSIS H180.4635</v>
      </c>
      <c r="D1919" s="8">
        <f t="shared" si="553"/>
        <v>46083</v>
      </c>
      <c r="E1919" s="15"/>
      <c r="F1919" s="15"/>
      <c r="G1919" s="15">
        <f t="shared" si="554"/>
        <v>0</v>
      </c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6">SUM(R1919+Q1919+I1919)</f>
        <v>464.51612903225805</v>
      </c>
    </row>
    <row r="1920" spans="2:20" outlineLevel="1">
      <c r="B1920" s="13" t="s">
        <v>134</v>
      </c>
      <c r="C1920" s="7" t="str">
        <f t="shared" si="555"/>
        <v>ROLO COMPACTADORES HAMM 341 CHASSIS H180.4635</v>
      </c>
      <c r="D1920" s="8">
        <f t="shared" si="553"/>
        <v>46084</v>
      </c>
      <c r="E1920" s="15">
        <v>1722.4</v>
      </c>
      <c r="F1920" s="15">
        <v>1727.2</v>
      </c>
      <c r="G1920" s="15">
        <f>F1920-E1920</f>
        <v>4.7999999999999545</v>
      </c>
      <c r="H1920" s="16" t="s">
        <v>238</v>
      </c>
      <c r="I1920" s="10">
        <f t="shared" ref="I1920:I1944" si="557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6"/>
        <v>464.51612903225805</v>
      </c>
    </row>
    <row r="1921" spans="2:19" outlineLevel="1">
      <c r="B1921" s="13" t="s">
        <v>134</v>
      </c>
      <c r="C1921" s="7" t="str">
        <f t="shared" si="555"/>
        <v>ROLO COMPACTADORES HAMM 341 CHASSIS H180.4635</v>
      </c>
      <c r="D1921" s="8">
        <f t="shared" si="553"/>
        <v>46085</v>
      </c>
      <c r="E1921" s="15"/>
      <c r="F1921" s="15"/>
      <c r="G1921" s="15">
        <f t="shared" ref="G1921:G1948" si="558">F1921-E1921</f>
        <v>0</v>
      </c>
      <c r="H1921" s="16" t="s">
        <v>238</v>
      </c>
      <c r="I1921" s="10">
        <f t="shared" si="557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6"/>
        <v>464.51612903225805</v>
      </c>
    </row>
    <row r="1922" spans="2:19" outlineLevel="1">
      <c r="B1922" s="13" t="s">
        <v>134</v>
      </c>
      <c r="C1922" s="7" t="str">
        <f t="shared" si="555"/>
        <v>ROLO COMPACTADORES HAMM 341 CHASSIS H180.4635</v>
      </c>
      <c r="D1922" s="8">
        <f t="shared" si="553"/>
        <v>46086</v>
      </c>
      <c r="E1922" s="15"/>
      <c r="F1922" s="15"/>
      <c r="G1922" s="15">
        <f t="shared" si="558"/>
        <v>0</v>
      </c>
      <c r="H1922" s="16" t="s">
        <v>238</v>
      </c>
      <c r="I1922" s="10">
        <f t="shared" si="557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6"/>
        <v>464.51612903225805</v>
      </c>
    </row>
    <row r="1923" spans="2:19" outlineLevel="1">
      <c r="B1923" s="13" t="s">
        <v>134</v>
      </c>
      <c r="C1923" s="7" t="str">
        <f t="shared" si="555"/>
        <v>ROLO COMPACTADORES HAMM 341 CHASSIS H180.4635</v>
      </c>
      <c r="D1923" s="8">
        <f t="shared" si="553"/>
        <v>46087</v>
      </c>
      <c r="E1923" s="15">
        <v>1727.2</v>
      </c>
      <c r="F1923" s="15">
        <v>1730.9</v>
      </c>
      <c r="G1923" s="15">
        <f t="shared" si="558"/>
        <v>3.7000000000000455</v>
      </c>
      <c r="H1923" s="16" t="s">
        <v>238</v>
      </c>
      <c r="I1923" s="10">
        <f t="shared" si="557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6"/>
        <v>464.51612903225805</v>
      </c>
    </row>
    <row r="1924" spans="2:19" outlineLevel="1">
      <c r="B1924" s="13" t="s">
        <v>134</v>
      </c>
      <c r="C1924" s="7" t="str">
        <f t="shared" si="555"/>
        <v>ROLO COMPACTADORES HAMM 341 CHASSIS H180.4635</v>
      </c>
      <c r="D1924" s="8">
        <f t="shared" si="553"/>
        <v>46088</v>
      </c>
      <c r="E1924" s="15"/>
      <c r="F1924" s="15"/>
      <c r="G1924" s="15">
        <f t="shared" si="558"/>
        <v>0</v>
      </c>
      <c r="H1924" s="16" t="s">
        <v>238</v>
      </c>
      <c r="I1924" s="10">
        <f t="shared" si="557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6"/>
        <v>464.51612903225805</v>
      </c>
    </row>
    <row r="1925" spans="2:19" outlineLevel="1">
      <c r="B1925" s="13" t="s">
        <v>134</v>
      </c>
      <c r="C1925" s="7" t="str">
        <f t="shared" si="555"/>
        <v>ROLO COMPACTADORES HAMM 341 CHASSIS H180.4635</v>
      </c>
      <c r="D1925" s="8">
        <f t="shared" si="553"/>
        <v>46089</v>
      </c>
      <c r="E1925" s="15"/>
      <c r="F1925" s="15"/>
      <c r="G1925" s="15">
        <f t="shared" si="558"/>
        <v>0</v>
      </c>
      <c r="H1925" s="16" t="s">
        <v>238</v>
      </c>
      <c r="I1925" s="10">
        <f t="shared" si="557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6"/>
        <v>464.51612903225805</v>
      </c>
    </row>
    <row r="1926" spans="2:19" outlineLevel="1">
      <c r="B1926" s="13" t="s">
        <v>134</v>
      </c>
      <c r="C1926" s="7" t="str">
        <f t="shared" si="555"/>
        <v>ROLO COMPACTADORES HAMM 341 CHASSIS H180.4635</v>
      </c>
      <c r="D1926" s="8">
        <f t="shared" si="553"/>
        <v>46090</v>
      </c>
      <c r="E1926" s="15">
        <v>1727.2</v>
      </c>
      <c r="F1926" s="15">
        <v>1733.4</v>
      </c>
      <c r="G1926" s="15">
        <f t="shared" si="558"/>
        <v>6.2000000000000455</v>
      </c>
      <c r="H1926" s="16" t="s">
        <v>238</v>
      </c>
      <c r="I1926" s="10">
        <f t="shared" si="557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6"/>
        <v>464.51612903225805</v>
      </c>
    </row>
    <row r="1927" spans="2:19" outlineLevel="1">
      <c r="B1927" s="13" t="s">
        <v>134</v>
      </c>
      <c r="C1927" s="7" t="str">
        <f t="shared" si="555"/>
        <v>ROLO COMPACTADORES HAMM 341 CHASSIS H180.4635</v>
      </c>
      <c r="D1927" s="8">
        <f t="shared" si="553"/>
        <v>46091</v>
      </c>
      <c r="E1927" s="15">
        <v>1733.4</v>
      </c>
      <c r="F1927" s="15">
        <v>1736.7</v>
      </c>
      <c r="G1927" s="15">
        <f t="shared" si="558"/>
        <v>3.2999999999999545</v>
      </c>
      <c r="H1927" s="16" t="s">
        <v>238</v>
      </c>
      <c r="I1927" s="10">
        <f t="shared" si="557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6"/>
        <v>464.51612903225805</v>
      </c>
    </row>
    <row r="1928" spans="2:19" outlineLevel="1">
      <c r="B1928" s="13" t="s">
        <v>134</v>
      </c>
      <c r="C1928" s="7" t="str">
        <f t="shared" si="555"/>
        <v>ROLO COMPACTADORES HAMM 341 CHASSIS H180.4635</v>
      </c>
      <c r="D1928" s="8">
        <f t="shared" si="553"/>
        <v>46092</v>
      </c>
      <c r="E1928" s="15">
        <v>1736.7</v>
      </c>
      <c r="F1928" s="15">
        <v>1738.9</v>
      </c>
      <c r="G1928" s="15">
        <f t="shared" si="558"/>
        <v>2.2000000000000455</v>
      </c>
      <c r="H1928" s="16" t="s">
        <v>238</v>
      </c>
      <c r="I1928" s="10">
        <f t="shared" si="557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6"/>
        <v>464.51612903225805</v>
      </c>
    </row>
    <row r="1929" spans="2:19" outlineLevel="1">
      <c r="B1929" s="13" t="s">
        <v>134</v>
      </c>
      <c r="C1929" s="7" t="str">
        <f t="shared" si="555"/>
        <v>ROLO COMPACTADORES HAMM 341 CHASSIS H180.4635</v>
      </c>
      <c r="D1929" s="8">
        <f t="shared" si="553"/>
        <v>46093</v>
      </c>
      <c r="E1929" s="15">
        <v>1738.9</v>
      </c>
      <c r="F1929" s="15">
        <v>1741.4</v>
      </c>
      <c r="G1929" s="15">
        <f t="shared" si="558"/>
        <v>2.5</v>
      </c>
      <c r="H1929" s="16" t="s">
        <v>238</v>
      </c>
      <c r="I1929" s="10">
        <f t="shared" si="557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6"/>
        <v>464.51612903225805</v>
      </c>
    </row>
    <row r="1930" spans="2:19" outlineLevel="1">
      <c r="B1930" s="13" t="s">
        <v>134</v>
      </c>
      <c r="C1930" s="7" t="str">
        <f t="shared" si="555"/>
        <v>ROLO COMPACTADORES HAMM 341 CHASSIS H180.4635</v>
      </c>
      <c r="D1930" s="8">
        <f t="shared" si="553"/>
        <v>46094</v>
      </c>
      <c r="E1930" s="15"/>
      <c r="F1930" s="15"/>
      <c r="G1930" s="15">
        <f t="shared" si="558"/>
        <v>0</v>
      </c>
      <c r="H1930" s="16" t="s">
        <v>238</v>
      </c>
      <c r="I1930" s="10">
        <f t="shared" si="557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6"/>
        <v>464.51612903225805</v>
      </c>
    </row>
    <row r="1931" spans="2:19" outlineLevel="1">
      <c r="B1931" s="13" t="s">
        <v>134</v>
      </c>
      <c r="C1931" s="7" t="str">
        <f t="shared" si="555"/>
        <v>ROLO COMPACTADORES HAMM 341 CHASSIS H180.4635</v>
      </c>
      <c r="D1931" s="8">
        <f t="shared" si="553"/>
        <v>46095</v>
      </c>
      <c r="E1931" s="15"/>
      <c r="F1931" s="15"/>
      <c r="G1931" s="15">
        <f t="shared" si="558"/>
        <v>0</v>
      </c>
      <c r="H1931" s="16" t="s">
        <v>238</v>
      </c>
      <c r="I1931" s="10">
        <f t="shared" si="557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9">O1930</f>
        <v>0</v>
      </c>
      <c r="P1931" s="9"/>
      <c r="Q1931" s="9"/>
      <c r="R1931" s="9"/>
      <c r="S1931" s="10">
        <f t="shared" si="556"/>
        <v>464.51612903225805</v>
      </c>
    </row>
    <row r="1932" spans="2:19" outlineLevel="1">
      <c r="B1932" s="13" t="s">
        <v>134</v>
      </c>
      <c r="C1932" s="7" t="str">
        <f t="shared" si="555"/>
        <v>ROLO COMPACTADORES HAMM 341 CHASSIS H180.4635</v>
      </c>
      <c r="D1932" s="8">
        <f t="shared" si="553"/>
        <v>46096</v>
      </c>
      <c r="E1932" s="15"/>
      <c r="F1932" s="15"/>
      <c r="G1932" s="15">
        <f t="shared" si="558"/>
        <v>0</v>
      </c>
      <c r="H1932" s="16" t="s">
        <v>238</v>
      </c>
      <c r="I1932" s="10">
        <f t="shared" si="557"/>
        <v>464.51612903225805</v>
      </c>
      <c r="J1932" s="16" t="s">
        <v>16</v>
      </c>
      <c r="K1932" s="15"/>
      <c r="L1932" s="15"/>
      <c r="M1932" s="17"/>
      <c r="N1932" s="9"/>
      <c r="O1932" s="18">
        <f t="shared" si="559"/>
        <v>0</v>
      </c>
      <c r="P1932" s="9"/>
      <c r="Q1932" s="9"/>
      <c r="R1932" s="9"/>
      <c r="S1932" s="10">
        <f t="shared" si="556"/>
        <v>464.51612903225805</v>
      </c>
    </row>
    <row r="1933" spans="2:19" outlineLevel="1">
      <c r="B1933" s="13" t="s">
        <v>134</v>
      </c>
      <c r="C1933" s="7" t="str">
        <f t="shared" si="555"/>
        <v>ROLO COMPACTADORES HAMM 341 CHASSIS H180.4635</v>
      </c>
      <c r="D1933" s="8">
        <f t="shared" si="553"/>
        <v>46097</v>
      </c>
      <c r="E1933" s="15"/>
      <c r="F1933" s="15"/>
      <c r="G1933" s="15">
        <f t="shared" si="558"/>
        <v>0</v>
      </c>
      <c r="H1933" s="16" t="s">
        <v>238</v>
      </c>
      <c r="I1933" s="10">
        <f t="shared" si="557"/>
        <v>464.51612903225805</v>
      </c>
      <c r="J1933" s="16" t="s">
        <v>16</v>
      </c>
      <c r="K1933" s="15"/>
      <c r="L1933" s="15"/>
      <c r="M1933" s="17"/>
      <c r="N1933" s="9"/>
      <c r="O1933" s="18">
        <f t="shared" si="559"/>
        <v>0</v>
      </c>
      <c r="P1933" s="9"/>
      <c r="Q1933" s="9"/>
      <c r="R1933" s="9"/>
      <c r="S1933" s="10">
        <f t="shared" si="556"/>
        <v>464.51612903225805</v>
      </c>
    </row>
    <row r="1934" spans="2:19" outlineLevel="1">
      <c r="B1934" s="13" t="s">
        <v>134</v>
      </c>
      <c r="C1934" s="7" t="str">
        <f t="shared" si="555"/>
        <v>ROLO COMPACTADORES HAMM 341 CHASSIS H180.4635</v>
      </c>
      <c r="D1934" s="8">
        <f t="shared" si="553"/>
        <v>46098</v>
      </c>
      <c r="E1934" s="15"/>
      <c r="F1934" s="15"/>
      <c r="G1934" s="15">
        <f t="shared" si="558"/>
        <v>0</v>
      </c>
      <c r="H1934" s="16" t="s">
        <v>238</v>
      </c>
      <c r="I1934" s="10">
        <f t="shared" si="557"/>
        <v>464.51612903225805</v>
      </c>
      <c r="J1934" s="16" t="s">
        <v>16</v>
      </c>
      <c r="K1934" s="15"/>
      <c r="L1934" s="15"/>
      <c r="M1934" s="17"/>
      <c r="N1934" s="9"/>
      <c r="O1934" s="18">
        <f t="shared" si="559"/>
        <v>0</v>
      </c>
      <c r="P1934" s="9"/>
      <c r="Q1934" s="9"/>
      <c r="R1934" s="9"/>
      <c r="S1934" s="10">
        <f t="shared" si="556"/>
        <v>464.51612903225805</v>
      </c>
    </row>
    <row r="1935" spans="2:19" outlineLevel="1">
      <c r="B1935" s="13" t="s">
        <v>134</v>
      </c>
      <c r="C1935" s="7" t="str">
        <f t="shared" si="555"/>
        <v>ROLO COMPACTADORES HAMM 341 CHASSIS H180.4635</v>
      </c>
      <c r="D1935" s="8">
        <f t="shared" si="553"/>
        <v>46099</v>
      </c>
      <c r="E1935" s="15"/>
      <c r="F1935" s="15"/>
      <c r="G1935" s="15">
        <f t="shared" si="558"/>
        <v>0</v>
      </c>
      <c r="H1935" s="16" t="s">
        <v>238</v>
      </c>
      <c r="I1935" s="10">
        <f t="shared" si="557"/>
        <v>464.51612903225805</v>
      </c>
      <c r="J1935" s="16" t="s">
        <v>16</v>
      </c>
      <c r="K1935" s="15"/>
      <c r="L1935" s="15"/>
      <c r="M1935" s="17"/>
      <c r="N1935" s="9"/>
      <c r="O1935" s="18">
        <f t="shared" si="559"/>
        <v>0</v>
      </c>
      <c r="P1935" s="9"/>
      <c r="Q1935" s="9"/>
      <c r="R1935" s="9"/>
      <c r="S1935" s="10">
        <f t="shared" si="556"/>
        <v>464.51612903225805</v>
      </c>
    </row>
    <row r="1936" spans="2:19" outlineLevel="1">
      <c r="B1936" s="13" t="s">
        <v>134</v>
      </c>
      <c r="C1936" s="7" t="str">
        <f t="shared" si="555"/>
        <v>ROLO COMPACTADORES HAMM 341 CHASSIS H180.4635</v>
      </c>
      <c r="D1936" s="8">
        <f t="shared" si="553"/>
        <v>46100</v>
      </c>
      <c r="E1936" s="15"/>
      <c r="F1936" s="15"/>
      <c r="G1936" s="15">
        <f t="shared" si="558"/>
        <v>0</v>
      </c>
      <c r="H1936" s="16" t="s">
        <v>238</v>
      </c>
      <c r="I1936" s="10">
        <f t="shared" si="557"/>
        <v>464.51612903225805</v>
      </c>
      <c r="J1936" s="16" t="s">
        <v>16</v>
      </c>
      <c r="K1936" s="15"/>
      <c r="L1936" s="15"/>
      <c r="M1936" s="17"/>
      <c r="N1936" s="9"/>
      <c r="O1936" s="18">
        <f t="shared" si="559"/>
        <v>0</v>
      </c>
      <c r="P1936" s="9"/>
      <c r="Q1936" s="9"/>
      <c r="R1936" s="9"/>
      <c r="S1936" s="10">
        <f t="shared" si="556"/>
        <v>464.51612903225805</v>
      </c>
    </row>
    <row r="1937" spans="2:19" outlineLevel="1">
      <c r="B1937" s="13" t="s">
        <v>134</v>
      </c>
      <c r="C1937" s="7" t="str">
        <f t="shared" si="555"/>
        <v>ROLO COMPACTADORES HAMM 341 CHASSIS H180.4635</v>
      </c>
      <c r="D1937" s="8">
        <f t="shared" si="553"/>
        <v>46101</v>
      </c>
      <c r="E1937" s="15"/>
      <c r="F1937" s="15"/>
      <c r="G1937" s="15">
        <f t="shared" si="558"/>
        <v>0</v>
      </c>
      <c r="H1937" s="16" t="s">
        <v>238</v>
      </c>
      <c r="I1937" s="10">
        <f t="shared" si="557"/>
        <v>464.51612903225805</v>
      </c>
      <c r="J1937" s="16" t="s">
        <v>16</v>
      </c>
      <c r="K1937" s="15"/>
      <c r="L1937" s="15"/>
      <c r="M1937" s="17"/>
      <c r="N1937" s="9"/>
      <c r="O1937" s="18">
        <f t="shared" si="559"/>
        <v>0</v>
      </c>
      <c r="P1937" s="9"/>
      <c r="Q1937" s="9"/>
      <c r="R1937" s="9"/>
      <c r="S1937" s="10">
        <f t="shared" si="556"/>
        <v>464.51612903225805</v>
      </c>
    </row>
    <row r="1938" spans="2:19" outlineLevel="1">
      <c r="B1938" s="13" t="s">
        <v>134</v>
      </c>
      <c r="C1938" s="7" t="str">
        <f t="shared" si="555"/>
        <v>ROLO COMPACTADORES HAMM 341 CHASSIS H180.4635</v>
      </c>
      <c r="D1938" s="8">
        <f t="shared" si="553"/>
        <v>46102</v>
      </c>
      <c r="E1938" s="15"/>
      <c r="F1938" s="15"/>
      <c r="G1938" s="15">
        <f t="shared" si="558"/>
        <v>0</v>
      </c>
      <c r="H1938" s="16" t="s">
        <v>238</v>
      </c>
      <c r="I1938" s="10">
        <f t="shared" si="557"/>
        <v>464.51612903225805</v>
      </c>
      <c r="J1938" s="16" t="s">
        <v>16</v>
      </c>
      <c r="K1938" s="15"/>
      <c r="L1938" s="15"/>
      <c r="M1938" s="17"/>
      <c r="N1938" s="9"/>
      <c r="O1938" s="18">
        <f t="shared" si="559"/>
        <v>0</v>
      </c>
      <c r="P1938" s="9"/>
      <c r="Q1938" s="9"/>
      <c r="R1938" s="9"/>
      <c r="S1938" s="10">
        <f t="shared" si="556"/>
        <v>464.51612903225805</v>
      </c>
    </row>
    <row r="1939" spans="2:19" outlineLevel="1">
      <c r="B1939" s="13" t="s">
        <v>134</v>
      </c>
      <c r="C1939" s="7" t="str">
        <f t="shared" si="555"/>
        <v>ROLO COMPACTADORES HAMM 341 CHASSIS H180.4635</v>
      </c>
      <c r="D1939" s="8">
        <f t="shared" si="553"/>
        <v>46103</v>
      </c>
      <c r="E1939" s="15"/>
      <c r="F1939" s="15"/>
      <c r="G1939" s="15">
        <f t="shared" si="558"/>
        <v>0</v>
      </c>
      <c r="H1939" s="16" t="s">
        <v>238</v>
      </c>
      <c r="I1939" s="10">
        <f t="shared" si="557"/>
        <v>464.51612903225805</v>
      </c>
      <c r="J1939" s="16" t="s">
        <v>16</v>
      </c>
      <c r="K1939" s="15"/>
      <c r="L1939" s="15"/>
      <c r="M1939" s="17"/>
      <c r="N1939" s="9"/>
      <c r="O1939" s="18">
        <f t="shared" si="559"/>
        <v>0</v>
      </c>
      <c r="P1939" s="9"/>
      <c r="Q1939" s="9"/>
      <c r="R1939" s="9"/>
      <c r="S1939" s="10">
        <f t="shared" si="556"/>
        <v>464.51612903225805</v>
      </c>
    </row>
    <row r="1940" spans="2:19" outlineLevel="1">
      <c r="B1940" s="13" t="s">
        <v>134</v>
      </c>
      <c r="C1940" s="7" t="str">
        <f t="shared" si="555"/>
        <v>ROLO COMPACTADORES HAMM 341 CHASSIS H180.4635</v>
      </c>
      <c r="D1940" s="8">
        <f t="shared" si="553"/>
        <v>46104</v>
      </c>
      <c r="E1940" s="15"/>
      <c r="F1940" s="15"/>
      <c r="G1940" s="15">
        <f t="shared" si="558"/>
        <v>0</v>
      </c>
      <c r="H1940" s="16" t="s">
        <v>238</v>
      </c>
      <c r="I1940" s="10">
        <f t="shared" si="557"/>
        <v>464.51612903225805</v>
      </c>
      <c r="J1940" s="16" t="s">
        <v>16</v>
      </c>
      <c r="K1940" s="15"/>
      <c r="L1940" s="15"/>
      <c r="M1940" s="17"/>
      <c r="N1940" s="9"/>
      <c r="O1940" s="18">
        <f t="shared" si="559"/>
        <v>0</v>
      </c>
      <c r="P1940" s="9"/>
      <c r="Q1940" s="9"/>
      <c r="R1940" s="9"/>
      <c r="S1940" s="10">
        <f t="shared" si="556"/>
        <v>464.51612903225805</v>
      </c>
    </row>
    <row r="1941" spans="2:19" outlineLevel="1">
      <c r="B1941" s="13" t="s">
        <v>134</v>
      </c>
      <c r="C1941" s="7" t="str">
        <f t="shared" si="555"/>
        <v>ROLO COMPACTADORES HAMM 341 CHASSIS H180.4635</v>
      </c>
      <c r="D1941" s="8">
        <f t="shared" si="553"/>
        <v>46105</v>
      </c>
      <c r="E1941" s="15"/>
      <c r="F1941" s="15"/>
      <c r="G1941" s="15">
        <f t="shared" si="558"/>
        <v>0</v>
      </c>
      <c r="H1941" s="16" t="s">
        <v>238</v>
      </c>
      <c r="I1941" s="10">
        <f t="shared" si="557"/>
        <v>464.51612903225805</v>
      </c>
      <c r="J1941" s="16"/>
      <c r="K1941" s="15"/>
      <c r="L1941" s="15"/>
      <c r="M1941" s="17"/>
      <c r="N1941" s="9"/>
      <c r="O1941" s="18">
        <f t="shared" si="559"/>
        <v>0</v>
      </c>
      <c r="P1941" s="9"/>
      <c r="Q1941" s="9"/>
      <c r="R1941" s="9"/>
      <c r="S1941" s="10">
        <f t="shared" si="556"/>
        <v>464.51612903225805</v>
      </c>
    </row>
    <row r="1942" spans="2:19" outlineLevel="1">
      <c r="B1942" s="13" t="s">
        <v>134</v>
      </c>
      <c r="C1942" s="7" t="str">
        <f t="shared" si="555"/>
        <v>ROLO COMPACTADORES HAMM 341 CHASSIS H180.4635</v>
      </c>
      <c r="D1942" s="8">
        <f t="shared" si="553"/>
        <v>46106</v>
      </c>
      <c r="E1942" s="15"/>
      <c r="F1942" s="15"/>
      <c r="G1942" s="15">
        <f t="shared" si="558"/>
        <v>0</v>
      </c>
      <c r="H1942" s="16" t="s">
        <v>238</v>
      </c>
      <c r="I1942" s="10">
        <f t="shared" si="557"/>
        <v>464.51612903225805</v>
      </c>
      <c r="J1942" s="16" t="s">
        <v>16</v>
      </c>
      <c r="K1942" s="15"/>
      <c r="L1942" s="15"/>
      <c r="M1942" s="17"/>
      <c r="N1942" s="9"/>
      <c r="O1942" s="18">
        <f t="shared" si="559"/>
        <v>0</v>
      </c>
      <c r="P1942" s="9"/>
      <c r="Q1942" s="9"/>
      <c r="R1942" s="9"/>
      <c r="S1942" s="10">
        <f t="shared" si="556"/>
        <v>464.51612903225805</v>
      </c>
    </row>
    <row r="1943" spans="2:19" outlineLevel="1">
      <c r="B1943" s="13" t="s">
        <v>134</v>
      </c>
      <c r="C1943" s="7" t="str">
        <f t="shared" si="555"/>
        <v>ROLO COMPACTADORES HAMM 341 CHASSIS H180.4635</v>
      </c>
      <c r="D1943" s="8">
        <f t="shared" si="553"/>
        <v>46107</v>
      </c>
      <c r="E1943" s="15"/>
      <c r="F1943" s="15"/>
      <c r="G1943" s="15">
        <f t="shared" si="558"/>
        <v>0</v>
      </c>
      <c r="H1943" s="16" t="s">
        <v>238</v>
      </c>
      <c r="I1943" s="10">
        <f t="shared" si="557"/>
        <v>464.51612903225805</v>
      </c>
      <c r="J1943" s="16" t="s">
        <v>16</v>
      </c>
      <c r="K1943" s="15"/>
      <c r="L1943" s="15"/>
      <c r="M1943" s="17"/>
      <c r="N1943" s="9"/>
      <c r="O1943" s="18">
        <f t="shared" si="559"/>
        <v>0</v>
      </c>
      <c r="P1943" s="9"/>
      <c r="Q1943" s="9"/>
      <c r="R1943" s="9"/>
      <c r="S1943" s="10">
        <f t="shared" si="556"/>
        <v>464.51612903225805</v>
      </c>
    </row>
    <row r="1944" spans="2:19" outlineLevel="1">
      <c r="B1944" s="13" t="s">
        <v>134</v>
      </c>
      <c r="C1944" s="7" t="str">
        <f t="shared" si="555"/>
        <v>ROLO COMPACTADORES HAMM 341 CHASSIS H180.4635</v>
      </c>
      <c r="D1944" s="8">
        <f t="shared" si="553"/>
        <v>46108</v>
      </c>
      <c r="E1944" s="15"/>
      <c r="F1944" s="15"/>
      <c r="G1944" s="15">
        <f t="shared" si="558"/>
        <v>0</v>
      </c>
      <c r="H1944" s="16" t="s">
        <v>238</v>
      </c>
      <c r="I1944" s="10">
        <f t="shared" si="557"/>
        <v>464.51612903225805</v>
      </c>
      <c r="J1944" s="16" t="s">
        <v>16</v>
      </c>
      <c r="K1944" s="15"/>
      <c r="L1944" s="15"/>
      <c r="M1944" s="17"/>
      <c r="N1944" s="9"/>
      <c r="O1944" s="18">
        <f t="shared" si="559"/>
        <v>0</v>
      </c>
      <c r="P1944" s="9"/>
      <c r="Q1944" s="9"/>
      <c r="R1944" s="9"/>
      <c r="S1944" s="10">
        <f t="shared" si="556"/>
        <v>464.51612903225805</v>
      </c>
    </row>
    <row r="1945" spans="2:19" outlineLevel="1">
      <c r="B1945" s="13" t="s">
        <v>134</v>
      </c>
      <c r="C1945" s="7" t="str">
        <f t="shared" si="555"/>
        <v>ROLO COMPACTADORES HAMM 341 CHASSIS H180.4635</v>
      </c>
      <c r="D1945" s="8">
        <f t="shared" ref="D1945" si="560">D1877</f>
        <v>46109</v>
      </c>
      <c r="E1945" s="15"/>
      <c r="F1945" s="15"/>
      <c r="G1945" s="15">
        <f t="shared" si="558"/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1">SUM(R1945+Q1945+I1945)</f>
        <v>464.51612903225805</v>
      </c>
    </row>
    <row r="1946" spans="2:19" outlineLevel="1">
      <c r="B1946" s="13" t="s">
        <v>134</v>
      </c>
      <c r="C1946" s="7" t="str">
        <f t="shared" si="555"/>
        <v>ROLO COMPACTADORES HAMM 341 CHASSIS H180.4635</v>
      </c>
      <c r="D1946" s="8">
        <f t="shared" ref="D1946:D1948" si="562">D1878</f>
        <v>46110</v>
      </c>
      <c r="E1946" s="15"/>
      <c r="F1946" s="15"/>
      <c r="G1946" s="15">
        <f t="shared" si="558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1"/>
        <v>464.51612903225805</v>
      </c>
    </row>
    <row r="1947" spans="2:19" outlineLevel="1">
      <c r="B1947" s="13" t="s">
        <v>134</v>
      </c>
      <c r="C1947" s="7" t="str">
        <f t="shared" si="555"/>
        <v>ROLO COMPACTADORES HAMM 341 CHASSIS H180.4635</v>
      </c>
      <c r="D1947" s="8">
        <f t="shared" si="562"/>
        <v>46111</v>
      </c>
      <c r="E1947" s="15"/>
      <c r="F1947" s="15"/>
      <c r="G1947" s="15">
        <f t="shared" si="558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1"/>
        <v>464.51612903225805</v>
      </c>
    </row>
    <row r="1948" spans="2:19" outlineLevel="1">
      <c r="B1948" s="13" t="s">
        <v>134</v>
      </c>
      <c r="C1948" s="7" t="str">
        <f t="shared" si="555"/>
        <v>ROLO COMPACTADORES HAMM 341 CHASSIS H180.4635</v>
      </c>
      <c r="D1948" s="8">
        <f t="shared" si="562"/>
        <v>46112</v>
      </c>
      <c r="E1948" s="15"/>
      <c r="F1948" s="15"/>
      <c r="G1948" s="15">
        <f t="shared" si="558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6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3">C$1950</f>
        <v>VAM JUMPES CITROEM PLACA KXJ 6C87</v>
      </c>
      <c r="D1952" s="8">
        <f t="shared" ref="D1952:D1978" si="564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3"/>
        <v>VAM JUMPES CITROEM PLACA KXJ 6C87</v>
      </c>
      <c r="D1953" s="8">
        <f t="shared" si="564"/>
        <v>46083</v>
      </c>
      <c r="E1953" s="15"/>
      <c r="F1953" s="15"/>
      <c r="G1953" s="15">
        <f t="shared" ref="G1953:G1982" si="565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6">SUM(R1953+Q1953+I1953)</f>
        <v>193.54838709677421</v>
      </c>
    </row>
    <row r="1954" spans="2:19" outlineLevel="1">
      <c r="B1954" s="13" t="s">
        <v>136</v>
      </c>
      <c r="C1954" s="7" t="str">
        <f t="shared" si="563"/>
        <v>VAM JUMPES CITROEM PLACA KXJ 6C87</v>
      </c>
      <c r="D1954" s="8">
        <f t="shared" si="564"/>
        <v>46084</v>
      </c>
      <c r="E1954" s="15"/>
      <c r="F1954" s="15"/>
      <c r="G1954" s="15">
        <f t="shared" si="565"/>
        <v>0</v>
      </c>
      <c r="H1954" s="16" t="s">
        <v>6</v>
      </c>
      <c r="I1954" s="10">
        <f t="shared" ref="I1954:I1978" si="567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6"/>
        <v>193.54838709677421</v>
      </c>
    </row>
    <row r="1955" spans="2:19" outlineLevel="1">
      <c r="B1955" s="13" t="s">
        <v>136</v>
      </c>
      <c r="C1955" s="7" t="str">
        <f t="shared" si="563"/>
        <v>VAM JUMPES CITROEM PLACA KXJ 6C87</v>
      </c>
      <c r="D1955" s="8">
        <f t="shared" si="564"/>
        <v>46085</v>
      </c>
      <c r="E1955" s="15"/>
      <c r="F1955" s="15"/>
      <c r="G1955" s="15">
        <f t="shared" si="565"/>
        <v>0</v>
      </c>
      <c r="H1955" s="16" t="s">
        <v>6</v>
      </c>
      <c r="I1955" s="10">
        <f t="shared" si="567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6"/>
        <v>193.54838709677421</v>
      </c>
    </row>
    <row r="1956" spans="2:19" outlineLevel="1">
      <c r="B1956" s="13" t="s">
        <v>136</v>
      </c>
      <c r="C1956" s="7" t="str">
        <f t="shared" si="563"/>
        <v>VAM JUMPES CITROEM PLACA KXJ 6C87</v>
      </c>
      <c r="D1956" s="8">
        <f t="shared" si="564"/>
        <v>46086</v>
      </c>
      <c r="E1956" s="15"/>
      <c r="F1956" s="15"/>
      <c r="G1956" s="15">
        <f t="shared" si="565"/>
        <v>0</v>
      </c>
      <c r="H1956" s="16" t="s">
        <v>6</v>
      </c>
      <c r="I1956" s="10">
        <f t="shared" si="567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6"/>
        <v>193.54838709677421</v>
      </c>
    </row>
    <row r="1957" spans="2:19" outlineLevel="1">
      <c r="B1957" s="13" t="s">
        <v>136</v>
      </c>
      <c r="C1957" s="7" t="str">
        <f t="shared" si="563"/>
        <v>VAM JUMPES CITROEM PLACA KXJ 6C87</v>
      </c>
      <c r="D1957" s="8">
        <f t="shared" si="564"/>
        <v>46087</v>
      </c>
      <c r="E1957" s="15"/>
      <c r="F1957" s="15"/>
      <c r="G1957" s="15">
        <f t="shared" si="565"/>
        <v>0</v>
      </c>
      <c r="H1957" s="16" t="s">
        <v>6</v>
      </c>
      <c r="I1957" s="10">
        <f t="shared" si="567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8">O1956</f>
        <v>0</v>
      </c>
      <c r="P1957" s="9"/>
      <c r="Q1957" s="9"/>
      <c r="R1957" s="9"/>
      <c r="S1957" s="10">
        <f t="shared" si="566"/>
        <v>193.54838709677421</v>
      </c>
    </row>
    <row r="1958" spans="2:19" outlineLevel="1">
      <c r="B1958" s="13" t="s">
        <v>136</v>
      </c>
      <c r="C1958" s="7" t="str">
        <f t="shared" si="563"/>
        <v>VAM JUMPES CITROEM PLACA KXJ 6C87</v>
      </c>
      <c r="D1958" s="8">
        <f t="shared" si="564"/>
        <v>46088</v>
      </c>
      <c r="E1958" s="15"/>
      <c r="F1958" s="15"/>
      <c r="G1958" s="15">
        <f t="shared" si="565"/>
        <v>0</v>
      </c>
      <c r="H1958" s="16" t="s">
        <v>6</v>
      </c>
      <c r="I1958" s="10">
        <f t="shared" si="567"/>
        <v>193.54838709677421</v>
      </c>
      <c r="J1958" s="16" t="s">
        <v>201</v>
      </c>
      <c r="K1958" s="15"/>
      <c r="L1958" s="15"/>
      <c r="M1958" s="17"/>
      <c r="N1958" s="8"/>
      <c r="O1958" s="18">
        <f t="shared" si="568"/>
        <v>0</v>
      </c>
      <c r="P1958" s="9"/>
      <c r="Q1958" s="9"/>
      <c r="R1958" s="9"/>
      <c r="S1958" s="10">
        <f t="shared" si="566"/>
        <v>193.54838709677421</v>
      </c>
    </row>
    <row r="1959" spans="2:19" outlineLevel="1">
      <c r="B1959" s="13" t="s">
        <v>136</v>
      </c>
      <c r="C1959" s="7" t="str">
        <f t="shared" si="563"/>
        <v>VAM JUMPES CITROEM PLACA KXJ 6C87</v>
      </c>
      <c r="D1959" s="8">
        <f t="shared" si="564"/>
        <v>46089</v>
      </c>
      <c r="E1959" s="15"/>
      <c r="F1959" s="15"/>
      <c r="G1959" s="15">
        <f t="shared" si="565"/>
        <v>0</v>
      </c>
      <c r="H1959" s="16" t="s">
        <v>6</v>
      </c>
      <c r="I1959" s="10">
        <f t="shared" si="567"/>
        <v>193.54838709677421</v>
      </c>
      <c r="J1959" s="16" t="s">
        <v>201</v>
      </c>
      <c r="K1959" s="15"/>
      <c r="L1959" s="15"/>
      <c r="M1959" s="17"/>
      <c r="N1959" s="8"/>
      <c r="O1959" s="18">
        <f t="shared" si="568"/>
        <v>0</v>
      </c>
      <c r="P1959" s="9"/>
      <c r="Q1959" s="9"/>
      <c r="R1959" s="9"/>
      <c r="S1959" s="10">
        <f t="shared" si="566"/>
        <v>193.54838709677421</v>
      </c>
    </row>
    <row r="1960" spans="2:19" outlineLevel="1">
      <c r="B1960" s="13" t="s">
        <v>136</v>
      </c>
      <c r="C1960" s="7" t="str">
        <f t="shared" si="563"/>
        <v>VAM JUMPES CITROEM PLACA KXJ 6C87</v>
      </c>
      <c r="D1960" s="8">
        <f t="shared" si="564"/>
        <v>46090</v>
      </c>
      <c r="E1960" s="15"/>
      <c r="F1960" s="15"/>
      <c r="G1960" s="15">
        <f t="shared" si="565"/>
        <v>0</v>
      </c>
      <c r="H1960" s="16" t="s">
        <v>6</v>
      </c>
      <c r="I1960" s="10">
        <f t="shared" si="567"/>
        <v>193.54838709677421</v>
      </c>
      <c r="J1960" s="16" t="s">
        <v>201</v>
      </c>
      <c r="K1960" s="15"/>
      <c r="L1960" s="15"/>
      <c r="M1960" s="17"/>
      <c r="N1960" s="8"/>
      <c r="O1960" s="18">
        <f t="shared" si="568"/>
        <v>0</v>
      </c>
      <c r="P1960" s="9"/>
      <c r="Q1960" s="9"/>
      <c r="R1960" s="9"/>
      <c r="S1960" s="10">
        <f t="shared" si="566"/>
        <v>193.54838709677421</v>
      </c>
    </row>
    <row r="1961" spans="2:19" outlineLevel="1">
      <c r="B1961" s="13" t="s">
        <v>136</v>
      </c>
      <c r="C1961" s="7" t="str">
        <f t="shared" si="563"/>
        <v>VAM JUMPES CITROEM PLACA KXJ 6C87</v>
      </c>
      <c r="D1961" s="8">
        <f t="shared" si="564"/>
        <v>46091</v>
      </c>
      <c r="E1961" s="15"/>
      <c r="F1961" s="15"/>
      <c r="G1961" s="15">
        <f t="shared" si="565"/>
        <v>0</v>
      </c>
      <c r="H1961" s="16" t="s">
        <v>6</v>
      </c>
      <c r="I1961" s="10">
        <f t="shared" si="567"/>
        <v>193.54838709677421</v>
      </c>
      <c r="J1961" s="16" t="s">
        <v>201</v>
      </c>
      <c r="K1961" s="15"/>
      <c r="L1961" s="15"/>
      <c r="M1961" s="17"/>
      <c r="N1961" s="8"/>
      <c r="O1961" s="18">
        <f t="shared" si="568"/>
        <v>0</v>
      </c>
      <c r="P1961" s="9"/>
      <c r="Q1961" s="9"/>
      <c r="R1961" s="9"/>
      <c r="S1961" s="10">
        <f t="shared" si="566"/>
        <v>193.54838709677421</v>
      </c>
    </row>
    <row r="1962" spans="2:19" outlineLevel="1">
      <c r="B1962" s="13" t="s">
        <v>136</v>
      </c>
      <c r="C1962" s="7" t="str">
        <f t="shared" si="563"/>
        <v>VAM JUMPES CITROEM PLACA KXJ 6C87</v>
      </c>
      <c r="D1962" s="8">
        <f t="shared" si="564"/>
        <v>46092</v>
      </c>
      <c r="E1962" s="15"/>
      <c r="F1962" s="15"/>
      <c r="G1962" s="15">
        <f t="shared" si="565"/>
        <v>0</v>
      </c>
      <c r="H1962" s="16" t="s">
        <v>6</v>
      </c>
      <c r="I1962" s="10">
        <f t="shared" si="567"/>
        <v>193.54838709677421</v>
      </c>
      <c r="J1962" s="16" t="s">
        <v>201</v>
      </c>
      <c r="K1962" s="15"/>
      <c r="L1962" s="15"/>
      <c r="M1962" s="17"/>
      <c r="N1962" s="8"/>
      <c r="O1962" s="18">
        <f t="shared" si="568"/>
        <v>0</v>
      </c>
      <c r="P1962" s="9"/>
      <c r="Q1962" s="9"/>
      <c r="R1962" s="9"/>
      <c r="S1962" s="10">
        <f t="shared" si="566"/>
        <v>193.54838709677421</v>
      </c>
    </row>
    <row r="1963" spans="2:19" outlineLevel="1">
      <c r="B1963" s="13" t="s">
        <v>136</v>
      </c>
      <c r="C1963" s="7" t="str">
        <f t="shared" si="563"/>
        <v>VAM JUMPES CITROEM PLACA KXJ 6C87</v>
      </c>
      <c r="D1963" s="8">
        <f t="shared" si="564"/>
        <v>46093</v>
      </c>
      <c r="E1963" s="15"/>
      <c r="F1963" s="15"/>
      <c r="G1963" s="15">
        <f t="shared" si="565"/>
        <v>0</v>
      </c>
      <c r="H1963" s="16" t="s">
        <v>6</v>
      </c>
      <c r="I1963" s="10">
        <f t="shared" si="567"/>
        <v>193.54838709677421</v>
      </c>
      <c r="J1963" s="16" t="s">
        <v>201</v>
      </c>
      <c r="K1963" s="15"/>
      <c r="L1963" s="15"/>
      <c r="M1963" s="17"/>
      <c r="N1963" s="8"/>
      <c r="O1963" s="18">
        <f t="shared" si="568"/>
        <v>0</v>
      </c>
      <c r="P1963" s="9"/>
      <c r="Q1963" s="9"/>
      <c r="R1963" s="9"/>
      <c r="S1963" s="10">
        <f t="shared" si="566"/>
        <v>193.54838709677421</v>
      </c>
    </row>
    <row r="1964" spans="2:19" outlineLevel="1">
      <c r="B1964" s="13" t="s">
        <v>136</v>
      </c>
      <c r="C1964" s="7" t="str">
        <f t="shared" si="563"/>
        <v>VAM JUMPES CITROEM PLACA KXJ 6C87</v>
      </c>
      <c r="D1964" s="8">
        <f t="shared" si="564"/>
        <v>46094</v>
      </c>
      <c r="E1964" s="15"/>
      <c r="F1964" s="15"/>
      <c r="G1964" s="15">
        <f t="shared" si="565"/>
        <v>0</v>
      </c>
      <c r="H1964" s="16" t="s">
        <v>6</v>
      </c>
      <c r="I1964" s="10">
        <f t="shared" si="567"/>
        <v>193.54838709677421</v>
      </c>
      <c r="J1964" s="16" t="s">
        <v>201</v>
      </c>
      <c r="K1964" s="15"/>
      <c r="L1964" s="15"/>
      <c r="M1964" s="17"/>
      <c r="N1964" s="8"/>
      <c r="O1964" s="18">
        <f t="shared" si="568"/>
        <v>0</v>
      </c>
      <c r="P1964" s="9"/>
      <c r="Q1964" s="9"/>
      <c r="R1964" s="9"/>
      <c r="S1964" s="10">
        <f t="shared" si="566"/>
        <v>193.54838709677421</v>
      </c>
    </row>
    <row r="1965" spans="2:19" outlineLevel="1">
      <c r="B1965" s="13" t="s">
        <v>136</v>
      </c>
      <c r="C1965" s="7" t="str">
        <f t="shared" si="563"/>
        <v>VAM JUMPES CITROEM PLACA KXJ 6C87</v>
      </c>
      <c r="D1965" s="8">
        <f t="shared" si="564"/>
        <v>46095</v>
      </c>
      <c r="E1965" s="15"/>
      <c r="F1965" s="15"/>
      <c r="G1965" s="15">
        <f t="shared" si="565"/>
        <v>0</v>
      </c>
      <c r="H1965" s="16" t="s">
        <v>6</v>
      </c>
      <c r="I1965" s="10">
        <f t="shared" si="567"/>
        <v>193.54838709677421</v>
      </c>
      <c r="J1965" s="16" t="s">
        <v>201</v>
      </c>
      <c r="K1965" s="15"/>
      <c r="L1965" s="15"/>
      <c r="M1965" s="17"/>
      <c r="N1965" s="8"/>
      <c r="O1965" s="18">
        <f t="shared" si="568"/>
        <v>0</v>
      </c>
      <c r="P1965" s="9"/>
      <c r="Q1965" s="9"/>
      <c r="R1965" s="9"/>
      <c r="S1965" s="10">
        <f t="shared" si="566"/>
        <v>193.54838709677421</v>
      </c>
    </row>
    <row r="1966" spans="2:19" outlineLevel="1">
      <c r="B1966" s="13" t="s">
        <v>136</v>
      </c>
      <c r="C1966" s="7" t="str">
        <f t="shared" si="563"/>
        <v>VAM JUMPES CITROEM PLACA KXJ 6C87</v>
      </c>
      <c r="D1966" s="8">
        <f t="shared" si="564"/>
        <v>46096</v>
      </c>
      <c r="E1966" s="15"/>
      <c r="F1966" s="15"/>
      <c r="G1966" s="15">
        <f t="shared" si="565"/>
        <v>0</v>
      </c>
      <c r="H1966" s="16" t="s">
        <v>6</v>
      </c>
      <c r="I1966" s="10">
        <f t="shared" si="567"/>
        <v>193.54838709677421</v>
      </c>
      <c r="J1966" s="16" t="s">
        <v>201</v>
      </c>
      <c r="K1966" s="15"/>
      <c r="L1966" s="15"/>
      <c r="M1966" s="17"/>
      <c r="N1966" s="8"/>
      <c r="O1966" s="18">
        <f t="shared" si="568"/>
        <v>0</v>
      </c>
      <c r="P1966" s="9"/>
      <c r="Q1966" s="9"/>
      <c r="R1966" s="9"/>
      <c r="S1966" s="10">
        <f t="shared" si="566"/>
        <v>193.54838709677421</v>
      </c>
    </row>
    <row r="1967" spans="2:19" outlineLevel="1">
      <c r="B1967" s="13" t="s">
        <v>136</v>
      </c>
      <c r="C1967" s="7" t="str">
        <f t="shared" si="563"/>
        <v>VAM JUMPES CITROEM PLACA KXJ 6C87</v>
      </c>
      <c r="D1967" s="8">
        <f t="shared" si="564"/>
        <v>46097</v>
      </c>
      <c r="E1967" s="15"/>
      <c r="F1967" s="15"/>
      <c r="G1967" s="15">
        <f t="shared" si="565"/>
        <v>0</v>
      </c>
      <c r="H1967" s="16" t="s">
        <v>6</v>
      </c>
      <c r="I1967" s="10">
        <f t="shared" si="567"/>
        <v>193.54838709677421</v>
      </c>
      <c r="J1967" s="16" t="s">
        <v>201</v>
      </c>
      <c r="K1967" s="15"/>
      <c r="L1967" s="15"/>
      <c r="M1967" s="17"/>
      <c r="N1967" s="8"/>
      <c r="O1967" s="18">
        <f t="shared" si="568"/>
        <v>0</v>
      </c>
      <c r="P1967" s="9"/>
      <c r="Q1967" s="9"/>
      <c r="R1967" s="9"/>
      <c r="S1967" s="10">
        <f t="shared" si="566"/>
        <v>193.54838709677421</v>
      </c>
    </row>
    <row r="1968" spans="2:19" outlineLevel="1">
      <c r="B1968" s="13" t="s">
        <v>136</v>
      </c>
      <c r="C1968" s="7" t="str">
        <f t="shared" si="563"/>
        <v>VAM JUMPES CITROEM PLACA KXJ 6C87</v>
      </c>
      <c r="D1968" s="8">
        <f t="shared" si="564"/>
        <v>46098</v>
      </c>
      <c r="E1968" s="15"/>
      <c r="F1968" s="15"/>
      <c r="G1968" s="15">
        <f t="shared" si="565"/>
        <v>0</v>
      </c>
      <c r="H1968" s="16" t="s">
        <v>6</v>
      </c>
      <c r="I1968" s="10">
        <f t="shared" si="567"/>
        <v>193.54838709677421</v>
      </c>
      <c r="J1968" s="16" t="s">
        <v>201</v>
      </c>
      <c r="K1968" s="15"/>
      <c r="L1968" s="15"/>
      <c r="M1968" s="17"/>
      <c r="N1968" s="8"/>
      <c r="O1968" s="18">
        <f t="shared" si="568"/>
        <v>0</v>
      </c>
      <c r="P1968" s="9"/>
      <c r="Q1968" s="9"/>
      <c r="R1968" s="9"/>
      <c r="S1968" s="10">
        <f t="shared" si="566"/>
        <v>193.54838709677421</v>
      </c>
    </row>
    <row r="1969" spans="2:19" outlineLevel="1">
      <c r="B1969" s="13" t="s">
        <v>136</v>
      </c>
      <c r="C1969" s="7" t="str">
        <f t="shared" si="563"/>
        <v>VAM JUMPES CITROEM PLACA KXJ 6C87</v>
      </c>
      <c r="D1969" s="8">
        <f t="shared" si="564"/>
        <v>46099</v>
      </c>
      <c r="E1969" s="15"/>
      <c r="F1969" s="15"/>
      <c r="G1969" s="15">
        <f t="shared" si="565"/>
        <v>0</v>
      </c>
      <c r="H1969" s="16" t="s">
        <v>6</v>
      </c>
      <c r="I1969" s="10">
        <f t="shared" si="567"/>
        <v>193.54838709677421</v>
      </c>
      <c r="J1969" s="16" t="s">
        <v>201</v>
      </c>
      <c r="K1969" s="15"/>
      <c r="L1969" s="15"/>
      <c r="M1969" s="17"/>
      <c r="N1969" s="8"/>
      <c r="O1969" s="18">
        <f t="shared" si="568"/>
        <v>0</v>
      </c>
      <c r="P1969" s="9"/>
      <c r="Q1969" s="9"/>
      <c r="R1969" s="9"/>
      <c r="S1969" s="10">
        <f t="shared" si="566"/>
        <v>193.54838709677421</v>
      </c>
    </row>
    <row r="1970" spans="2:19" outlineLevel="1">
      <c r="B1970" s="13" t="s">
        <v>136</v>
      </c>
      <c r="C1970" s="7" t="str">
        <f t="shared" si="563"/>
        <v>VAM JUMPES CITROEM PLACA KXJ 6C87</v>
      </c>
      <c r="D1970" s="8">
        <f t="shared" si="564"/>
        <v>46100</v>
      </c>
      <c r="E1970" s="15"/>
      <c r="F1970" s="15"/>
      <c r="G1970" s="15">
        <f t="shared" si="565"/>
        <v>0</v>
      </c>
      <c r="H1970" s="16" t="s">
        <v>6</v>
      </c>
      <c r="I1970" s="10">
        <f t="shared" si="567"/>
        <v>193.54838709677421</v>
      </c>
      <c r="J1970" s="16" t="s">
        <v>201</v>
      </c>
      <c r="K1970" s="15"/>
      <c r="L1970" s="15"/>
      <c r="M1970" s="17"/>
      <c r="N1970" s="8"/>
      <c r="O1970" s="18">
        <f t="shared" si="568"/>
        <v>0</v>
      </c>
      <c r="P1970" s="9"/>
      <c r="Q1970" s="9"/>
      <c r="R1970" s="9"/>
      <c r="S1970" s="10">
        <f t="shared" si="566"/>
        <v>193.54838709677421</v>
      </c>
    </row>
    <row r="1971" spans="2:19" outlineLevel="1">
      <c r="B1971" s="13" t="s">
        <v>136</v>
      </c>
      <c r="C1971" s="7" t="str">
        <f t="shared" si="563"/>
        <v>VAM JUMPES CITROEM PLACA KXJ 6C87</v>
      </c>
      <c r="D1971" s="8">
        <f t="shared" si="564"/>
        <v>46101</v>
      </c>
      <c r="E1971" s="15"/>
      <c r="F1971" s="15"/>
      <c r="G1971" s="15">
        <f t="shared" si="565"/>
        <v>0</v>
      </c>
      <c r="H1971" s="16" t="s">
        <v>6</v>
      </c>
      <c r="I1971" s="10">
        <f t="shared" si="567"/>
        <v>193.54838709677421</v>
      </c>
      <c r="J1971" s="16" t="s">
        <v>201</v>
      </c>
      <c r="K1971" s="15"/>
      <c r="L1971" s="15"/>
      <c r="M1971" s="17"/>
      <c r="N1971" s="8"/>
      <c r="O1971" s="18">
        <f t="shared" si="568"/>
        <v>0</v>
      </c>
      <c r="P1971" s="9"/>
      <c r="Q1971" s="9"/>
      <c r="R1971" s="9"/>
      <c r="S1971" s="10">
        <f t="shared" si="566"/>
        <v>193.54838709677421</v>
      </c>
    </row>
    <row r="1972" spans="2:19" outlineLevel="1">
      <c r="B1972" s="13" t="s">
        <v>136</v>
      </c>
      <c r="C1972" s="7" t="str">
        <f t="shared" si="563"/>
        <v>VAM JUMPES CITROEM PLACA KXJ 6C87</v>
      </c>
      <c r="D1972" s="8">
        <f t="shared" si="564"/>
        <v>46102</v>
      </c>
      <c r="E1972" s="15"/>
      <c r="F1972" s="15"/>
      <c r="G1972" s="15">
        <f t="shared" si="565"/>
        <v>0</v>
      </c>
      <c r="H1972" s="16" t="s">
        <v>6</v>
      </c>
      <c r="I1972" s="10">
        <f t="shared" si="567"/>
        <v>193.54838709677421</v>
      </c>
      <c r="J1972" s="16" t="s">
        <v>201</v>
      </c>
      <c r="K1972" s="15"/>
      <c r="L1972" s="15"/>
      <c r="M1972" s="17"/>
      <c r="N1972" s="8"/>
      <c r="O1972" s="18">
        <f t="shared" si="568"/>
        <v>0</v>
      </c>
      <c r="P1972" s="9"/>
      <c r="Q1972" s="9"/>
      <c r="R1972" s="9"/>
      <c r="S1972" s="10">
        <f t="shared" si="566"/>
        <v>193.54838709677421</v>
      </c>
    </row>
    <row r="1973" spans="2:19" outlineLevel="1">
      <c r="B1973" s="13" t="s">
        <v>136</v>
      </c>
      <c r="C1973" s="7" t="str">
        <f t="shared" si="563"/>
        <v>VAM JUMPES CITROEM PLACA KXJ 6C87</v>
      </c>
      <c r="D1973" s="8">
        <f t="shared" si="564"/>
        <v>46103</v>
      </c>
      <c r="E1973" s="15"/>
      <c r="F1973" s="15"/>
      <c r="G1973" s="15">
        <f t="shared" si="565"/>
        <v>0</v>
      </c>
      <c r="H1973" s="16" t="s">
        <v>6</v>
      </c>
      <c r="I1973" s="10">
        <f t="shared" si="567"/>
        <v>193.54838709677421</v>
      </c>
      <c r="J1973" s="16" t="s">
        <v>201</v>
      </c>
      <c r="K1973" s="15"/>
      <c r="L1973" s="15"/>
      <c r="M1973" s="17"/>
      <c r="N1973" s="8"/>
      <c r="O1973" s="18">
        <f t="shared" si="568"/>
        <v>0</v>
      </c>
      <c r="P1973" s="9"/>
      <c r="Q1973" s="9"/>
      <c r="R1973" s="9"/>
      <c r="S1973" s="10">
        <f t="shared" si="566"/>
        <v>193.54838709677421</v>
      </c>
    </row>
    <row r="1974" spans="2:19" outlineLevel="1">
      <c r="B1974" s="13" t="s">
        <v>136</v>
      </c>
      <c r="C1974" s="7" t="str">
        <f t="shared" si="563"/>
        <v>VAM JUMPES CITROEM PLACA KXJ 6C87</v>
      </c>
      <c r="D1974" s="8">
        <f t="shared" si="564"/>
        <v>46104</v>
      </c>
      <c r="E1974" s="15"/>
      <c r="F1974" s="15"/>
      <c r="G1974" s="15">
        <f t="shared" si="565"/>
        <v>0</v>
      </c>
      <c r="H1974" s="16" t="s">
        <v>6</v>
      </c>
      <c r="I1974" s="10">
        <f t="shared" si="567"/>
        <v>193.54838709677421</v>
      </c>
      <c r="J1974" s="16" t="s">
        <v>201</v>
      </c>
      <c r="K1974" s="15"/>
      <c r="L1974" s="15"/>
      <c r="M1974" s="17"/>
      <c r="N1974" s="8"/>
      <c r="O1974" s="18">
        <f t="shared" si="568"/>
        <v>0</v>
      </c>
      <c r="P1974" s="9"/>
      <c r="Q1974" s="9"/>
      <c r="R1974" s="9"/>
      <c r="S1974" s="10">
        <f t="shared" si="566"/>
        <v>193.54838709677421</v>
      </c>
    </row>
    <row r="1975" spans="2:19" outlineLevel="1">
      <c r="B1975" s="13" t="s">
        <v>136</v>
      </c>
      <c r="C1975" s="7" t="str">
        <f t="shared" si="563"/>
        <v>VAM JUMPES CITROEM PLACA KXJ 6C87</v>
      </c>
      <c r="D1975" s="8">
        <f t="shared" si="564"/>
        <v>46105</v>
      </c>
      <c r="E1975" s="15"/>
      <c r="F1975" s="15"/>
      <c r="G1975" s="15">
        <f t="shared" si="565"/>
        <v>0</v>
      </c>
      <c r="H1975" s="16" t="s">
        <v>6</v>
      </c>
      <c r="I1975" s="10">
        <f t="shared" si="567"/>
        <v>193.54838709677421</v>
      </c>
      <c r="J1975" s="16" t="s">
        <v>201</v>
      </c>
      <c r="K1975" s="15"/>
      <c r="L1975" s="15"/>
      <c r="M1975" s="17"/>
      <c r="N1975" s="8"/>
      <c r="O1975" s="18">
        <f t="shared" si="568"/>
        <v>0</v>
      </c>
      <c r="P1975" s="9"/>
      <c r="Q1975" s="9"/>
      <c r="R1975" s="9"/>
      <c r="S1975" s="10">
        <f t="shared" si="566"/>
        <v>193.54838709677421</v>
      </c>
    </row>
    <row r="1976" spans="2:19" outlineLevel="1">
      <c r="B1976" s="13" t="s">
        <v>136</v>
      </c>
      <c r="C1976" s="7" t="str">
        <f t="shared" si="563"/>
        <v>VAM JUMPES CITROEM PLACA KXJ 6C87</v>
      </c>
      <c r="D1976" s="8">
        <f t="shared" si="564"/>
        <v>46106</v>
      </c>
      <c r="E1976" s="15"/>
      <c r="F1976" s="15"/>
      <c r="G1976" s="15">
        <f t="shared" si="565"/>
        <v>0</v>
      </c>
      <c r="H1976" s="16" t="s">
        <v>6</v>
      </c>
      <c r="I1976" s="10">
        <f t="shared" si="567"/>
        <v>193.54838709677421</v>
      </c>
      <c r="J1976" s="16" t="s">
        <v>201</v>
      </c>
      <c r="K1976" s="15"/>
      <c r="L1976" s="15"/>
      <c r="M1976" s="17"/>
      <c r="N1976" s="8"/>
      <c r="O1976" s="18">
        <f t="shared" si="568"/>
        <v>0</v>
      </c>
      <c r="P1976" s="9"/>
      <c r="Q1976" s="9"/>
      <c r="R1976" s="9"/>
      <c r="S1976" s="10">
        <f t="shared" si="566"/>
        <v>193.54838709677421</v>
      </c>
    </row>
    <row r="1977" spans="2:19" outlineLevel="1">
      <c r="B1977" s="13" t="s">
        <v>136</v>
      </c>
      <c r="C1977" s="7" t="str">
        <f t="shared" si="563"/>
        <v>VAM JUMPES CITROEM PLACA KXJ 6C87</v>
      </c>
      <c r="D1977" s="8">
        <f t="shared" si="564"/>
        <v>46107</v>
      </c>
      <c r="E1977" s="15"/>
      <c r="F1977" s="15"/>
      <c r="G1977" s="15">
        <f t="shared" si="565"/>
        <v>0</v>
      </c>
      <c r="H1977" s="16" t="s">
        <v>6</v>
      </c>
      <c r="I1977" s="10">
        <f t="shared" si="567"/>
        <v>193.54838709677421</v>
      </c>
      <c r="J1977" s="16" t="s">
        <v>201</v>
      </c>
      <c r="K1977" s="15"/>
      <c r="L1977" s="15"/>
      <c r="M1977" s="17"/>
      <c r="N1977" s="8"/>
      <c r="O1977" s="18">
        <f t="shared" si="568"/>
        <v>0</v>
      </c>
      <c r="P1977" s="9"/>
      <c r="Q1977" s="9"/>
      <c r="R1977" s="9"/>
      <c r="S1977" s="10">
        <f t="shared" si="566"/>
        <v>193.54838709677421</v>
      </c>
    </row>
    <row r="1978" spans="2:19" outlineLevel="1">
      <c r="B1978" s="13" t="s">
        <v>136</v>
      </c>
      <c r="C1978" s="7" t="str">
        <f t="shared" si="563"/>
        <v>VAM JUMPES CITROEM PLACA KXJ 6C87</v>
      </c>
      <c r="D1978" s="8">
        <f t="shared" si="564"/>
        <v>46108</v>
      </c>
      <c r="E1978" s="15"/>
      <c r="F1978" s="15"/>
      <c r="G1978" s="15">
        <f t="shared" si="565"/>
        <v>0</v>
      </c>
      <c r="H1978" s="16" t="s">
        <v>6</v>
      </c>
      <c r="I1978" s="10">
        <f t="shared" si="567"/>
        <v>193.54838709677421</v>
      </c>
      <c r="J1978" s="16" t="s">
        <v>201</v>
      </c>
      <c r="K1978" s="15"/>
      <c r="L1978" s="15"/>
      <c r="M1978" s="17"/>
      <c r="N1978" s="8"/>
      <c r="O1978" s="18">
        <f t="shared" si="568"/>
        <v>0</v>
      </c>
      <c r="P1978" s="9"/>
      <c r="Q1978" s="9"/>
      <c r="R1978" s="9"/>
      <c r="S1978" s="10">
        <f t="shared" si="566"/>
        <v>193.54838709677421</v>
      </c>
    </row>
    <row r="1979" spans="2:19" outlineLevel="1">
      <c r="B1979" s="13" t="s">
        <v>136</v>
      </c>
      <c r="C1979" s="7" t="str">
        <f t="shared" si="563"/>
        <v>VAM JUMPES CITROEM PLACA KXJ 6C87</v>
      </c>
      <c r="D1979" s="8">
        <f t="shared" ref="D1979" si="569">D1911</f>
        <v>46109</v>
      </c>
      <c r="E1979" s="15"/>
      <c r="F1979" s="15"/>
      <c r="G1979" s="15">
        <f t="shared" ref="G1979:G1981" si="570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1">SUM(R1979+Q1979+I1979)</f>
        <v>193.54838709677421</v>
      </c>
    </row>
    <row r="1980" spans="2:19" outlineLevel="1">
      <c r="B1980" s="13" t="s">
        <v>136</v>
      </c>
      <c r="C1980" s="7" t="str">
        <f t="shared" si="563"/>
        <v>VAM JUMPES CITROEM PLACA KXJ 6C87</v>
      </c>
      <c r="D1980" s="8">
        <f t="shared" ref="D1980:D1982" si="572">D1912</f>
        <v>46110</v>
      </c>
      <c r="E1980" s="15"/>
      <c r="F1980" s="15"/>
      <c r="G1980" s="15">
        <f t="shared" si="570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1"/>
        <v>193.54838709677421</v>
      </c>
    </row>
    <row r="1981" spans="2:19" outlineLevel="1">
      <c r="B1981" s="13" t="s">
        <v>136</v>
      </c>
      <c r="C1981" s="7" t="str">
        <f t="shared" si="563"/>
        <v>VAM JUMPES CITROEM PLACA KXJ 6C87</v>
      </c>
      <c r="D1981" s="8">
        <f t="shared" si="572"/>
        <v>46111</v>
      </c>
      <c r="E1981" s="15"/>
      <c r="F1981" s="15"/>
      <c r="G1981" s="15">
        <f t="shared" si="570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1"/>
        <v>193.54838709677421</v>
      </c>
    </row>
    <row r="1982" spans="2:19" outlineLevel="1">
      <c r="B1982" s="13" t="s">
        <v>136</v>
      </c>
      <c r="C1982" s="7" t="str">
        <f t="shared" si="563"/>
        <v>VAM JUMPES CITROEM PLACA KXJ 6C87</v>
      </c>
      <c r="D1982" s="8">
        <f t="shared" si="572"/>
        <v>46112</v>
      </c>
      <c r="E1982" s="15"/>
      <c r="F1982" s="15"/>
      <c r="G1982" s="15">
        <f t="shared" si="565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6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3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16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4">C$1984</f>
        <v>ESPARGIDOR VW 13190 ANO 2014 PLACA OYR-9B52</v>
      </c>
      <c r="D1987" s="8">
        <f t="shared" si="573"/>
        <v>46083</v>
      </c>
      <c r="E1987" s="15"/>
      <c r="F1987" s="15"/>
      <c r="G1987" s="15">
        <f t="shared" ref="G1987:G2016" si="575">F1987-E1987</f>
        <v>0</v>
      </c>
      <c r="H1987" s="16" t="s">
        <v>6</v>
      </c>
      <c r="I1987" s="10">
        <f>I1986</f>
        <v>0</v>
      </c>
      <c r="J1987" s="16" t="s">
        <v>16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6">SUM(R1987+Q1987+I1987)</f>
        <v>0</v>
      </c>
    </row>
    <row r="1988" spans="2:19" outlineLevel="1">
      <c r="B1988" s="13" t="s">
        <v>138</v>
      </c>
      <c r="C1988" s="7" t="str">
        <f t="shared" si="574"/>
        <v>ESPARGIDOR VW 13190 ANO 2014 PLACA OYR-9B52</v>
      </c>
      <c r="D1988" s="8">
        <f t="shared" si="573"/>
        <v>46084</v>
      </c>
      <c r="E1988" s="15"/>
      <c r="F1988" s="15"/>
      <c r="G1988" s="15">
        <f t="shared" si="575"/>
        <v>0</v>
      </c>
      <c r="H1988" s="16" t="s">
        <v>6</v>
      </c>
      <c r="I1988" s="10">
        <f t="shared" ref="I1988:I2012" si="577">I1987</f>
        <v>0</v>
      </c>
      <c r="J1988" s="16" t="s">
        <v>16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6"/>
        <v>0</v>
      </c>
    </row>
    <row r="1989" spans="2:19" outlineLevel="1">
      <c r="B1989" s="13" t="s">
        <v>138</v>
      </c>
      <c r="C1989" s="7" t="str">
        <f t="shared" si="574"/>
        <v>ESPARGIDOR VW 13190 ANO 2014 PLACA OYR-9B52</v>
      </c>
      <c r="D1989" s="8">
        <f t="shared" si="573"/>
        <v>46085</v>
      </c>
      <c r="E1989" s="15"/>
      <c r="F1989" s="15"/>
      <c r="G1989" s="15">
        <f t="shared" si="575"/>
        <v>0</v>
      </c>
      <c r="H1989" s="16" t="s">
        <v>6</v>
      </c>
      <c r="I1989" s="10">
        <f t="shared" si="577"/>
        <v>0</v>
      </c>
      <c r="J1989" s="16" t="s">
        <v>16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6"/>
        <v>0</v>
      </c>
    </row>
    <row r="1990" spans="2:19" outlineLevel="1">
      <c r="B1990" s="13" t="s">
        <v>138</v>
      </c>
      <c r="C1990" s="7" t="str">
        <f t="shared" si="574"/>
        <v>ESPARGIDOR VW 13190 ANO 2014 PLACA OYR-9B52</v>
      </c>
      <c r="D1990" s="8">
        <f t="shared" si="573"/>
        <v>46086</v>
      </c>
      <c r="E1990" s="15"/>
      <c r="F1990" s="15"/>
      <c r="G1990" s="15">
        <f t="shared" si="575"/>
        <v>0</v>
      </c>
      <c r="H1990" s="16" t="s">
        <v>6</v>
      </c>
      <c r="I1990" s="10">
        <f t="shared" si="577"/>
        <v>0</v>
      </c>
      <c r="J1990" s="16" t="s">
        <v>16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6"/>
        <v>0</v>
      </c>
    </row>
    <row r="1991" spans="2:19" outlineLevel="1">
      <c r="B1991" s="13" t="s">
        <v>138</v>
      </c>
      <c r="C1991" s="7" t="str">
        <f t="shared" si="574"/>
        <v>ESPARGIDOR VW 13190 ANO 2014 PLACA OYR-9B52</v>
      </c>
      <c r="D1991" s="8">
        <f t="shared" si="573"/>
        <v>46087</v>
      </c>
      <c r="E1991" s="15">
        <v>30245.4</v>
      </c>
      <c r="F1991" s="15">
        <v>30247.4</v>
      </c>
      <c r="G1991" s="15">
        <f t="shared" si="575"/>
        <v>2</v>
      </c>
      <c r="H1991" s="16" t="s">
        <v>6</v>
      </c>
      <c r="I1991" s="10">
        <f t="shared" si="577"/>
        <v>0</v>
      </c>
      <c r="J1991" s="16"/>
      <c r="K1991" s="15">
        <v>1</v>
      </c>
      <c r="L1991" s="15"/>
      <c r="M1991" s="17"/>
      <c r="N1991" s="8"/>
      <c r="O1991" s="9"/>
      <c r="P1991" s="9"/>
      <c r="Q1991" s="9"/>
      <c r="R1991" s="9"/>
      <c r="S1991" s="10">
        <f t="shared" si="576"/>
        <v>0</v>
      </c>
    </row>
    <row r="1992" spans="2:19" outlineLevel="1">
      <c r="B1992" s="13" t="s">
        <v>138</v>
      </c>
      <c r="C1992" s="7" t="str">
        <f t="shared" si="574"/>
        <v>ESPARGIDOR VW 13190 ANO 2014 PLACA OYR-9B52</v>
      </c>
      <c r="D1992" s="8">
        <f t="shared" si="573"/>
        <v>46088</v>
      </c>
      <c r="E1992" s="15">
        <v>30247.4</v>
      </c>
      <c r="F1992" s="15">
        <v>30250.9</v>
      </c>
      <c r="G1992" s="15">
        <f t="shared" si="575"/>
        <v>3.5</v>
      </c>
      <c r="H1992" s="16" t="s">
        <v>6</v>
      </c>
      <c r="I1992" s="10">
        <f t="shared" si="577"/>
        <v>0</v>
      </c>
      <c r="J1992" s="16"/>
      <c r="K1992" s="15">
        <v>1</v>
      </c>
      <c r="L1992" s="15"/>
      <c r="M1992" s="17"/>
      <c r="N1992" s="8"/>
      <c r="O1992" s="18"/>
      <c r="P1992" s="9"/>
      <c r="Q1992" s="9"/>
      <c r="R1992" s="9"/>
      <c r="S1992" s="10">
        <f t="shared" si="576"/>
        <v>0</v>
      </c>
    </row>
    <row r="1993" spans="2:19" outlineLevel="1">
      <c r="B1993" s="13" t="s">
        <v>138</v>
      </c>
      <c r="C1993" s="7" t="str">
        <f t="shared" si="574"/>
        <v>ESPARGIDOR VW 13190 ANO 2014 PLACA OYR-9B52</v>
      </c>
      <c r="D1993" s="8">
        <f t="shared" si="573"/>
        <v>46089</v>
      </c>
      <c r="E1993" s="15"/>
      <c r="F1993" s="15"/>
      <c r="G1993" s="15">
        <f t="shared" si="575"/>
        <v>0</v>
      </c>
      <c r="H1993" s="16" t="s">
        <v>6</v>
      </c>
      <c r="I1993" s="10">
        <f t="shared" si="577"/>
        <v>0</v>
      </c>
      <c r="J1993" s="16" t="s">
        <v>16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6"/>
        <v>0</v>
      </c>
    </row>
    <row r="1994" spans="2:19" outlineLevel="1">
      <c r="B1994" s="13" t="s">
        <v>138</v>
      </c>
      <c r="C1994" s="7" t="str">
        <f t="shared" si="574"/>
        <v>ESPARGIDOR VW 13190 ANO 2014 PLACA OYR-9B52</v>
      </c>
      <c r="D1994" s="8">
        <f t="shared" si="573"/>
        <v>46090</v>
      </c>
      <c r="E1994" s="15"/>
      <c r="F1994" s="15"/>
      <c r="G1994" s="15">
        <f t="shared" si="575"/>
        <v>0</v>
      </c>
      <c r="H1994" s="16" t="s">
        <v>6</v>
      </c>
      <c r="I1994" s="10">
        <f t="shared" si="577"/>
        <v>0</v>
      </c>
      <c r="J1994" s="16" t="s">
        <v>16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6"/>
        <v>0</v>
      </c>
    </row>
    <row r="1995" spans="2:19" outlineLevel="1">
      <c r="B1995" s="13" t="s">
        <v>138</v>
      </c>
      <c r="C1995" s="7" t="str">
        <f t="shared" si="574"/>
        <v>ESPARGIDOR VW 13190 ANO 2014 PLACA OYR-9B52</v>
      </c>
      <c r="D1995" s="8">
        <f t="shared" si="573"/>
        <v>46091</v>
      </c>
      <c r="E1995" s="15"/>
      <c r="F1995" s="15"/>
      <c r="G1995" s="15">
        <f t="shared" si="575"/>
        <v>0</v>
      </c>
      <c r="H1995" s="16" t="s">
        <v>6</v>
      </c>
      <c r="I1995" s="10">
        <f t="shared" si="577"/>
        <v>0</v>
      </c>
      <c r="J1995" s="16" t="s">
        <v>16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6"/>
        <v>0</v>
      </c>
    </row>
    <row r="1996" spans="2:19" outlineLevel="1">
      <c r="B1996" s="13" t="s">
        <v>138</v>
      </c>
      <c r="C1996" s="7" t="str">
        <f t="shared" si="574"/>
        <v>ESPARGIDOR VW 13190 ANO 2014 PLACA OYR-9B52</v>
      </c>
      <c r="D1996" s="8">
        <f t="shared" si="573"/>
        <v>46092</v>
      </c>
      <c r="E1996" s="15"/>
      <c r="F1996" s="15"/>
      <c r="G1996" s="15">
        <f t="shared" si="575"/>
        <v>0</v>
      </c>
      <c r="H1996" s="16" t="s">
        <v>6</v>
      </c>
      <c r="I1996" s="10">
        <f t="shared" si="577"/>
        <v>0</v>
      </c>
      <c r="J1996" s="16" t="s">
        <v>16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6"/>
        <v>0</v>
      </c>
    </row>
    <row r="1997" spans="2:19" outlineLevel="1">
      <c r="B1997" s="13" t="s">
        <v>138</v>
      </c>
      <c r="C1997" s="7" t="str">
        <f t="shared" si="574"/>
        <v>ESPARGIDOR VW 13190 ANO 2014 PLACA OYR-9B52</v>
      </c>
      <c r="D1997" s="8">
        <f t="shared" si="573"/>
        <v>46093</v>
      </c>
      <c r="E1997" s="15"/>
      <c r="F1997" s="15"/>
      <c r="G1997" s="15">
        <f t="shared" si="575"/>
        <v>0</v>
      </c>
      <c r="H1997" s="16" t="s">
        <v>6</v>
      </c>
      <c r="I1997" s="10">
        <f t="shared" si="577"/>
        <v>0</v>
      </c>
      <c r="J1997" s="16" t="s">
        <v>16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6"/>
        <v>0</v>
      </c>
    </row>
    <row r="1998" spans="2:19" outlineLevel="1">
      <c r="B1998" s="13" t="s">
        <v>138</v>
      </c>
      <c r="C1998" s="7" t="str">
        <f t="shared" si="574"/>
        <v>ESPARGIDOR VW 13190 ANO 2014 PLACA OYR-9B52</v>
      </c>
      <c r="D1998" s="8">
        <f t="shared" si="573"/>
        <v>46094</v>
      </c>
      <c r="E1998" s="15"/>
      <c r="F1998" s="15"/>
      <c r="G1998" s="15">
        <f t="shared" si="575"/>
        <v>0</v>
      </c>
      <c r="H1998" s="16" t="s">
        <v>6</v>
      </c>
      <c r="I1998" s="10">
        <f t="shared" si="577"/>
        <v>0</v>
      </c>
      <c r="J1998" s="16" t="s">
        <v>16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6"/>
        <v>0</v>
      </c>
    </row>
    <row r="1999" spans="2:19" outlineLevel="1">
      <c r="B1999" s="13" t="s">
        <v>138</v>
      </c>
      <c r="C1999" s="7" t="str">
        <f t="shared" si="574"/>
        <v>ESPARGIDOR VW 13190 ANO 2014 PLACA OYR-9B52</v>
      </c>
      <c r="D1999" s="8">
        <f t="shared" si="573"/>
        <v>46095</v>
      </c>
      <c r="E1999" s="15"/>
      <c r="F1999" s="15"/>
      <c r="G1999" s="15">
        <f t="shared" si="575"/>
        <v>0</v>
      </c>
      <c r="H1999" s="16" t="s">
        <v>6</v>
      </c>
      <c r="I1999" s="10">
        <f t="shared" si="577"/>
        <v>0</v>
      </c>
      <c r="J1999" s="16" t="s">
        <v>16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6"/>
        <v>0</v>
      </c>
    </row>
    <row r="2000" spans="2:19" outlineLevel="1">
      <c r="B2000" s="13" t="s">
        <v>138</v>
      </c>
      <c r="C2000" s="7" t="str">
        <f t="shared" si="574"/>
        <v>ESPARGIDOR VW 13190 ANO 2014 PLACA OYR-9B52</v>
      </c>
      <c r="D2000" s="8">
        <f t="shared" si="573"/>
        <v>46096</v>
      </c>
      <c r="E2000" s="15"/>
      <c r="F2000" s="15"/>
      <c r="G2000" s="15">
        <f t="shared" si="575"/>
        <v>0</v>
      </c>
      <c r="H2000" s="16" t="s">
        <v>6</v>
      </c>
      <c r="I2000" s="10">
        <f t="shared" si="577"/>
        <v>0</v>
      </c>
      <c r="J2000" s="16" t="s">
        <v>16</v>
      </c>
      <c r="K2000" s="15"/>
      <c r="L2000" s="15"/>
      <c r="M2000" s="17"/>
      <c r="N2000" s="8"/>
      <c r="O2000" s="18">
        <f t="shared" ref="O2000:O2012" si="578">O1999</f>
        <v>0</v>
      </c>
      <c r="P2000" s="9"/>
      <c r="Q2000" s="9"/>
      <c r="R2000" s="9"/>
      <c r="S2000" s="10">
        <f t="shared" si="576"/>
        <v>0</v>
      </c>
    </row>
    <row r="2001" spans="2:19" outlineLevel="1">
      <c r="B2001" s="13" t="s">
        <v>138</v>
      </c>
      <c r="C2001" s="7" t="str">
        <f t="shared" si="574"/>
        <v>ESPARGIDOR VW 13190 ANO 2014 PLACA OYR-9B52</v>
      </c>
      <c r="D2001" s="8">
        <f t="shared" si="573"/>
        <v>46097</v>
      </c>
      <c r="E2001" s="15"/>
      <c r="F2001" s="15"/>
      <c r="G2001" s="15">
        <f t="shared" si="575"/>
        <v>0</v>
      </c>
      <c r="H2001" s="16" t="s">
        <v>6</v>
      </c>
      <c r="I2001" s="10">
        <f t="shared" si="577"/>
        <v>0</v>
      </c>
      <c r="J2001" s="16" t="s">
        <v>16</v>
      </c>
      <c r="K2001" s="15"/>
      <c r="L2001" s="15"/>
      <c r="M2001" s="17"/>
      <c r="N2001" s="8"/>
      <c r="O2001" s="18">
        <f t="shared" si="578"/>
        <v>0</v>
      </c>
      <c r="P2001" s="9"/>
      <c r="Q2001" s="9"/>
      <c r="R2001" s="9"/>
      <c r="S2001" s="10">
        <f t="shared" si="576"/>
        <v>0</v>
      </c>
    </row>
    <row r="2002" spans="2:19" outlineLevel="1">
      <c r="B2002" s="13" t="s">
        <v>138</v>
      </c>
      <c r="C2002" s="7" t="str">
        <f t="shared" si="574"/>
        <v>ESPARGIDOR VW 13190 ANO 2014 PLACA OYR-9B52</v>
      </c>
      <c r="D2002" s="8">
        <f t="shared" si="573"/>
        <v>46098</v>
      </c>
      <c r="E2002" s="15"/>
      <c r="F2002" s="15"/>
      <c r="G2002" s="15">
        <f t="shared" si="575"/>
        <v>0</v>
      </c>
      <c r="H2002" s="16" t="s">
        <v>6</v>
      </c>
      <c r="I2002" s="10">
        <f t="shared" si="577"/>
        <v>0</v>
      </c>
      <c r="J2002" s="16" t="s">
        <v>16</v>
      </c>
      <c r="K2002" s="15"/>
      <c r="L2002" s="15"/>
      <c r="M2002" s="17"/>
      <c r="N2002" s="8"/>
      <c r="O2002" s="18">
        <f t="shared" si="578"/>
        <v>0</v>
      </c>
      <c r="P2002" s="9"/>
      <c r="Q2002" s="9"/>
      <c r="R2002" s="9"/>
      <c r="S2002" s="10">
        <f t="shared" si="576"/>
        <v>0</v>
      </c>
    </row>
    <row r="2003" spans="2:19" outlineLevel="1">
      <c r="B2003" s="13" t="s">
        <v>138</v>
      </c>
      <c r="C2003" s="7" t="str">
        <f t="shared" si="574"/>
        <v>ESPARGIDOR VW 13190 ANO 2014 PLACA OYR-9B52</v>
      </c>
      <c r="D2003" s="8">
        <f t="shared" si="573"/>
        <v>46099</v>
      </c>
      <c r="E2003" s="15"/>
      <c r="F2003" s="15"/>
      <c r="G2003" s="15">
        <f t="shared" si="575"/>
        <v>0</v>
      </c>
      <c r="H2003" s="16" t="s">
        <v>6</v>
      </c>
      <c r="I2003" s="10">
        <f t="shared" si="577"/>
        <v>0</v>
      </c>
      <c r="J2003" s="16" t="s">
        <v>16</v>
      </c>
      <c r="K2003" s="15"/>
      <c r="L2003" s="15"/>
      <c r="M2003" s="17"/>
      <c r="N2003" s="8"/>
      <c r="O2003" s="18">
        <f t="shared" si="578"/>
        <v>0</v>
      </c>
      <c r="P2003" s="9"/>
      <c r="Q2003" s="9"/>
      <c r="R2003" s="9"/>
      <c r="S2003" s="10">
        <f t="shared" si="576"/>
        <v>0</v>
      </c>
    </row>
    <row r="2004" spans="2:19" outlineLevel="1">
      <c r="B2004" s="13" t="s">
        <v>138</v>
      </c>
      <c r="C2004" s="7" t="str">
        <f t="shared" si="574"/>
        <v>ESPARGIDOR VW 13190 ANO 2014 PLACA OYR-9B52</v>
      </c>
      <c r="D2004" s="8">
        <f t="shared" si="573"/>
        <v>46100</v>
      </c>
      <c r="E2004" s="15"/>
      <c r="F2004" s="15"/>
      <c r="G2004" s="15">
        <f t="shared" si="575"/>
        <v>0</v>
      </c>
      <c r="H2004" s="16" t="s">
        <v>6</v>
      </c>
      <c r="I2004" s="10">
        <f t="shared" si="577"/>
        <v>0</v>
      </c>
      <c r="J2004" s="16" t="s">
        <v>16</v>
      </c>
      <c r="K2004" s="15"/>
      <c r="L2004" s="15"/>
      <c r="M2004" s="17"/>
      <c r="N2004" s="8"/>
      <c r="O2004" s="18">
        <f t="shared" si="578"/>
        <v>0</v>
      </c>
      <c r="P2004" s="9"/>
      <c r="Q2004" s="9"/>
      <c r="R2004" s="9"/>
      <c r="S2004" s="10">
        <f t="shared" si="576"/>
        <v>0</v>
      </c>
    </row>
    <row r="2005" spans="2:19" outlineLevel="1">
      <c r="B2005" s="13" t="s">
        <v>138</v>
      </c>
      <c r="C2005" s="7" t="str">
        <f t="shared" si="574"/>
        <v>ESPARGIDOR VW 13190 ANO 2014 PLACA OYR-9B52</v>
      </c>
      <c r="D2005" s="8">
        <f t="shared" si="573"/>
        <v>46101</v>
      </c>
      <c r="E2005" s="15"/>
      <c r="F2005" s="15"/>
      <c r="G2005" s="15">
        <f t="shared" si="575"/>
        <v>0</v>
      </c>
      <c r="H2005" s="16" t="s">
        <v>6</v>
      </c>
      <c r="I2005" s="10">
        <f t="shared" si="577"/>
        <v>0</v>
      </c>
      <c r="J2005" s="16" t="s">
        <v>16</v>
      </c>
      <c r="K2005" s="15"/>
      <c r="L2005" s="15"/>
      <c r="M2005" s="17"/>
      <c r="N2005" s="8"/>
      <c r="O2005" s="18">
        <f t="shared" si="578"/>
        <v>0</v>
      </c>
      <c r="P2005" s="9"/>
      <c r="Q2005" s="9"/>
      <c r="R2005" s="9"/>
      <c r="S2005" s="10">
        <f t="shared" si="576"/>
        <v>0</v>
      </c>
    </row>
    <row r="2006" spans="2:19" outlineLevel="1">
      <c r="B2006" s="13" t="s">
        <v>138</v>
      </c>
      <c r="C2006" s="7" t="str">
        <f t="shared" si="574"/>
        <v>ESPARGIDOR VW 13190 ANO 2014 PLACA OYR-9B52</v>
      </c>
      <c r="D2006" s="8">
        <f t="shared" si="573"/>
        <v>46102</v>
      </c>
      <c r="E2006" s="15"/>
      <c r="F2006" s="15"/>
      <c r="G2006" s="15">
        <f t="shared" si="575"/>
        <v>0</v>
      </c>
      <c r="H2006" s="16" t="s">
        <v>6</v>
      </c>
      <c r="I2006" s="10">
        <f t="shared" si="577"/>
        <v>0</v>
      </c>
      <c r="J2006" s="16" t="s">
        <v>16</v>
      </c>
      <c r="K2006" s="15"/>
      <c r="L2006" s="15"/>
      <c r="M2006" s="17"/>
      <c r="N2006" s="8"/>
      <c r="O2006" s="18">
        <f t="shared" si="578"/>
        <v>0</v>
      </c>
      <c r="P2006" s="9"/>
      <c r="Q2006" s="9"/>
      <c r="R2006" s="9"/>
      <c r="S2006" s="10">
        <f t="shared" si="576"/>
        <v>0</v>
      </c>
    </row>
    <row r="2007" spans="2:19" outlineLevel="1">
      <c r="B2007" s="13" t="s">
        <v>138</v>
      </c>
      <c r="C2007" s="7" t="str">
        <f t="shared" si="574"/>
        <v>ESPARGIDOR VW 13190 ANO 2014 PLACA OYR-9B52</v>
      </c>
      <c r="D2007" s="8">
        <f t="shared" si="573"/>
        <v>46103</v>
      </c>
      <c r="E2007" s="15"/>
      <c r="F2007" s="15"/>
      <c r="G2007" s="15">
        <f t="shared" si="575"/>
        <v>0</v>
      </c>
      <c r="H2007" s="16" t="s">
        <v>6</v>
      </c>
      <c r="I2007" s="10">
        <f t="shared" si="577"/>
        <v>0</v>
      </c>
      <c r="J2007" s="16" t="s">
        <v>16</v>
      </c>
      <c r="K2007" s="15"/>
      <c r="L2007" s="15"/>
      <c r="M2007" s="17"/>
      <c r="N2007" s="8"/>
      <c r="O2007" s="18">
        <f t="shared" si="578"/>
        <v>0</v>
      </c>
      <c r="P2007" s="9"/>
      <c r="Q2007" s="9"/>
      <c r="R2007" s="9"/>
      <c r="S2007" s="10">
        <f t="shared" si="576"/>
        <v>0</v>
      </c>
    </row>
    <row r="2008" spans="2:19" outlineLevel="1">
      <c r="B2008" s="13" t="s">
        <v>138</v>
      </c>
      <c r="C2008" s="7" t="str">
        <f t="shared" si="574"/>
        <v>ESPARGIDOR VW 13190 ANO 2014 PLACA OYR-9B52</v>
      </c>
      <c r="D2008" s="8">
        <f t="shared" si="573"/>
        <v>46104</v>
      </c>
      <c r="E2008" s="15"/>
      <c r="F2008" s="15"/>
      <c r="G2008" s="15">
        <f t="shared" si="575"/>
        <v>0</v>
      </c>
      <c r="H2008" s="16" t="s">
        <v>6</v>
      </c>
      <c r="I2008" s="10">
        <f t="shared" si="577"/>
        <v>0</v>
      </c>
      <c r="J2008" s="16" t="s">
        <v>16</v>
      </c>
      <c r="K2008" s="15"/>
      <c r="L2008" s="15"/>
      <c r="M2008" s="17"/>
      <c r="N2008" s="8"/>
      <c r="O2008" s="18">
        <f t="shared" si="578"/>
        <v>0</v>
      </c>
      <c r="P2008" s="9"/>
      <c r="Q2008" s="9"/>
      <c r="R2008" s="9"/>
      <c r="S2008" s="10">
        <f t="shared" si="576"/>
        <v>0</v>
      </c>
    </row>
    <row r="2009" spans="2:19" outlineLevel="1">
      <c r="B2009" s="13" t="s">
        <v>138</v>
      </c>
      <c r="C2009" s="7" t="str">
        <f t="shared" si="574"/>
        <v>ESPARGIDOR VW 13190 ANO 2014 PLACA OYR-9B52</v>
      </c>
      <c r="D2009" s="8">
        <f t="shared" si="573"/>
        <v>46105</v>
      </c>
      <c r="E2009" s="15"/>
      <c r="F2009" s="15"/>
      <c r="G2009" s="15">
        <f t="shared" si="575"/>
        <v>0</v>
      </c>
      <c r="H2009" s="16" t="s">
        <v>6</v>
      </c>
      <c r="I2009" s="10">
        <f t="shared" si="577"/>
        <v>0</v>
      </c>
      <c r="J2009" s="16" t="s">
        <v>16</v>
      </c>
      <c r="K2009" s="15"/>
      <c r="L2009" s="15"/>
      <c r="M2009" s="17"/>
      <c r="N2009" s="8"/>
      <c r="O2009" s="18">
        <f t="shared" si="578"/>
        <v>0</v>
      </c>
      <c r="P2009" s="9"/>
      <c r="Q2009" s="9"/>
      <c r="R2009" s="9"/>
      <c r="S2009" s="10">
        <f t="shared" si="576"/>
        <v>0</v>
      </c>
    </row>
    <row r="2010" spans="2:19" outlineLevel="1">
      <c r="B2010" s="13" t="s">
        <v>138</v>
      </c>
      <c r="C2010" s="7" t="str">
        <f t="shared" si="574"/>
        <v>ESPARGIDOR VW 13190 ANO 2014 PLACA OYR-9B52</v>
      </c>
      <c r="D2010" s="8">
        <f t="shared" si="573"/>
        <v>46106</v>
      </c>
      <c r="E2010" s="15"/>
      <c r="F2010" s="15"/>
      <c r="G2010" s="15">
        <f t="shared" si="575"/>
        <v>0</v>
      </c>
      <c r="H2010" s="16" t="s">
        <v>6</v>
      </c>
      <c r="I2010" s="10">
        <f t="shared" si="577"/>
        <v>0</v>
      </c>
      <c r="J2010" s="16" t="s">
        <v>16</v>
      </c>
      <c r="K2010" s="15"/>
      <c r="L2010" s="15"/>
      <c r="M2010" s="17"/>
      <c r="N2010" s="8"/>
      <c r="O2010" s="18">
        <f t="shared" si="578"/>
        <v>0</v>
      </c>
      <c r="P2010" s="9"/>
      <c r="Q2010" s="9"/>
      <c r="R2010" s="9"/>
      <c r="S2010" s="10">
        <f t="shared" si="576"/>
        <v>0</v>
      </c>
    </row>
    <row r="2011" spans="2:19" outlineLevel="1">
      <c r="B2011" s="13" t="s">
        <v>138</v>
      </c>
      <c r="C2011" s="7" t="str">
        <f t="shared" si="574"/>
        <v>ESPARGIDOR VW 13190 ANO 2014 PLACA OYR-9B52</v>
      </c>
      <c r="D2011" s="8">
        <f t="shared" si="573"/>
        <v>46107</v>
      </c>
      <c r="E2011" s="15"/>
      <c r="F2011" s="15"/>
      <c r="G2011" s="15">
        <f t="shared" si="575"/>
        <v>0</v>
      </c>
      <c r="H2011" s="16" t="s">
        <v>6</v>
      </c>
      <c r="I2011" s="10">
        <f t="shared" si="577"/>
        <v>0</v>
      </c>
      <c r="J2011" s="16" t="s">
        <v>16</v>
      </c>
      <c r="K2011" s="15"/>
      <c r="L2011" s="15"/>
      <c r="M2011" s="17"/>
      <c r="N2011" s="8"/>
      <c r="O2011" s="18">
        <f t="shared" si="578"/>
        <v>0</v>
      </c>
      <c r="P2011" s="9"/>
      <c r="Q2011" s="9"/>
      <c r="R2011" s="9"/>
      <c r="S2011" s="10">
        <f t="shared" si="576"/>
        <v>0</v>
      </c>
    </row>
    <row r="2012" spans="2:19" outlineLevel="1">
      <c r="B2012" s="13" t="s">
        <v>138</v>
      </c>
      <c r="C2012" s="7" t="str">
        <f t="shared" si="574"/>
        <v>ESPARGIDOR VW 13190 ANO 2014 PLACA OYR-9B52</v>
      </c>
      <c r="D2012" s="8">
        <f t="shared" si="573"/>
        <v>46108</v>
      </c>
      <c r="E2012" s="15"/>
      <c r="F2012" s="15"/>
      <c r="G2012" s="15">
        <f t="shared" si="575"/>
        <v>0</v>
      </c>
      <c r="H2012" s="16" t="s">
        <v>6</v>
      </c>
      <c r="I2012" s="10">
        <f t="shared" si="577"/>
        <v>0</v>
      </c>
      <c r="J2012" s="16" t="s">
        <v>16</v>
      </c>
      <c r="K2012" s="15"/>
      <c r="L2012" s="15"/>
      <c r="M2012" s="17"/>
      <c r="N2012" s="8"/>
      <c r="O2012" s="18">
        <f t="shared" si="578"/>
        <v>0</v>
      </c>
      <c r="P2012" s="9"/>
      <c r="Q2012" s="9"/>
      <c r="R2012" s="9"/>
      <c r="S2012" s="10">
        <f t="shared" si="576"/>
        <v>0</v>
      </c>
    </row>
    <row r="2013" spans="2:19" outlineLevel="1">
      <c r="B2013" s="13" t="s">
        <v>138</v>
      </c>
      <c r="C2013" s="7" t="str">
        <f t="shared" si="574"/>
        <v>ESPARGIDOR VW 13190 ANO 2014 PLACA OYR-9B52</v>
      </c>
      <c r="D2013" s="8">
        <f t="shared" ref="D2013" si="579">D1945</f>
        <v>46109</v>
      </c>
      <c r="E2013" s="15"/>
      <c r="F2013" s="15"/>
      <c r="G2013" s="15">
        <f t="shared" ref="G2013:G2015" si="580">F2013-E2013</f>
        <v>0</v>
      </c>
      <c r="H2013" s="16" t="s">
        <v>6</v>
      </c>
      <c r="I2013" s="10">
        <f>I2009</f>
        <v>0</v>
      </c>
      <c r="J2013" s="16" t="s">
        <v>16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1">SUM(R2013+Q2013+I2013)</f>
        <v>0</v>
      </c>
    </row>
    <row r="2014" spans="2:19" outlineLevel="1">
      <c r="B2014" s="13" t="s">
        <v>138</v>
      </c>
      <c r="C2014" s="7" t="str">
        <f t="shared" si="574"/>
        <v>ESPARGIDOR VW 13190 ANO 2014 PLACA OYR-9B52</v>
      </c>
      <c r="D2014" s="8">
        <f t="shared" ref="D2014:D2016" si="582">D1946</f>
        <v>46110</v>
      </c>
      <c r="E2014" s="15"/>
      <c r="F2014" s="15"/>
      <c r="G2014" s="15">
        <f t="shared" si="580"/>
        <v>0</v>
      </c>
      <c r="H2014" s="16" t="s">
        <v>6</v>
      </c>
      <c r="I2014" s="10">
        <f>I2010</f>
        <v>0</v>
      </c>
      <c r="J2014" s="16" t="s">
        <v>16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1"/>
        <v>0</v>
      </c>
    </row>
    <row r="2015" spans="2:19" outlineLevel="1">
      <c r="B2015" s="13" t="s">
        <v>138</v>
      </c>
      <c r="C2015" s="7" t="str">
        <f t="shared" si="574"/>
        <v>ESPARGIDOR VW 13190 ANO 2014 PLACA OYR-9B52</v>
      </c>
      <c r="D2015" s="8">
        <f t="shared" si="582"/>
        <v>46111</v>
      </c>
      <c r="E2015" s="15"/>
      <c r="F2015" s="15"/>
      <c r="G2015" s="15">
        <f t="shared" si="580"/>
        <v>0</v>
      </c>
      <c r="H2015" s="16" t="s">
        <v>6</v>
      </c>
      <c r="I2015" s="10">
        <f>I2011</f>
        <v>0</v>
      </c>
      <c r="J2015" s="16" t="s">
        <v>16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1"/>
        <v>0</v>
      </c>
    </row>
    <row r="2016" spans="2:19" outlineLevel="1">
      <c r="B2016" s="13" t="s">
        <v>138</v>
      </c>
      <c r="C2016" s="7" t="str">
        <f t="shared" si="574"/>
        <v>ESPARGIDOR VW 13190 ANO 2014 PLACA OYR-9B52</v>
      </c>
      <c r="D2016" s="8">
        <f t="shared" si="582"/>
        <v>46112</v>
      </c>
      <c r="E2016" s="15"/>
      <c r="F2016" s="15"/>
      <c r="G2016" s="15">
        <f t="shared" si="575"/>
        <v>0</v>
      </c>
      <c r="H2016" s="16" t="s">
        <v>6</v>
      </c>
      <c r="I2016" s="10">
        <f>I2012</f>
        <v>0</v>
      </c>
      <c r="J2016" s="16" t="s">
        <v>16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6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259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3">D1952</f>
        <v>46082</v>
      </c>
      <c r="E2020" s="15"/>
      <c r="F2020" s="15"/>
      <c r="G2020" s="15">
        <f>F2020-E2020</f>
        <v>0</v>
      </c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4">C$2018</f>
        <v>RETRO ESCAVADEIRA NOVA JOHN DEERE CHASSIS BZ310PAPPDX00311</v>
      </c>
      <c r="D2021" s="8">
        <f t="shared" si="583"/>
        <v>46083</v>
      </c>
      <c r="E2021" s="15">
        <v>3002.6</v>
      </c>
      <c r="F2021" s="15">
        <v>3006.9</v>
      </c>
      <c r="G2021" s="15">
        <f>F2021-E2021</f>
        <v>4.3000000000001819</v>
      </c>
      <c r="H2021" s="16" t="s">
        <v>203</v>
      </c>
      <c r="I2021" s="10">
        <f>I2020</f>
        <v>464.51612903225805</v>
      </c>
      <c r="J2021" s="16"/>
      <c r="K2021" s="15">
        <v>1</v>
      </c>
      <c r="L2021" s="15"/>
      <c r="M2021" s="17"/>
      <c r="N2021" s="9"/>
      <c r="O2021" s="9"/>
      <c r="P2021" s="9"/>
      <c r="Q2021" s="9"/>
      <c r="R2021" s="72"/>
      <c r="S2021" s="10">
        <f t="shared" ref="S2021:S2050" si="585">SUM(R2021+Q2021+I2021)</f>
        <v>464.51612903225805</v>
      </c>
    </row>
    <row r="2022" spans="2:19" outlineLevel="1">
      <c r="B2022" s="13" t="s">
        <v>140</v>
      </c>
      <c r="C2022" s="7" t="str">
        <f t="shared" si="584"/>
        <v>RETRO ESCAVADEIRA NOVA JOHN DEERE CHASSIS BZ310PAPPDX00311</v>
      </c>
      <c r="D2022" s="8">
        <f t="shared" si="583"/>
        <v>46084</v>
      </c>
      <c r="E2022" s="15"/>
      <c r="F2022" s="15"/>
      <c r="G2022" s="15">
        <f t="shared" ref="G2022:G2050" si="586">F2022-E2022</f>
        <v>0</v>
      </c>
      <c r="H2022" s="16" t="s">
        <v>203</v>
      </c>
      <c r="I2022" s="10">
        <f t="shared" ref="I2022:I2046" si="587">I2021</f>
        <v>464.51612903225805</v>
      </c>
      <c r="J2022" s="16" t="s">
        <v>16</v>
      </c>
      <c r="K2022" s="15"/>
      <c r="L2022" s="15"/>
      <c r="M2022" s="17"/>
      <c r="N2022" s="9"/>
      <c r="O2022" s="9"/>
      <c r="P2022" s="9"/>
      <c r="Q2022" s="9"/>
      <c r="R2022" s="72"/>
      <c r="S2022" s="10">
        <f t="shared" si="585"/>
        <v>464.51612903225805</v>
      </c>
    </row>
    <row r="2023" spans="2:19" outlineLevel="1">
      <c r="B2023" s="13" t="s">
        <v>140</v>
      </c>
      <c r="C2023" s="7" t="str">
        <f t="shared" si="584"/>
        <v>RETRO ESCAVADEIRA NOVA JOHN DEERE CHASSIS BZ310PAPPDX00311</v>
      </c>
      <c r="D2023" s="8">
        <f t="shared" si="583"/>
        <v>46085</v>
      </c>
      <c r="E2023" s="15">
        <v>3006.9</v>
      </c>
      <c r="F2023" s="15">
        <v>3015.6</v>
      </c>
      <c r="G2023" s="15">
        <f t="shared" si="586"/>
        <v>8.6999999999998181</v>
      </c>
      <c r="H2023" s="16" t="s">
        <v>203</v>
      </c>
      <c r="I2023" s="10">
        <f t="shared" si="587"/>
        <v>464.51612903225805</v>
      </c>
      <c r="J2023" s="16"/>
      <c r="K2023" s="15">
        <v>1</v>
      </c>
      <c r="L2023" s="15"/>
      <c r="M2023" s="17"/>
      <c r="N2023" s="9"/>
      <c r="O2023" s="9"/>
      <c r="P2023" s="9"/>
      <c r="Q2023" s="9"/>
      <c r="R2023" s="72"/>
      <c r="S2023" s="10">
        <f t="shared" si="585"/>
        <v>464.51612903225805</v>
      </c>
    </row>
    <row r="2024" spans="2:19" outlineLevel="1">
      <c r="B2024" s="13" t="s">
        <v>140</v>
      </c>
      <c r="C2024" s="7" t="str">
        <f t="shared" si="584"/>
        <v>RETRO ESCAVADEIRA NOVA JOHN DEERE CHASSIS BZ310PAPPDX00311</v>
      </c>
      <c r="D2024" s="8">
        <f t="shared" si="583"/>
        <v>46086</v>
      </c>
      <c r="E2024" s="15"/>
      <c r="F2024" s="15"/>
      <c r="G2024" s="15">
        <f t="shared" si="586"/>
        <v>0</v>
      </c>
      <c r="H2024" s="16" t="s">
        <v>203</v>
      </c>
      <c r="I2024" s="10">
        <f t="shared" si="587"/>
        <v>464.51612903225805</v>
      </c>
      <c r="J2024" s="16" t="s">
        <v>16</v>
      </c>
      <c r="K2024" s="15"/>
      <c r="L2024" s="15"/>
      <c r="M2024" s="17"/>
      <c r="N2024" s="9"/>
      <c r="O2024" s="9"/>
      <c r="P2024" s="9"/>
      <c r="Q2024" s="9"/>
      <c r="R2024" s="72"/>
      <c r="S2024" s="10">
        <f t="shared" si="585"/>
        <v>464.51612903225805</v>
      </c>
    </row>
    <row r="2025" spans="2:19" outlineLevel="1">
      <c r="B2025" s="13" t="s">
        <v>140</v>
      </c>
      <c r="C2025" s="7" t="str">
        <f t="shared" si="584"/>
        <v>RETRO ESCAVADEIRA NOVA JOHN DEERE CHASSIS BZ310PAPPDX00311</v>
      </c>
      <c r="D2025" s="8">
        <f t="shared" si="583"/>
        <v>46087</v>
      </c>
      <c r="E2025" s="15"/>
      <c r="F2025" s="15"/>
      <c r="G2025" s="15">
        <f t="shared" si="586"/>
        <v>0</v>
      </c>
      <c r="H2025" s="16" t="s">
        <v>203</v>
      </c>
      <c r="I2025" s="10">
        <f t="shared" si="587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5"/>
        <v>464.51612903225805</v>
      </c>
    </row>
    <row r="2026" spans="2:19" outlineLevel="1">
      <c r="B2026" s="13" t="s">
        <v>140</v>
      </c>
      <c r="C2026" s="7" t="str">
        <f t="shared" si="584"/>
        <v>RETRO ESCAVADEIRA NOVA JOHN DEERE CHASSIS BZ310PAPPDX00311</v>
      </c>
      <c r="D2026" s="8">
        <f t="shared" si="583"/>
        <v>46088</v>
      </c>
      <c r="E2026" s="15"/>
      <c r="F2026" s="15"/>
      <c r="G2026" s="15">
        <f t="shared" si="586"/>
        <v>0</v>
      </c>
      <c r="H2026" s="16" t="s">
        <v>203</v>
      </c>
      <c r="I2026" s="10">
        <f t="shared" si="587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5"/>
        <v>464.51612903225805</v>
      </c>
    </row>
    <row r="2027" spans="2:19" outlineLevel="1">
      <c r="B2027" s="13" t="s">
        <v>140</v>
      </c>
      <c r="C2027" s="7" t="str">
        <f t="shared" si="584"/>
        <v>RETRO ESCAVADEIRA NOVA JOHN DEERE CHASSIS BZ310PAPPDX00311</v>
      </c>
      <c r="D2027" s="8">
        <f t="shared" si="583"/>
        <v>46089</v>
      </c>
      <c r="E2027" s="15">
        <v>3015.6</v>
      </c>
      <c r="F2027" s="15">
        <v>3022.5</v>
      </c>
      <c r="G2027" s="15">
        <f t="shared" ref="G2027" si="588">F2027-E2027</f>
        <v>6.9000000000000909</v>
      </c>
      <c r="H2027" s="16" t="s">
        <v>203</v>
      </c>
      <c r="I2027" s="10">
        <f t="shared" si="587"/>
        <v>464.51612903225805</v>
      </c>
      <c r="J2027" s="16"/>
      <c r="K2027" s="15">
        <v>1</v>
      </c>
      <c r="L2027" s="15"/>
      <c r="M2027" s="17"/>
      <c r="N2027" s="9"/>
      <c r="O2027" s="18"/>
      <c r="P2027" s="9"/>
      <c r="Q2027" s="9"/>
      <c r="R2027" s="72"/>
      <c r="S2027" s="10">
        <f t="shared" si="585"/>
        <v>464.51612903225805</v>
      </c>
    </row>
    <row r="2028" spans="2:19" outlineLevel="1">
      <c r="B2028" s="13" t="s">
        <v>140</v>
      </c>
      <c r="C2028" s="7" t="str">
        <f t="shared" si="584"/>
        <v>RETRO ESCAVADEIRA NOVA JOHN DEERE CHASSIS BZ310PAPPDX00311</v>
      </c>
      <c r="D2028" s="8">
        <f t="shared" si="583"/>
        <v>46090</v>
      </c>
      <c r="E2028" s="15">
        <v>3022.5</v>
      </c>
      <c r="F2028" s="15">
        <v>3028.7</v>
      </c>
      <c r="G2028" s="15">
        <f t="shared" si="586"/>
        <v>6.1999999999998181</v>
      </c>
      <c r="H2028" s="16" t="s">
        <v>203</v>
      </c>
      <c r="I2028" s="10">
        <f t="shared" si="587"/>
        <v>464.51612903225805</v>
      </c>
      <c r="J2028" s="16"/>
      <c r="K2028" s="15">
        <v>1</v>
      </c>
      <c r="L2028" s="15"/>
      <c r="M2028" s="17"/>
      <c r="N2028" s="9"/>
      <c r="O2028" s="18"/>
      <c r="P2028" s="9"/>
      <c r="Q2028" s="9"/>
      <c r="R2028" s="72"/>
      <c r="S2028" s="10">
        <f t="shared" si="585"/>
        <v>464.51612903225805</v>
      </c>
    </row>
    <row r="2029" spans="2:19" outlineLevel="1">
      <c r="B2029" s="13" t="s">
        <v>140</v>
      </c>
      <c r="C2029" s="7" t="str">
        <f t="shared" si="584"/>
        <v>RETRO ESCAVADEIRA NOVA JOHN DEERE CHASSIS BZ310PAPPDX00311</v>
      </c>
      <c r="D2029" s="8">
        <f t="shared" si="583"/>
        <v>46091</v>
      </c>
      <c r="E2029" s="15">
        <v>3028.7</v>
      </c>
      <c r="F2029" s="15">
        <v>3032.6</v>
      </c>
      <c r="G2029" s="15">
        <f t="shared" si="586"/>
        <v>3.9000000000000909</v>
      </c>
      <c r="H2029" s="16" t="s">
        <v>203</v>
      </c>
      <c r="I2029" s="10">
        <f t="shared" si="587"/>
        <v>464.51612903225805</v>
      </c>
      <c r="J2029" s="16"/>
      <c r="K2029" s="15">
        <v>1</v>
      </c>
      <c r="L2029" s="15"/>
      <c r="M2029" s="17"/>
      <c r="N2029" s="9"/>
      <c r="O2029" s="18">
        <f t="shared" ref="O2029:O2046" si="589">O2028</f>
        <v>0</v>
      </c>
      <c r="P2029" s="9"/>
      <c r="Q2029" s="9"/>
      <c r="R2029" s="72"/>
      <c r="S2029" s="10">
        <f t="shared" si="585"/>
        <v>464.51612903225805</v>
      </c>
    </row>
    <row r="2030" spans="2:19" outlineLevel="1">
      <c r="B2030" s="13" t="s">
        <v>140</v>
      </c>
      <c r="C2030" s="7" t="str">
        <f t="shared" si="584"/>
        <v>RETRO ESCAVADEIRA NOVA JOHN DEERE CHASSIS BZ310PAPPDX00311</v>
      </c>
      <c r="D2030" s="8">
        <f t="shared" si="583"/>
        <v>46092</v>
      </c>
      <c r="E2030" s="15">
        <v>3032.6</v>
      </c>
      <c r="F2030" s="15">
        <v>3035.7</v>
      </c>
      <c r="G2030" s="15">
        <f t="shared" si="586"/>
        <v>3.0999999999999091</v>
      </c>
      <c r="H2030" s="16" t="s">
        <v>203</v>
      </c>
      <c r="I2030" s="10">
        <f t="shared" si="587"/>
        <v>464.51612903225805</v>
      </c>
      <c r="J2030" s="16"/>
      <c r="K2030" s="15">
        <v>1</v>
      </c>
      <c r="L2030" s="15"/>
      <c r="M2030" s="17"/>
      <c r="N2030" s="9"/>
      <c r="O2030" s="18">
        <f t="shared" si="589"/>
        <v>0</v>
      </c>
      <c r="P2030" s="9"/>
      <c r="Q2030" s="9"/>
      <c r="R2030" s="72"/>
      <c r="S2030" s="10">
        <f t="shared" si="585"/>
        <v>464.51612903225805</v>
      </c>
    </row>
    <row r="2031" spans="2:19" outlineLevel="1">
      <c r="B2031" s="13" t="s">
        <v>140</v>
      </c>
      <c r="C2031" s="7" t="str">
        <f t="shared" si="584"/>
        <v>RETRO ESCAVADEIRA NOVA JOHN DEERE CHASSIS BZ310PAPPDX00311</v>
      </c>
      <c r="D2031" s="8">
        <f t="shared" si="583"/>
        <v>46093</v>
      </c>
      <c r="E2031" s="15">
        <v>3035.7</v>
      </c>
      <c r="F2031" s="15">
        <v>3044.7</v>
      </c>
      <c r="G2031" s="15">
        <f t="shared" si="586"/>
        <v>9</v>
      </c>
      <c r="H2031" s="16" t="s">
        <v>203</v>
      </c>
      <c r="I2031" s="10">
        <f t="shared" si="587"/>
        <v>464.51612903225805</v>
      </c>
      <c r="J2031" s="16" t="s">
        <v>16</v>
      </c>
      <c r="K2031" s="15"/>
      <c r="L2031" s="15"/>
      <c r="M2031" s="17"/>
      <c r="N2031" s="9"/>
      <c r="O2031" s="18">
        <f t="shared" si="589"/>
        <v>0</v>
      </c>
      <c r="P2031" s="9"/>
      <c r="Q2031" s="9"/>
      <c r="R2031" s="72"/>
      <c r="S2031" s="10">
        <f t="shared" si="585"/>
        <v>464.51612903225805</v>
      </c>
    </row>
    <row r="2032" spans="2:19" outlineLevel="1">
      <c r="B2032" s="13" t="s">
        <v>140</v>
      </c>
      <c r="C2032" s="7" t="str">
        <f t="shared" si="584"/>
        <v>RETRO ESCAVADEIRA NOVA JOHN DEERE CHASSIS BZ310PAPPDX00311</v>
      </c>
      <c r="D2032" s="8">
        <f t="shared" si="583"/>
        <v>46094</v>
      </c>
      <c r="E2032" s="15">
        <v>3044.7</v>
      </c>
      <c r="F2032" s="15">
        <v>3047.3</v>
      </c>
      <c r="G2032" s="15">
        <f t="shared" si="586"/>
        <v>2.6000000000003638</v>
      </c>
      <c r="H2032" s="16" t="s">
        <v>203</v>
      </c>
      <c r="I2032" s="10">
        <f t="shared" si="587"/>
        <v>464.51612903225805</v>
      </c>
      <c r="J2032" s="16" t="s">
        <v>16</v>
      </c>
      <c r="K2032" s="15"/>
      <c r="L2032" s="15"/>
      <c r="M2032" s="17"/>
      <c r="N2032" s="9"/>
      <c r="O2032" s="18">
        <f t="shared" si="589"/>
        <v>0</v>
      </c>
      <c r="P2032" s="9"/>
      <c r="Q2032" s="9"/>
      <c r="R2032" s="72"/>
      <c r="S2032" s="10">
        <f t="shared" si="585"/>
        <v>464.51612903225805</v>
      </c>
    </row>
    <row r="2033" spans="2:19" outlineLevel="1">
      <c r="B2033" s="13" t="s">
        <v>140</v>
      </c>
      <c r="C2033" s="7" t="str">
        <f t="shared" si="584"/>
        <v>RETRO ESCAVADEIRA NOVA JOHN DEERE CHASSIS BZ310PAPPDX00311</v>
      </c>
      <c r="D2033" s="8">
        <f t="shared" si="583"/>
        <v>46095</v>
      </c>
      <c r="E2033" s="15">
        <v>3047.3</v>
      </c>
      <c r="F2033" s="15">
        <v>3051.8</v>
      </c>
      <c r="G2033" s="15">
        <f t="shared" si="586"/>
        <v>4.5</v>
      </c>
      <c r="H2033" s="16" t="s">
        <v>203</v>
      </c>
      <c r="I2033" s="10">
        <f t="shared" si="587"/>
        <v>464.51612903225805</v>
      </c>
      <c r="J2033" s="16" t="s">
        <v>16</v>
      </c>
      <c r="K2033" s="15"/>
      <c r="L2033" s="15"/>
      <c r="M2033" s="17"/>
      <c r="N2033" s="9"/>
      <c r="O2033" s="18">
        <f t="shared" si="589"/>
        <v>0</v>
      </c>
      <c r="P2033" s="9"/>
      <c r="Q2033" s="9"/>
      <c r="R2033" s="72"/>
      <c r="S2033" s="10">
        <f t="shared" si="585"/>
        <v>464.51612903225805</v>
      </c>
    </row>
    <row r="2034" spans="2:19" outlineLevel="1">
      <c r="B2034" s="13" t="s">
        <v>140</v>
      </c>
      <c r="C2034" s="7" t="str">
        <f t="shared" si="584"/>
        <v>RETRO ESCAVADEIRA NOVA JOHN DEERE CHASSIS BZ310PAPPDX00311</v>
      </c>
      <c r="D2034" s="8">
        <f t="shared" si="583"/>
        <v>46096</v>
      </c>
      <c r="E2034" s="15"/>
      <c r="F2034" s="15"/>
      <c r="G2034" s="15">
        <f t="shared" si="586"/>
        <v>0</v>
      </c>
      <c r="H2034" s="16" t="s">
        <v>203</v>
      </c>
      <c r="I2034" s="10">
        <f t="shared" si="587"/>
        <v>464.51612903225805</v>
      </c>
      <c r="J2034" s="16" t="s">
        <v>16</v>
      </c>
      <c r="K2034" s="15"/>
      <c r="L2034" s="15"/>
      <c r="M2034" s="17"/>
      <c r="N2034" s="9"/>
      <c r="O2034" s="18">
        <f t="shared" si="589"/>
        <v>0</v>
      </c>
      <c r="P2034" s="9"/>
      <c r="Q2034" s="9"/>
      <c r="R2034" s="72"/>
      <c r="S2034" s="10">
        <f t="shared" si="585"/>
        <v>464.51612903225805</v>
      </c>
    </row>
    <row r="2035" spans="2:19" outlineLevel="1">
      <c r="B2035" s="13" t="s">
        <v>140</v>
      </c>
      <c r="C2035" s="7" t="str">
        <f t="shared" si="584"/>
        <v>RETRO ESCAVADEIRA NOVA JOHN DEERE CHASSIS BZ310PAPPDX00311</v>
      </c>
      <c r="D2035" s="8">
        <f t="shared" si="583"/>
        <v>46097</v>
      </c>
      <c r="E2035" s="15">
        <v>3051.8</v>
      </c>
      <c r="F2035" s="15">
        <v>3051.9</v>
      </c>
      <c r="G2035" s="15">
        <f t="shared" si="586"/>
        <v>9.9999999999909051E-2</v>
      </c>
      <c r="H2035" s="16" t="s">
        <v>203</v>
      </c>
      <c r="I2035" s="10">
        <f t="shared" si="587"/>
        <v>464.51612903225805</v>
      </c>
      <c r="J2035" s="16" t="s">
        <v>16</v>
      </c>
      <c r="K2035" s="15"/>
      <c r="L2035" s="15"/>
      <c r="M2035" s="17"/>
      <c r="N2035" s="9"/>
      <c r="O2035" s="18">
        <f t="shared" si="589"/>
        <v>0</v>
      </c>
      <c r="P2035" s="9"/>
      <c r="Q2035" s="9"/>
      <c r="R2035" s="72"/>
      <c r="S2035" s="10">
        <f t="shared" si="585"/>
        <v>464.51612903225805</v>
      </c>
    </row>
    <row r="2036" spans="2:19" outlineLevel="1">
      <c r="B2036" s="13" t="s">
        <v>140</v>
      </c>
      <c r="C2036" s="7" t="str">
        <f t="shared" si="584"/>
        <v>RETRO ESCAVADEIRA NOVA JOHN DEERE CHASSIS BZ310PAPPDX00311</v>
      </c>
      <c r="D2036" s="8">
        <f t="shared" si="583"/>
        <v>46098</v>
      </c>
      <c r="E2036" s="15"/>
      <c r="F2036" s="15"/>
      <c r="G2036" s="15">
        <f t="shared" si="586"/>
        <v>0</v>
      </c>
      <c r="H2036" s="16" t="s">
        <v>203</v>
      </c>
      <c r="I2036" s="10">
        <f t="shared" si="587"/>
        <v>464.51612903225805</v>
      </c>
      <c r="J2036" s="16" t="s">
        <v>16</v>
      </c>
      <c r="K2036" s="15"/>
      <c r="L2036" s="15"/>
      <c r="M2036" s="17"/>
      <c r="N2036" s="9"/>
      <c r="O2036" s="18">
        <f t="shared" si="589"/>
        <v>0</v>
      </c>
      <c r="P2036" s="9"/>
      <c r="Q2036" s="9"/>
      <c r="R2036" s="72"/>
      <c r="S2036" s="10">
        <f t="shared" si="585"/>
        <v>464.51612903225805</v>
      </c>
    </row>
    <row r="2037" spans="2:19" outlineLevel="1">
      <c r="B2037" s="13" t="s">
        <v>140</v>
      </c>
      <c r="C2037" s="7" t="str">
        <f t="shared" si="584"/>
        <v>RETRO ESCAVADEIRA NOVA JOHN DEERE CHASSIS BZ310PAPPDX00311</v>
      </c>
      <c r="D2037" s="8">
        <f t="shared" si="583"/>
        <v>46099</v>
      </c>
      <c r="E2037" s="15"/>
      <c r="F2037" s="15"/>
      <c r="G2037" s="15">
        <f t="shared" si="586"/>
        <v>0</v>
      </c>
      <c r="H2037" s="16" t="s">
        <v>203</v>
      </c>
      <c r="I2037" s="10">
        <f t="shared" si="587"/>
        <v>464.51612903225805</v>
      </c>
      <c r="J2037" s="16" t="s">
        <v>16</v>
      </c>
      <c r="K2037" s="15"/>
      <c r="L2037" s="15"/>
      <c r="M2037" s="17"/>
      <c r="N2037" s="9"/>
      <c r="O2037" s="18">
        <f t="shared" si="589"/>
        <v>0</v>
      </c>
      <c r="P2037" s="9"/>
      <c r="Q2037" s="9"/>
      <c r="R2037" s="72"/>
      <c r="S2037" s="10">
        <f t="shared" si="585"/>
        <v>464.51612903225805</v>
      </c>
    </row>
    <row r="2038" spans="2:19" outlineLevel="1">
      <c r="B2038" s="13" t="s">
        <v>140</v>
      </c>
      <c r="C2038" s="7" t="str">
        <f t="shared" si="584"/>
        <v>RETRO ESCAVADEIRA NOVA JOHN DEERE CHASSIS BZ310PAPPDX00311</v>
      </c>
      <c r="D2038" s="8">
        <f t="shared" si="583"/>
        <v>46100</v>
      </c>
      <c r="E2038" s="15"/>
      <c r="F2038" s="15"/>
      <c r="G2038" s="15">
        <f t="shared" si="586"/>
        <v>0</v>
      </c>
      <c r="H2038" s="16" t="s">
        <v>203</v>
      </c>
      <c r="I2038" s="10">
        <f t="shared" si="587"/>
        <v>464.51612903225805</v>
      </c>
      <c r="J2038" s="16" t="s">
        <v>16</v>
      </c>
      <c r="K2038" s="15"/>
      <c r="L2038" s="15"/>
      <c r="M2038" s="17"/>
      <c r="N2038" s="9"/>
      <c r="O2038" s="18">
        <f t="shared" si="589"/>
        <v>0</v>
      </c>
      <c r="P2038" s="9"/>
      <c r="Q2038" s="9"/>
      <c r="R2038" s="72"/>
      <c r="S2038" s="10">
        <f t="shared" si="585"/>
        <v>464.51612903225805</v>
      </c>
    </row>
    <row r="2039" spans="2:19" outlineLevel="1">
      <c r="B2039" s="13" t="s">
        <v>140</v>
      </c>
      <c r="C2039" s="7" t="str">
        <f t="shared" si="584"/>
        <v>RETRO ESCAVADEIRA NOVA JOHN DEERE CHASSIS BZ310PAPPDX00311</v>
      </c>
      <c r="D2039" s="8">
        <f t="shared" si="583"/>
        <v>46101</v>
      </c>
      <c r="E2039" s="15"/>
      <c r="F2039" s="15"/>
      <c r="G2039" s="15">
        <f t="shared" si="586"/>
        <v>0</v>
      </c>
      <c r="H2039" s="16" t="s">
        <v>203</v>
      </c>
      <c r="I2039" s="10">
        <f t="shared" si="587"/>
        <v>464.51612903225805</v>
      </c>
      <c r="J2039" s="16" t="s">
        <v>16</v>
      </c>
      <c r="K2039" s="15"/>
      <c r="L2039" s="15"/>
      <c r="M2039" s="17"/>
      <c r="N2039" s="9"/>
      <c r="O2039" s="18">
        <f t="shared" si="589"/>
        <v>0</v>
      </c>
      <c r="P2039" s="9"/>
      <c r="Q2039" s="9"/>
      <c r="R2039" s="72"/>
      <c r="S2039" s="10">
        <f t="shared" si="585"/>
        <v>464.51612903225805</v>
      </c>
    </row>
    <row r="2040" spans="2:19" outlineLevel="1">
      <c r="B2040" s="13" t="s">
        <v>140</v>
      </c>
      <c r="C2040" s="7" t="str">
        <f t="shared" si="584"/>
        <v>RETRO ESCAVADEIRA NOVA JOHN DEERE CHASSIS BZ310PAPPDX00311</v>
      </c>
      <c r="D2040" s="8">
        <f t="shared" si="583"/>
        <v>46102</v>
      </c>
      <c r="E2040" s="15"/>
      <c r="F2040" s="15"/>
      <c r="G2040" s="15">
        <f t="shared" si="586"/>
        <v>0</v>
      </c>
      <c r="H2040" s="16" t="s">
        <v>203</v>
      </c>
      <c r="I2040" s="10">
        <f t="shared" si="587"/>
        <v>464.51612903225805</v>
      </c>
      <c r="J2040" s="16" t="s">
        <v>16</v>
      </c>
      <c r="K2040" s="15"/>
      <c r="L2040" s="15"/>
      <c r="M2040" s="17"/>
      <c r="N2040" s="9"/>
      <c r="O2040" s="18">
        <f t="shared" si="589"/>
        <v>0</v>
      </c>
      <c r="P2040" s="9"/>
      <c r="Q2040" s="9"/>
      <c r="R2040" s="72"/>
      <c r="S2040" s="10">
        <f t="shared" si="585"/>
        <v>464.51612903225805</v>
      </c>
    </row>
    <row r="2041" spans="2:19" outlineLevel="1">
      <c r="B2041" s="13" t="s">
        <v>140</v>
      </c>
      <c r="C2041" s="7" t="str">
        <f t="shared" si="584"/>
        <v>RETRO ESCAVADEIRA NOVA JOHN DEERE CHASSIS BZ310PAPPDX00311</v>
      </c>
      <c r="D2041" s="8">
        <f t="shared" si="583"/>
        <v>46103</v>
      </c>
      <c r="E2041" s="15"/>
      <c r="F2041" s="15"/>
      <c r="G2041" s="15">
        <f t="shared" si="586"/>
        <v>0</v>
      </c>
      <c r="H2041" s="16" t="s">
        <v>203</v>
      </c>
      <c r="I2041" s="10">
        <f t="shared" si="587"/>
        <v>464.51612903225805</v>
      </c>
      <c r="J2041" s="16" t="s">
        <v>16</v>
      </c>
      <c r="K2041" s="15"/>
      <c r="L2041" s="15"/>
      <c r="M2041" s="17"/>
      <c r="N2041" s="9"/>
      <c r="O2041" s="18">
        <f t="shared" si="589"/>
        <v>0</v>
      </c>
      <c r="P2041" s="9"/>
      <c r="Q2041" s="9"/>
      <c r="R2041" s="72"/>
      <c r="S2041" s="10">
        <f t="shared" si="585"/>
        <v>464.51612903225805</v>
      </c>
    </row>
    <row r="2042" spans="2:19" outlineLevel="1">
      <c r="B2042" s="13" t="s">
        <v>140</v>
      </c>
      <c r="C2042" s="7" t="str">
        <f t="shared" si="584"/>
        <v>RETRO ESCAVADEIRA NOVA JOHN DEERE CHASSIS BZ310PAPPDX00311</v>
      </c>
      <c r="D2042" s="8">
        <f t="shared" si="583"/>
        <v>46104</v>
      </c>
      <c r="E2042" s="15"/>
      <c r="F2042" s="15"/>
      <c r="G2042" s="15">
        <f t="shared" si="586"/>
        <v>0</v>
      </c>
      <c r="H2042" s="16" t="s">
        <v>203</v>
      </c>
      <c r="I2042" s="10">
        <f t="shared" si="587"/>
        <v>464.51612903225805</v>
      </c>
      <c r="J2042" s="16" t="s">
        <v>16</v>
      </c>
      <c r="K2042" s="15"/>
      <c r="L2042" s="15"/>
      <c r="M2042" s="17"/>
      <c r="N2042" s="9"/>
      <c r="O2042" s="18">
        <f t="shared" si="589"/>
        <v>0</v>
      </c>
      <c r="P2042" s="9"/>
      <c r="Q2042" s="9"/>
      <c r="R2042" s="72"/>
      <c r="S2042" s="10">
        <f t="shared" si="585"/>
        <v>464.51612903225805</v>
      </c>
    </row>
    <row r="2043" spans="2:19" outlineLevel="1">
      <c r="B2043" s="13" t="s">
        <v>140</v>
      </c>
      <c r="C2043" s="7" t="str">
        <f t="shared" si="584"/>
        <v>RETRO ESCAVADEIRA NOVA JOHN DEERE CHASSIS BZ310PAPPDX00311</v>
      </c>
      <c r="D2043" s="8">
        <f t="shared" si="583"/>
        <v>46105</v>
      </c>
      <c r="E2043" s="15"/>
      <c r="F2043" s="15"/>
      <c r="G2043" s="15">
        <f t="shared" si="586"/>
        <v>0</v>
      </c>
      <c r="H2043" s="16" t="s">
        <v>203</v>
      </c>
      <c r="I2043" s="10">
        <f t="shared" si="587"/>
        <v>464.51612903225805</v>
      </c>
      <c r="J2043" s="16" t="s">
        <v>16</v>
      </c>
      <c r="K2043" s="15"/>
      <c r="L2043" s="15"/>
      <c r="M2043" s="17"/>
      <c r="N2043" s="9"/>
      <c r="O2043" s="18">
        <f t="shared" si="589"/>
        <v>0</v>
      </c>
      <c r="P2043" s="9"/>
      <c r="Q2043" s="9"/>
      <c r="R2043" s="72"/>
      <c r="S2043" s="10">
        <f t="shared" si="585"/>
        <v>464.51612903225805</v>
      </c>
    </row>
    <row r="2044" spans="2:19" outlineLevel="1">
      <c r="B2044" s="13" t="s">
        <v>140</v>
      </c>
      <c r="C2044" s="7" t="str">
        <f t="shared" si="584"/>
        <v>RETRO ESCAVADEIRA NOVA JOHN DEERE CHASSIS BZ310PAPPDX00311</v>
      </c>
      <c r="D2044" s="8">
        <f t="shared" si="583"/>
        <v>46106</v>
      </c>
      <c r="E2044" s="15"/>
      <c r="F2044" s="15"/>
      <c r="G2044" s="15">
        <f t="shared" si="586"/>
        <v>0</v>
      </c>
      <c r="H2044" s="16" t="s">
        <v>203</v>
      </c>
      <c r="I2044" s="10">
        <f t="shared" si="587"/>
        <v>464.51612903225805</v>
      </c>
      <c r="J2044" s="16" t="s">
        <v>16</v>
      </c>
      <c r="K2044" s="15"/>
      <c r="L2044" s="15"/>
      <c r="M2044" s="17"/>
      <c r="N2044" s="9"/>
      <c r="O2044" s="18">
        <f t="shared" si="589"/>
        <v>0</v>
      </c>
      <c r="P2044" s="9"/>
      <c r="Q2044" s="9"/>
      <c r="R2044" s="72"/>
      <c r="S2044" s="10">
        <f t="shared" si="585"/>
        <v>464.51612903225805</v>
      </c>
    </row>
    <row r="2045" spans="2:19" outlineLevel="1">
      <c r="B2045" s="13" t="s">
        <v>140</v>
      </c>
      <c r="C2045" s="7" t="str">
        <f t="shared" si="584"/>
        <v>RETRO ESCAVADEIRA NOVA JOHN DEERE CHASSIS BZ310PAPPDX00311</v>
      </c>
      <c r="D2045" s="8">
        <f t="shared" si="583"/>
        <v>46107</v>
      </c>
      <c r="E2045" s="15"/>
      <c r="F2045" s="15"/>
      <c r="G2045" s="15">
        <f t="shared" si="586"/>
        <v>0</v>
      </c>
      <c r="H2045" s="16" t="s">
        <v>203</v>
      </c>
      <c r="I2045" s="10">
        <f t="shared" si="587"/>
        <v>464.51612903225805</v>
      </c>
      <c r="J2045" s="16" t="s">
        <v>16</v>
      </c>
      <c r="K2045" s="15"/>
      <c r="L2045" s="15"/>
      <c r="M2045" s="17"/>
      <c r="N2045" s="9"/>
      <c r="O2045" s="18">
        <f t="shared" si="589"/>
        <v>0</v>
      </c>
      <c r="P2045" s="9"/>
      <c r="Q2045" s="9"/>
      <c r="R2045" s="72"/>
      <c r="S2045" s="10">
        <f t="shared" si="585"/>
        <v>464.51612903225805</v>
      </c>
    </row>
    <row r="2046" spans="2:19" outlineLevel="1">
      <c r="B2046" s="13" t="s">
        <v>140</v>
      </c>
      <c r="C2046" s="7" t="str">
        <f t="shared" si="584"/>
        <v>RETRO ESCAVADEIRA NOVA JOHN DEERE CHASSIS BZ310PAPPDX00311</v>
      </c>
      <c r="D2046" s="8">
        <f t="shared" si="583"/>
        <v>46108</v>
      </c>
      <c r="E2046" s="15"/>
      <c r="F2046" s="15"/>
      <c r="G2046" s="15">
        <f t="shared" si="586"/>
        <v>0</v>
      </c>
      <c r="H2046" s="16" t="s">
        <v>203</v>
      </c>
      <c r="I2046" s="10">
        <f t="shared" si="587"/>
        <v>464.51612903225805</v>
      </c>
      <c r="J2046" s="16" t="s">
        <v>16</v>
      </c>
      <c r="K2046" s="15"/>
      <c r="L2046" s="15"/>
      <c r="M2046" s="17"/>
      <c r="N2046" s="9"/>
      <c r="O2046" s="18">
        <f t="shared" si="589"/>
        <v>0</v>
      </c>
      <c r="P2046" s="9"/>
      <c r="Q2046" s="9"/>
      <c r="R2046" s="72"/>
      <c r="S2046" s="10">
        <f t="shared" si="585"/>
        <v>464.51612903225805</v>
      </c>
    </row>
    <row r="2047" spans="2:19" outlineLevel="1">
      <c r="B2047" s="13" t="s">
        <v>140</v>
      </c>
      <c r="C2047" s="7" t="str">
        <f t="shared" si="584"/>
        <v>RETRO ESCAVADEIRA NOVA JOHN DEERE CHASSIS BZ310PAPPDX00311</v>
      </c>
      <c r="D2047" s="8">
        <f t="shared" ref="D2047" si="590">D1979</f>
        <v>46109</v>
      </c>
      <c r="E2047" s="15"/>
      <c r="F2047" s="15"/>
      <c r="G2047" s="15">
        <f t="shared" si="586"/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91">SUM(R2047+Q2047+I2047)</f>
        <v>464.51612903225805</v>
      </c>
    </row>
    <row r="2048" spans="2:19" outlineLevel="1">
      <c r="B2048" s="13" t="s">
        <v>140</v>
      </c>
      <c r="C2048" s="7" t="str">
        <f t="shared" si="584"/>
        <v>RETRO ESCAVADEIRA NOVA JOHN DEERE CHASSIS BZ310PAPPDX00311</v>
      </c>
      <c r="D2048" s="8">
        <f t="shared" ref="D2048:D2050" si="592">D1980</f>
        <v>46110</v>
      </c>
      <c r="E2048" s="15"/>
      <c r="F2048" s="15"/>
      <c r="G2048" s="15">
        <f t="shared" si="586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91"/>
        <v>464.51612903225805</v>
      </c>
    </row>
    <row r="2049" spans="2:20" outlineLevel="1">
      <c r="B2049" s="13" t="s">
        <v>140</v>
      </c>
      <c r="C2049" s="7" t="str">
        <f t="shared" si="584"/>
        <v>RETRO ESCAVADEIRA NOVA JOHN DEERE CHASSIS BZ310PAPPDX00311</v>
      </c>
      <c r="D2049" s="8">
        <f t="shared" si="592"/>
        <v>46111</v>
      </c>
      <c r="E2049" s="15"/>
      <c r="F2049" s="15"/>
      <c r="G2049" s="15">
        <f t="shared" si="586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91"/>
        <v>464.51612903225805</v>
      </c>
    </row>
    <row r="2050" spans="2:20" outlineLevel="1">
      <c r="B2050" s="13" t="s">
        <v>140</v>
      </c>
      <c r="C2050" s="7" t="str">
        <f t="shared" si="584"/>
        <v>RETRO ESCAVADEIRA NOVA JOHN DEERE CHASSIS BZ310PAPPDX00311</v>
      </c>
      <c r="D2050" s="8">
        <f t="shared" si="592"/>
        <v>46112</v>
      </c>
      <c r="E2050" s="15"/>
      <c r="F2050" s="15"/>
      <c r="G2050" s="15">
        <f t="shared" si="586"/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5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3">D1986</f>
        <v>46082</v>
      </c>
      <c r="E2054" s="15"/>
      <c r="F2054" s="15"/>
      <c r="G2054" s="15">
        <f>F2054-E2054</f>
        <v>0</v>
      </c>
      <c r="H2054" s="16" t="s">
        <v>336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4">C$2052</f>
        <v>MOTONIVELADORA 865B CASE DIESEL 2023 CHASSIS HBZN865BCPAF32939</v>
      </c>
      <c r="D2055" s="8">
        <f t="shared" si="593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336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5">SUM(R2055+Q2055+I2055)</f>
        <v>903.22580645161293</v>
      </c>
    </row>
    <row r="2056" spans="2:20" outlineLevel="1">
      <c r="B2056" s="13" t="s">
        <v>142</v>
      </c>
      <c r="C2056" s="7" t="str">
        <f t="shared" si="594"/>
        <v>MOTONIVELADORA 865B CASE DIESEL 2023 CHASSIS HBZN865BCPAF32939</v>
      </c>
      <c r="D2056" s="8">
        <f t="shared" si="593"/>
        <v>46084</v>
      </c>
      <c r="E2056" s="15">
        <v>2932</v>
      </c>
      <c r="F2056" s="15">
        <v>2936</v>
      </c>
      <c r="G2056" s="15">
        <f t="shared" ref="G2056:G2087" si="596">F2056-E2056</f>
        <v>4</v>
      </c>
      <c r="H2056" s="16" t="s">
        <v>336</v>
      </c>
      <c r="I2056" s="10">
        <f t="shared" ref="I2056:I2080" si="597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5"/>
        <v>903.22580645161293</v>
      </c>
    </row>
    <row r="2057" spans="2:20" outlineLevel="1">
      <c r="B2057" s="13" t="s">
        <v>142</v>
      </c>
      <c r="C2057" s="7" t="str">
        <f t="shared" si="594"/>
        <v>MOTONIVELADORA 865B CASE DIESEL 2023 CHASSIS HBZN865BCPAF32939</v>
      </c>
      <c r="D2057" s="8">
        <f t="shared" si="593"/>
        <v>46085</v>
      </c>
      <c r="E2057" s="15">
        <v>2936</v>
      </c>
      <c r="F2057" s="15">
        <v>2938</v>
      </c>
      <c r="G2057" s="15">
        <f t="shared" si="596"/>
        <v>2</v>
      </c>
      <c r="H2057" s="16" t="s">
        <v>336</v>
      </c>
      <c r="I2057" s="10">
        <f t="shared" si="597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5"/>
        <v>903.22580645161293</v>
      </c>
    </row>
    <row r="2058" spans="2:20" outlineLevel="1">
      <c r="B2058" s="13" t="s">
        <v>142</v>
      </c>
      <c r="C2058" s="7" t="str">
        <f t="shared" si="594"/>
        <v>MOTONIVELADORA 865B CASE DIESEL 2023 CHASSIS HBZN865BCPAF32939</v>
      </c>
      <c r="D2058" s="8">
        <f t="shared" si="593"/>
        <v>46086</v>
      </c>
      <c r="E2058" s="15">
        <v>2938</v>
      </c>
      <c r="F2058" s="15">
        <v>2944.5</v>
      </c>
      <c r="G2058" s="15">
        <f t="shared" si="596"/>
        <v>6.5</v>
      </c>
      <c r="H2058" s="16" t="s">
        <v>336</v>
      </c>
      <c r="I2058" s="10">
        <f t="shared" si="597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5"/>
        <v>903.22580645161293</v>
      </c>
    </row>
    <row r="2059" spans="2:20" outlineLevel="1">
      <c r="B2059" s="13" t="s">
        <v>142</v>
      </c>
      <c r="C2059" s="7" t="str">
        <f t="shared" si="594"/>
        <v>MOTONIVELADORA 865B CASE DIESEL 2023 CHASSIS HBZN865BCPAF32939</v>
      </c>
      <c r="D2059" s="8">
        <f t="shared" si="593"/>
        <v>46087</v>
      </c>
      <c r="E2059" s="15"/>
      <c r="F2059" s="15"/>
      <c r="G2059" s="15">
        <f t="shared" si="596"/>
        <v>0</v>
      </c>
      <c r="H2059" s="16" t="s">
        <v>336</v>
      </c>
      <c r="I2059" s="10">
        <f t="shared" si="597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5"/>
        <v>903.22580645161293</v>
      </c>
    </row>
    <row r="2060" spans="2:20" outlineLevel="1">
      <c r="B2060" s="13" t="s">
        <v>142</v>
      </c>
      <c r="C2060" s="7" t="str">
        <f t="shared" si="594"/>
        <v>MOTONIVELADORA 865B CASE DIESEL 2023 CHASSIS HBZN865BCPAF32939</v>
      </c>
      <c r="D2060" s="8">
        <f t="shared" si="593"/>
        <v>46088</v>
      </c>
      <c r="E2060" s="15"/>
      <c r="F2060" s="15"/>
      <c r="G2060" s="15">
        <f t="shared" si="596"/>
        <v>0</v>
      </c>
      <c r="H2060" s="16" t="s">
        <v>336</v>
      </c>
      <c r="I2060" s="10">
        <f t="shared" si="597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5"/>
        <v>903.22580645161293</v>
      </c>
    </row>
    <row r="2061" spans="2:20" outlineLevel="1">
      <c r="B2061" s="13" t="s">
        <v>142</v>
      </c>
      <c r="C2061" s="7" t="str">
        <f t="shared" si="594"/>
        <v>MOTONIVELADORA 865B CASE DIESEL 2023 CHASSIS HBZN865BCPAF32939</v>
      </c>
      <c r="D2061" s="8">
        <f t="shared" si="593"/>
        <v>46089</v>
      </c>
      <c r="E2061" s="15"/>
      <c r="F2061" s="15"/>
      <c r="G2061" s="15">
        <f t="shared" si="596"/>
        <v>0</v>
      </c>
      <c r="H2061" s="16" t="s">
        <v>336</v>
      </c>
      <c r="I2061" s="10">
        <f t="shared" si="597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5"/>
        <v>903.22580645161293</v>
      </c>
      <c r="T2061" s="76"/>
    </row>
    <row r="2062" spans="2:20" outlineLevel="1">
      <c r="B2062" s="13" t="s">
        <v>142</v>
      </c>
      <c r="C2062" s="7" t="str">
        <f t="shared" si="594"/>
        <v>MOTONIVELADORA 865B CASE DIESEL 2023 CHASSIS HBZN865BCPAF32939</v>
      </c>
      <c r="D2062" s="8">
        <f t="shared" si="593"/>
        <v>46090</v>
      </c>
      <c r="E2062" s="15">
        <v>2944.5</v>
      </c>
      <c r="F2062" s="15">
        <v>2960.6</v>
      </c>
      <c r="G2062" s="15">
        <f t="shared" si="596"/>
        <v>16.099999999999909</v>
      </c>
      <c r="H2062" s="16" t="s">
        <v>336</v>
      </c>
      <c r="I2062" s="10">
        <f t="shared" si="597"/>
        <v>903.22580645161293</v>
      </c>
      <c r="J2062" s="16"/>
      <c r="K2062" s="15">
        <v>1</v>
      </c>
      <c r="L2062" s="15"/>
      <c r="M2062" s="17"/>
      <c r="N2062" s="9"/>
      <c r="O2062" s="9"/>
      <c r="P2062" s="9"/>
      <c r="Q2062" s="9"/>
      <c r="R2062" s="9"/>
      <c r="S2062" s="10">
        <f t="shared" si="595"/>
        <v>903.22580645161293</v>
      </c>
    </row>
    <row r="2063" spans="2:20" outlineLevel="1">
      <c r="B2063" s="13" t="s">
        <v>142</v>
      </c>
      <c r="C2063" s="7" t="str">
        <f t="shared" si="594"/>
        <v>MOTONIVELADORA 865B CASE DIESEL 2023 CHASSIS HBZN865BCPAF32939</v>
      </c>
      <c r="D2063" s="8">
        <f t="shared" si="593"/>
        <v>46091</v>
      </c>
      <c r="E2063" s="15"/>
      <c r="F2063" s="15"/>
      <c r="G2063" s="15">
        <f t="shared" si="596"/>
        <v>0</v>
      </c>
      <c r="H2063" s="16" t="s">
        <v>336</v>
      </c>
      <c r="I2063" s="10">
        <f t="shared" si="597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5"/>
        <v>903.22580645161293</v>
      </c>
    </row>
    <row r="2064" spans="2:20" outlineLevel="1">
      <c r="B2064" s="13" t="s">
        <v>142</v>
      </c>
      <c r="C2064" s="7" t="str">
        <f t="shared" si="594"/>
        <v>MOTONIVELADORA 865B CASE DIESEL 2023 CHASSIS HBZN865BCPAF32939</v>
      </c>
      <c r="D2064" s="8">
        <f t="shared" si="593"/>
        <v>46092</v>
      </c>
      <c r="E2064" s="15">
        <v>2960.6</v>
      </c>
      <c r="F2064" s="15">
        <v>2980.13</v>
      </c>
      <c r="G2064" s="15">
        <f t="shared" si="596"/>
        <v>19.5300000000002</v>
      </c>
      <c r="H2064" s="16" t="s">
        <v>336</v>
      </c>
      <c r="I2064" s="10">
        <f t="shared" si="597"/>
        <v>903.22580645161293</v>
      </c>
      <c r="J2064" s="16"/>
      <c r="K2064" s="15">
        <v>1</v>
      </c>
      <c r="L2064" s="15"/>
      <c r="M2064" s="17"/>
      <c r="N2064" s="9"/>
      <c r="O2064" s="9"/>
      <c r="P2064" s="9"/>
      <c r="Q2064" s="9"/>
      <c r="R2064" s="9"/>
      <c r="S2064" s="10">
        <f t="shared" si="595"/>
        <v>903.22580645161293</v>
      </c>
    </row>
    <row r="2065" spans="2:19" outlineLevel="1">
      <c r="B2065" s="13" t="s">
        <v>142</v>
      </c>
      <c r="C2065" s="7" t="str">
        <f t="shared" si="594"/>
        <v>MOTONIVELADORA 865B CASE DIESEL 2023 CHASSIS HBZN865BCPAF32939</v>
      </c>
      <c r="D2065" s="8">
        <f t="shared" si="593"/>
        <v>46093</v>
      </c>
      <c r="E2065" s="15">
        <v>2960.6</v>
      </c>
      <c r="F2065" s="15">
        <v>2984.73</v>
      </c>
      <c r="G2065" s="15">
        <f t="shared" si="596"/>
        <v>24.130000000000109</v>
      </c>
      <c r="H2065" s="16" t="s">
        <v>336</v>
      </c>
      <c r="I2065" s="10">
        <f t="shared" si="597"/>
        <v>903.22580645161293</v>
      </c>
      <c r="J2065" s="16"/>
      <c r="K2065" s="15">
        <v>1</v>
      </c>
      <c r="L2065" s="15"/>
      <c r="M2065" s="17"/>
      <c r="N2065" s="9"/>
      <c r="O2065" s="9"/>
      <c r="P2065" s="9"/>
      <c r="Q2065" s="9"/>
      <c r="R2065" s="9"/>
      <c r="S2065" s="10">
        <f t="shared" si="595"/>
        <v>903.22580645161293</v>
      </c>
    </row>
    <row r="2066" spans="2:19" outlineLevel="1">
      <c r="B2066" s="13" t="s">
        <v>142</v>
      </c>
      <c r="C2066" s="7" t="str">
        <f t="shared" si="594"/>
        <v>MOTONIVELADORA 865B CASE DIESEL 2023 CHASSIS HBZN865BCPAF32939</v>
      </c>
      <c r="D2066" s="8">
        <f t="shared" si="593"/>
        <v>46094</v>
      </c>
      <c r="E2066" s="15">
        <v>2984.73</v>
      </c>
      <c r="F2066" s="15">
        <v>2992.79</v>
      </c>
      <c r="G2066" s="15">
        <f t="shared" si="596"/>
        <v>8.0599999999999454</v>
      </c>
      <c r="H2066" s="16" t="s">
        <v>336</v>
      </c>
      <c r="I2066" s="10">
        <f t="shared" si="597"/>
        <v>903.22580645161293</v>
      </c>
      <c r="J2066" s="16"/>
      <c r="K2066" s="15">
        <v>1</v>
      </c>
      <c r="L2066" s="15"/>
      <c r="M2066" s="17"/>
      <c r="N2066" s="9"/>
      <c r="O2066" s="18"/>
      <c r="P2066" s="9"/>
      <c r="Q2066" s="9"/>
      <c r="R2066" s="9"/>
      <c r="S2066" s="10">
        <f t="shared" si="595"/>
        <v>903.22580645161293</v>
      </c>
    </row>
    <row r="2067" spans="2:19" outlineLevel="1">
      <c r="B2067" s="13" t="s">
        <v>142</v>
      </c>
      <c r="C2067" s="7" t="str">
        <f t="shared" si="594"/>
        <v>MOTONIVELADORA 865B CASE DIESEL 2023 CHASSIS HBZN865BCPAF32939</v>
      </c>
      <c r="D2067" s="8">
        <f t="shared" si="593"/>
        <v>46095</v>
      </c>
      <c r="E2067" s="15"/>
      <c r="F2067" s="15"/>
      <c r="G2067" s="15">
        <f t="shared" si="596"/>
        <v>0</v>
      </c>
      <c r="H2067" s="16" t="s">
        <v>336</v>
      </c>
      <c r="I2067" s="10">
        <f t="shared" si="597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5"/>
        <v>903.22580645161293</v>
      </c>
    </row>
    <row r="2068" spans="2:19" outlineLevel="1">
      <c r="B2068" s="13" t="s">
        <v>142</v>
      </c>
      <c r="C2068" s="7" t="str">
        <f t="shared" si="594"/>
        <v>MOTONIVELADORA 865B CASE DIESEL 2023 CHASSIS HBZN865BCPAF32939</v>
      </c>
      <c r="D2068" s="8">
        <f t="shared" si="593"/>
        <v>46096</v>
      </c>
      <c r="E2068" s="15"/>
      <c r="F2068" s="15"/>
      <c r="G2068" s="15">
        <f t="shared" si="596"/>
        <v>0</v>
      </c>
      <c r="H2068" s="16" t="s">
        <v>336</v>
      </c>
      <c r="I2068" s="10">
        <f t="shared" si="597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5"/>
        <v>903.22580645161293</v>
      </c>
    </row>
    <row r="2069" spans="2:19" outlineLevel="1">
      <c r="B2069" s="13" t="s">
        <v>142</v>
      </c>
      <c r="C2069" s="7" t="str">
        <f t="shared" si="594"/>
        <v>MOTONIVELADORA 865B CASE DIESEL 2023 CHASSIS HBZN865BCPAF32939</v>
      </c>
      <c r="D2069" s="8">
        <f t="shared" si="593"/>
        <v>46097</v>
      </c>
      <c r="E2069" s="15">
        <v>2992.79</v>
      </c>
      <c r="F2069" s="15">
        <v>2996.31</v>
      </c>
      <c r="G2069" s="15">
        <f t="shared" si="596"/>
        <v>3.5199999999999818</v>
      </c>
      <c r="H2069" s="16" t="s">
        <v>336</v>
      </c>
      <c r="I2069" s="10">
        <f t="shared" si="597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5"/>
        <v>903.22580645161293</v>
      </c>
    </row>
    <row r="2070" spans="2:19" outlineLevel="1">
      <c r="B2070" s="13" t="s">
        <v>142</v>
      </c>
      <c r="C2070" s="7" t="str">
        <f t="shared" si="594"/>
        <v>MOTONIVELADORA 865B CASE DIESEL 2023 CHASSIS HBZN865BCPAF32939</v>
      </c>
      <c r="D2070" s="8">
        <f t="shared" si="593"/>
        <v>46098</v>
      </c>
      <c r="E2070" s="15"/>
      <c r="F2070" s="15"/>
      <c r="G2070" s="15">
        <f t="shared" si="596"/>
        <v>0</v>
      </c>
      <c r="H2070" s="16" t="s">
        <v>336</v>
      </c>
      <c r="I2070" s="10">
        <f t="shared" si="597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5"/>
        <v>903.22580645161293</v>
      </c>
    </row>
    <row r="2071" spans="2:19" outlineLevel="1">
      <c r="B2071" s="13" t="s">
        <v>142</v>
      </c>
      <c r="C2071" s="7" t="str">
        <f t="shared" si="594"/>
        <v>MOTONIVELADORA 865B CASE DIESEL 2023 CHASSIS HBZN865BCPAF32939</v>
      </c>
      <c r="D2071" s="8">
        <f t="shared" si="593"/>
        <v>46099</v>
      </c>
      <c r="E2071" s="15"/>
      <c r="F2071" s="15"/>
      <c r="G2071" s="15">
        <f t="shared" si="596"/>
        <v>0</v>
      </c>
      <c r="H2071" s="16" t="s">
        <v>336</v>
      </c>
      <c r="I2071" s="10">
        <f t="shared" si="597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5"/>
        <v>903.22580645161293</v>
      </c>
    </row>
    <row r="2072" spans="2:19" outlineLevel="1">
      <c r="B2072" s="13" t="s">
        <v>142</v>
      </c>
      <c r="C2072" s="7" t="str">
        <f t="shared" si="594"/>
        <v>MOTONIVELADORA 865B CASE DIESEL 2023 CHASSIS HBZN865BCPAF32939</v>
      </c>
      <c r="D2072" s="8">
        <f t="shared" si="593"/>
        <v>46100</v>
      </c>
      <c r="E2072" s="15"/>
      <c r="F2072" s="15"/>
      <c r="G2072" s="15">
        <f t="shared" si="596"/>
        <v>0</v>
      </c>
      <c r="H2072" s="16" t="s">
        <v>336</v>
      </c>
      <c r="I2072" s="10">
        <f t="shared" si="597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5"/>
        <v>903.22580645161293</v>
      </c>
    </row>
    <row r="2073" spans="2:19" outlineLevel="1">
      <c r="B2073" s="13" t="s">
        <v>142</v>
      </c>
      <c r="C2073" s="7" t="str">
        <f t="shared" si="594"/>
        <v>MOTONIVELADORA 865B CASE DIESEL 2023 CHASSIS HBZN865BCPAF32939</v>
      </c>
      <c r="D2073" s="8">
        <f t="shared" si="593"/>
        <v>46101</v>
      </c>
      <c r="E2073" s="15"/>
      <c r="F2073" s="15"/>
      <c r="G2073" s="15">
        <f t="shared" si="596"/>
        <v>0</v>
      </c>
      <c r="H2073" s="16" t="s">
        <v>336</v>
      </c>
      <c r="I2073" s="10">
        <f t="shared" si="597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5"/>
        <v>903.22580645161293</v>
      </c>
    </row>
    <row r="2074" spans="2:19" outlineLevel="1">
      <c r="B2074" s="13" t="s">
        <v>142</v>
      </c>
      <c r="C2074" s="7" t="str">
        <f t="shared" si="594"/>
        <v>MOTONIVELADORA 865B CASE DIESEL 2023 CHASSIS HBZN865BCPAF32939</v>
      </c>
      <c r="D2074" s="8">
        <f t="shared" si="593"/>
        <v>46102</v>
      </c>
      <c r="E2074" s="15"/>
      <c r="F2074" s="15"/>
      <c r="G2074" s="15">
        <f t="shared" si="596"/>
        <v>0</v>
      </c>
      <c r="H2074" s="16" t="s">
        <v>336</v>
      </c>
      <c r="I2074" s="10">
        <f t="shared" si="597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5"/>
        <v>903.22580645161293</v>
      </c>
    </row>
    <row r="2075" spans="2:19" outlineLevel="1">
      <c r="B2075" s="13" t="s">
        <v>142</v>
      </c>
      <c r="C2075" s="7" t="str">
        <f t="shared" si="594"/>
        <v>MOTONIVELADORA 865B CASE DIESEL 2023 CHASSIS HBZN865BCPAF32939</v>
      </c>
      <c r="D2075" s="8">
        <f t="shared" si="593"/>
        <v>46103</v>
      </c>
      <c r="E2075" s="15"/>
      <c r="F2075" s="15"/>
      <c r="G2075" s="15">
        <f t="shared" si="596"/>
        <v>0</v>
      </c>
      <c r="H2075" s="16" t="s">
        <v>336</v>
      </c>
      <c r="I2075" s="10">
        <f t="shared" si="597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5"/>
        <v>903.22580645161293</v>
      </c>
    </row>
    <row r="2076" spans="2:19" outlineLevel="1">
      <c r="B2076" s="13" t="s">
        <v>142</v>
      </c>
      <c r="C2076" s="7" t="str">
        <f t="shared" si="594"/>
        <v>MOTONIVELADORA 865B CASE DIESEL 2023 CHASSIS HBZN865BCPAF32939</v>
      </c>
      <c r="D2076" s="8">
        <f t="shared" si="593"/>
        <v>46104</v>
      </c>
      <c r="E2076" s="15"/>
      <c r="F2076" s="15"/>
      <c r="G2076" s="15">
        <f t="shared" si="596"/>
        <v>0</v>
      </c>
      <c r="H2076" s="16" t="s">
        <v>336</v>
      </c>
      <c r="I2076" s="10">
        <f t="shared" si="597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5"/>
        <v>903.22580645161293</v>
      </c>
    </row>
    <row r="2077" spans="2:19" outlineLevel="1">
      <c r="B2077" s="13" t="s">
        <v>142</v>
      </c>
      <c r="C2077" s="7" t="str">
        <f t="shared" si="594"/>
        <v>MOTONIVELADORA 865B CASE DIESEL 2023 CHASSIS HBZN865BCPAF32939</v>
      </c>
      <c r="D2077" s="8">
        <f t="shared" si="593"/>
        <v>46105</v>
      </c>
      <c r="E2077" s="15"/>
      <c r="F2077" s="15"/>
      <c r="G2077" s="15">
        <f t="shared" si="596"/>
        <v>0</v>
      </c>
      <c r="H2077" s="16" t="s">
        <v>336</v>
      </c>
      <c r="I2077" s="10">
        <f t="shared" si="597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5"/>
        <v>903.22580645161293</v>
      </c>
    </row>
    <row r="2078" spans="2:19" outlineLevel="1">
      <c r="B2078" s="13" t="s">
        <v>142</v>
      </c>
      <c r="C2078" s="7" t="str">
        <f t="shared" si="594"/>
        <v>MOTONIVELADORA 865B CASE DIESEL 2023 CHASSIS HBZN865BCPAF32939</v>
      </c>
      <c r="D2078" s="8">
        <f t="shared" si="593"/>
        <v>46106</v>
      </c>
      <c r="E2078" s="15"/>
      <c r="F2078" s="15"/>
      <c r="G2078" s="15">
        <f t="shared" si="596"/>
        <v>0</v>
      </c>
      <c r="H2078" s="16" t="s">
        <v>336</v>
      </c>
      <c r="I2078" s="10">
        <f t="shared" si="597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5"/>
        <v>903.22580645161293</v>
      </c>
    </row>
    <row r="2079" spans="2:19" outlineLevel="1">
      <c r="B2079" s="13" t="s">
        <v>142</v>
      </c>
      <c r="C2079" s="7" t="str">
        <f t="shared" si="594"/>
        <v>MOTONIVELADORA 865B CASE DIESEL 2023 CHASSIS HBZN865BCPAF32939</v>
      </c>
      <c r="D2079" s="8">
        <f t="shared" si="593"/>
        <v>46107</v>
      </c>
      <c r="E2079" s="15"/>
      <c r="F2079" s="15"/>
      <c r="G2079" s="15">
        <f t="shared" si="596"/>
        <v>0</v>
      </c>
      <c r="H2079" s="16" t="s">
        <v>336</v>
      </c>
      <c r="I2079" s="10">
        <f t="shared" si="597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8">O2078</f>
        <v>0</v>
      </c>
      <c r="P2079" s="9"/>
      <c r="Q2079" s="9"/>
      <c r="R2079" s="9"/>
      <c r="S2079" s="10">
        <f t="shared" si="595"/>
        <v>903.22580645161293</v>
      </c>
    </row>
    <row r="2080" spans="2:19" outlineLevel="1">
      <c r="B2080" s="13" t="s">
        <v>142</v>
      </c>
      <c r="C2080" s="7" t="str">
        <f t="shared" si="594"/>
        <v>MOTONIVELADORA 865B CASE DIESEL 2023 CHASSIS HBZN865BCPAF32939</v>
      </c>
      <c r="D2080" s="8">
        <f t="shared" si="593"/>
        <v>46108</v>
      </c>
      <c r="E2080" s="15"/>
      <c r="F2080" s="15"/>
      <c r="G2080" s="15">
        <f t="shared" si="596"/>
        <v>0</v>
      </c>
      <c r="H2080" s="16" t="s">
        <v>336</v>
      </c>
      <c r="I2080" s="10">
        <f t="shared" si="597"/>
        <v>903.22580645161293</v>
      </c>
      <c r="J2080" s="16" t="s">
        <v>16</v>
      </c>
      <c r="K2080" s="15"/>
      <c r="L2080" s="15"/>
      <c r="M2080" s="17"/>
      <c r="N2080" s="9"/>
      <c r="O2080" s="18">
        <f t="shared" si="598"/>
        <v>0</v>
      </c>
      <c r="P2080" s="9"/>
      <c r="Q2080" s="9"/>
      <c r="R2080" s="9"/>
      <c r="S2080" s="10">
        <f t="shared" si="595"/>
        <v>903.22580645161293</v>
      </c>
    </row>
    <row r="2081" spans="2:20" outlineLevel="1">
      <c r="B2081" s="13" t="s">
        <v>142</v>
      </c>
      <c r="C2081" s="7" t="str">
        <f t="shared" si="594"/>
        <v>MOTONIVELADORA 865B CASE DIESEL 2023 CHASSIS HBZN865BCPAF32939</v>
      </c>
      <c r="D2081" s="8">
        <f t="shared" ref="D2081" si="599">D2013</f>
        <v>46109</v>
      </c>
      <c r="E2081" s="15"/>
      <c r="F2081" s="15"/>
      <c r="G2081" s="15">
        <f t="shared" si="596"/>
        <v>0</v>
      </c>
      <c r="H2081" s="16" t="s">
        <v>336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600">SUM(R2081+Q2081+I2081)</f>
        <v>903.22580645161293</v>
      </c>
    </row>
    <row r="2082" spans="2:20" outlineLevel="1">
      <c r="B2082" s="13" t="s">
        <v>142</v>
      </c>
      <c r="C2082" s="7" t="str">
        <f t="shared" si="594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6"/>
        <v>0</v>
      </c>
      <c r="H2082" s="16" t="s">
        <v>336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600"/>
        <v>903.22580645161293</v>
      </c>
    </row>
    <row r="2083" spans="2:20" outlineLevel="1">
      <c r="B2083" s="13" t="s">
        <v>142</v>
      </c>
      <c r="C2083" s="7" t="str">
        <f t="shared" si="594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6"/>
        <v>0</v>
      </c>
      <c r="H2083" s="16" t="s">
        <v>336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600"/>
        <v>903.22580645161293</v>
      </c>
    </row>
    <row r="2084" spans="2:20" outlineLevel="1">
      <c r="B2084" s="13" t="s">
        <v>142</v>
      </c>
      <c r="C2084" s="7" t="str">
        <f t="shared" si="594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6"/>
        <v>0</v>
      </c>
      <c r="H2084" s="16" t="s">
        <v>336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600"/>
        <v>903.22580645161293</v>
      </c>
    </row>
    <row r="2085" spans="2:20" outlineLevel="1">
      <c r="B2085" s="13" t="s">
        <v>142</v>
      </c>
      <c r="C2085" s="7" t="str">
        <f t="shared" si="594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6"/>
        <v>0</v>
      </c>
      <c r="H2085" s="16" t="s">
        <v>336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600"/>
        <v>903.22580645161293</v>
      </c>
    </row>
    <row r="2086" spans="2:20" outlineLevel="1">
      <c r="B2086" s="13" t="s">
        <v>142</v>
      </c>
      <c r="C2086" s="7" t="str">
        <f t="shared" si="594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6"/>
        <v>0</v>
      </c>
      <c r="H2086" s="16" t="s">
        <v>336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600"/>
        <v>903.22580645161293</v>
      </c>
    </row>
    <row r="2087" spans="2:20" outlineLevel="1">
      <c r="B2087" s="13" t="s">
        <v>142</v>
      </c>
      <c r="C2087" s="7" t="str">
        <f t="shared" si="594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6"/>
        <v>0</v>
      </c>
      <c r="H2087" s="16" t="s">
        <v>336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5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1">D2020</f>
        <v>46082</v>
      </c>
      <c r="E2091" s="15"/>
      <c r="F2091" s="15"/>
      <c r="G2091" s="15">
        <f>E2091-F2091</f>
        <v>0</v>
      </c>
      <c r="H2091" s="16" t="s">
        <v>278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2">C$2089</f>
        <v>MOTONIVELADORA 865B CASE DIESEL 2023 CHASSIS HBZN865BPPAF32670</v>
      </c>
      <c r="D2092" s="8">
        <f t="shared" si="601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278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3">SUM(R2092+Q2092+I2092)</f>
        <v>903.22580645161293</v>
      </c>
    </row>
    <row r="2093" spans="2:20" outlineLevel="1">
      <c r="B2093" s="13" t="s">
        <v>144</v>
      </c>
      <c r="C2093" s="7" t="str">
        <f t="shared" si="602"/>
        <v>MOTONIVELADORA 865B CASE DIESEL 2023 CHASSIS HBZN865BPPAF32670</v>
      </c>
      <c r="D2093" s="8">
        <f t="shared" si="601"/>
        <v>46084</v>
      </c>
      <c r="E2093" s="15"/>
      <c r="F2093" s="15"/>
      <c r="G2093" s="15">
        <f t="shared" ref="G2093:G2121" si="604">E2093-F2093</f>
        <v>0</v>
      </c>
      <c r="H2093" s="16" t="s">
        <v>278</v>
      </c>
      <c r="I2093" s="10">
        <f t="shared" ref="I2093:I2116" si="605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3"/>
        <v>903.22580645161293</v>
      </c>
    </row>
    <row r="2094" spans="2:20" outlineLevel="1">
      <c r="B2094" s="13" t="s">
        <v>144</v>
      </c>
      <c r="C2094" s="7" t="str">
        <f t="shared" si="602"/>
        <v>MOTONIVELADORA 865B CASE DIESEL 2023 CHASSIS HBZN865BPPAF32670</v>
      </c>
      <c r="D2094" s="8">
        <f t="shared" si="601"/>
        <v>46085</v>
      </c>
      <c r="E2094" s="15">
        <v>2947</v>
      </c>
      <c r="F2094" s="15">
        <v>2954</v>
      </c>
      <c r="G2094" s="15">
        <f t="shared" si="604"/>
        <v>-7</v>
      </c>
      <c r="H2094" s="16" t="s">
        <v>278</v>
      </c>
      <c r="I2094" s="10">
        <f t="shared" si="605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3"/>
        <v>903.22580645161293</v>
      </c>
    </row>
    <row r="2095" spans="2:20" outlineLevel="1">
      <c r="B2095" s="13" t="s">
        <v>144</v>
      </c>
      <c r="C2095" s="7" t="str">
        <f t="shared" si="602"/>
        <v>MOTONIVELADORA 865B CASE DIESEL 2023 CHASSIS HBZN865BPPAF32670</v>
      </c>
      <c r="D2095" s="8">
        <f t="shared" si="601"/>
        <v>46086</v>
      </c>
      <c r="E2095" s="15">
        <v>2954</v>
      </c>
      <c r="F2095" s="15">
        <v>2960</v>
      </c>
      <c r="G2095" s="15">
        <f t="shared" si="604"/>
        <v>-6</v>
      </c>
      <c r="H2095" s="16" t="s">
        <v>278</v>
      </c>
      <c r="I2095" s="10">
        <f t="shared" si="605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3"/>
        <v>903.22580645161293</v>
      </c>
    </row>
    <row r="2096" spans="2:20" outlineLevel="1">
      <c r="B2096" s="13" t="s">
        <v>144</v>
      </c>
      <c r="C2096" s="7" t="str">
        <f t="shared" si="602"/>
        <v>MOTONIVELADORA 865B CASE DIESEL 2023 CHASSIS HBZN865BPPAF32670</v>
      </c>
      <c r="D2096" s="8">
        <f t="shared" si="601"/>
        <v>46087</v>
      </c>
      <c r="E2096" s="15">
        <v>2960</v>
      </c>
      <c r="F2096" s="15">
        <v>2965</v>
      </c>
      <c r="G2096" s="15">
        <f t="shared" si="604"/>
        <v>-5</v>
      </c>
      <c r="H2096" s="16" t="s">
        <v>278</v>
      </c>
      <c r="I2096" s="10">
        <f t="shared" si="605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3"/>
        <v>903.22580645161293</v>
      </c>
    </row>
    <row r="2097" spans="2:19" outlineLevel="1">
      <c r="B2097" s="13" t="s">
        <v>144</v>
      </c>
      <c r="C2097" s="7" t="str">
        <f t="shared" si="602"/>
        <v>MOTONIVELADORA 865B CASE DIESEL 2023 CHASSIS HBZN865BPPAF32670</v>
      </c>
      <c r="D2097" s="8">
        <f t="shared" si="601"/>
        <v>46088</v>
      </c>
      <c r="E2097" s="15">
        <v>2965</v>
      </c>
      <c r="F2097" s="15">
        <v>2966</v>
      </c>
      <c r="G2097" s="15">
        <f t="shared" si="604"/>
        <v>-1</v>
      </c>
      <c r="H2097" s="16" t="s">
        <v>278</v>
      </c>
      <c r="I2097" s="10">
        <f t="shared" si="605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3"/>
        <v>903.22580645161293</v>
      </c>
    </row>
    <row r="2098" spans="2:19" outlineLevel="1">
      <c r="B2098" s="13" t="s">
        <v>144</v>
      </c>
      <c r="C2098" s="7" t="str">
        <f t="shared" si="602"/>
        <v>MOTONIVELADORA 865B CASE DIESEL 2023 CHASSIS HBZN865BPPAF32670</v>
      </c>
      <c r="D2098" s="8">
        <f t="shared" si="601"/>
        <v>46089</v>
      </c>
      <c r="E2098" s="15"/>
      <c r="F2098" s="15"/>
      <c r="G2098" s="15">
        <f t="shared" si="604"/>
        <v>0</v>
      </c>
      <c r="H2098" s="16" t="s">
        <v>278</v>
      </c>
      <c r="I2098" s="10">
        <f t="shared" si="605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3"/>
        <v>903.22580645161293</v>
      </c>
    </row>
    <row r="2099" spans="2:19" outlineLevel="1">
      <c r="B2099" s="13" t="s">
        <v>144</v>
      </c>
      <c r="C2099" s="7" t="str">
        <f t="shared" si="602"/>
        <v>MOTONIVELADORA 865B CASE DIESEL 2023 CHASSIS HBZN865BPPAF32670</v>
      </c>
      <c r="D2099" s="8">
        <f t="shared" si="601"/>
        <v>46090</v>
      </c>
      <c r="E2099" s="15"/>
      <c r="F2099" s="15"/>
      <c r="G2099" s="15">
        <f t="shared" si="604"/>
        <v>0</v>
      </c>
      <c r="H2099" s="16" t="s">
        <v>278</v>
      </c>
      <c r="I2099" s="10">
        <f t="shared" si="605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3"/>
        <v>903.22580645161293</v>
      </c>
    </row>
    <row r="2100" spans="2:19" outlineLevel="1">
      <c r="B2100" s="13" t="s">
        <v>144</v>
      </c>
      <c r="C2100" s="7" t="str">
        <f t="shared" si="602"/>
        <v>MOTONIVELADORA 865B CASE DIESEL 2023 CHASSIS HBZN865BPPAF32670</v>
      </c>
      <c r="D2100" s="8">
        <f t="shared" si="601"/>
        <v>46091</v>
      </c>
      <c r="E2100" s="15"/>
      <c r="F2100" s="15"/>
      <c r="G2100" s="15">
        <f t="shared" si="604"/>
        <v>0</v>
      </c>
      <c r="H2100" s="16" t="s">
        <v>278</v>
      </c>
      <c r="I2100" s="10">
        <f t="shared" si="605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3"/>
        <v>903.22580645161293</v>
      </c>
    </row>
    <row r="2101" spans="2:19" outlineLevel="1">
      <c r="B2101" s="13" t="s">
        <v>144</v>
      </c>
      <c r="C2101" s="7" t="str">
        <f t="shared" si="602"/>
        <v>MOTONIVELADORA 865B CASE DIESEL 2023 CHASSIS HBZN865BPPAF32670</v>
      </c>
      <c r="D2101" s="8">
        <f t="shared" si="601"/>
        <v>46092</v>
      </c>
      <c r="E2101" s="15"/>
      <c r="F2101" s="15"/>
      <c r="G2101" s="15">
        <f t="shared" si="604"/>
        <v>0</v>
      </c>
      <c r="H2101" s="16" t="s">
        <v>278</v>
      </c>
      <c r="I2101" s="10">
        <f t="shared" si="605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3"/>
        <v>903.22580645161293</v>
      </c>
    </row>
    <row r="2102" spans="2:19" outlineLevel="1">
      <c r="B2102" s="13" t="s">
        <v>144</v>
      </c>
      <c r="C2102" s="7" t="str">
        <f t="shared" si="602"/>
        <v>MOTONIVELADORA 865B CASE DIESEL 2023 CHASSIS HBZN865BPPAF32670</v>
      </c>
      <c r="D2102" s="8">
        <f t="shared" si="601"/>
        <v>46093</v>
      </c>
      <c r="E2102" s="15"/>
      <c r="F2102" s="15"/>
      <c r="G2102" s="15">
        <f t="shared" si="604"/>
        <v>0</v>
      </c>
      <c r="H2102" s="16" t="s">
        <v>278</v>
      </c>
      <c r="I2102" s="10">
        <f t="shared" si="605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3"/>
        <v>903.22580645161293</v>
      </c>
    </row>
    <row r="2103" spans="2:19" outlineLevel="1">
      <c r="B2103" s="13" t="s">
        <v>144</v>
      </c>
      <c r="C2103" s="7" t="str">
        <f t="shared" si="602"/>
        <v>MOTONIVELADORA 865B CASE DIESEL 2023 CHASSIS HBZN865BPPAF32670</v>
      </c>
      <c r="D2103" s="8">
        <f t="shared" si="601"/>
        <v>46094</v>
      </c>
      <c r="E2103" s="15"/>
      <c r="F2103" s="15"/>
      <c r="G2103" s="15">
        <f t="shared" si="604"/>
        <v>0</v>
      </c>
      <c r="H2103" s="16" t="s">
        <v>278</v>
      </c>
      <c r="I2103" s="10">
        <f t="shared" si="605"/>
        <v>903.22580645161293</v>
      </c>
      <c r="J2103" s="16"/>
      <c r="K2103" s="15"/>
      <c r="L2103" s="15"/>
      <c r="M2103" s="17"/>
      <c r="N2103" s="9"/>
      <c r="O2103" s="18">
        <f t="shared" ref="O2103:O2116" si="606">O2102</f>
        <v>0</v>
      </c>
      <c r="P2103" s="9"/>
      <c r="Q2103" s="9"/>
      <c r="R2103" s="9"/>
      <c r="S2103" s="10">
        <f t="shared" si="603"/>
        <v>903.22580645161293</v>
      </c>
    </row>
    <row r="2104" spans="2:19" outlineLevel="1">
      <c r="B2104" s="13" t="s">
        <v>144</v>
      </c>
      <c r="C2104" s="7" t="str">
        <f t="shared" si="602"/>
        <v>MOTONIVELADORA 865B CASE DIESEL 2023 CHASSIS HBZN865BPPAF32670</v>
      </c>
      <c r="D2104" s="8">
        <f t="shared" si="601"/>
        <v>46095</v>
      </c>
      <c r="E2104" s="15"/>
      <c r="F2104" s="15"/>
      <c r="G2104" s="15">
        <f t="shared" si="604"/>
        <v>0</v>
      </c>
      <c r="H2104" s="16" t="s">
        <v>278</v>
      </c>
      <c r="I2104" s="10">
        <f t="shared" si="605"/>
        <v>903.22580645161293</v>
      </c>
      <c r="J2104" s="16" t="s">
        <v>16</v>
      </c>
      <c r="K2104" s="15"/>
      <c r="L2104" s="15"/>
      <c r="M2104" s="17"/>
      <c r="N2104" s="9"/>
      <c r="O2104" s="18">
        <f t="shared" si="606"/>
        <v>0</v>
      </c>
      <c r="P2104" s="9"/>
      <c r="Q2104" s="9"/>
      <c r="R2104" s="9"/>
      <c r="S2104" s="10">
        <f t="shared" si="603"/>
        <v>903.22580645161293</v>
      </c>
    </row>
    <row r="2105" spans="2:19" outlineLevel="1">
      <c r="B2105" s="13" t="s">
        <v>144</v>
      </c>
      <c r="C2105" s="7" t="str">
        <f t="shared" si="602"/>
        <v>MOTONIVELADORA 865B CASE DIESEL 2023 CHASSIS HBZN865BPPAF32670</v>
      </c>
      <c r="D2105" s="8">
        <f t="shared" si="601"/>
        <v>46096</v>
      </c>
      <c r="E2105" s="15"/>
      <c r="F2105" s="15"/>
      <c r="G2105" s="15">
        <f t="shared" si="604"/>
        <v>0</v>
      </c>
      <c r="H2105" s="16" t="s">
        <v>278</v>
      </c>
      <c r="I2105" s="10">
        <f t="shared" si="605"/>
        <v>903.22580645161293</v>
      </c>
      <c r="J2105" s="16" t="s">
        <v>16</v>
      </c>
      <c r="K2105" s="15"/>
      <c r="L2105" s="15"/>
      <c r="M2105" s="17"/>
      <c r="N2105" s="9"/>
      <c r="O2105" s="18">
        <f t="shared" si="606"/>
        <v>0</v>
      </c>
      <c r="P2105" s="9"/>
      <c r="Q2105" s="9"/>
      <c r="R2105" s="9"/>
      <c r="S2105" s="10">
        <f t="shared" si="603"/>
        <v>903.22580645161293</v>
      </c>
    </row>
    <row r="2106" spans="2:19" outlineLevel="1">
      <c r="B2106" s="13" t="s">
        <v>144</v>
      </c>
      <c r="C2106" s="7" t="str">
        <f t="shared" si="602"/>
        <v>MOTONIVELADORA 865B CASE DIESEL 2023 CHASSIS HBZN865BPPAF32670</v>
      </c>
      <c r="D2106" s="8">
        <f t="shared" si="601"/>
        <v>46097</v>
      </c>
      <c r="E2106" s="15"/>
      <c r="F2106" s="15"/>
      <c r="G2106" s="15">
        <f t="shared" si="604"/>
        <v>0</v>
      </c>
      <c r="H2106" s="16" t="s">
        <v>278</v>
      </c>
      <c r="I2106" s="10">
        <f t="shared" si="605"/>
        <v>903.22580645161293</v>
      </c>
      <c r="J2106" s="16" t="s">
        <v>16</v>
      </c>
      <c r="K2106" s="15"/>
      <c r="L2106" s="15"/>
      <c r="M2106" s="17"/>
      <c r="N2106" s="9"/>
      <c r="O2106" s="18">
        <f t="shared" si="606"/>
        <v>0</v>
      </c>
      <c r="P2106" s="9"/>
      <c r="Q2106" s="9"/>
      <c r="R2106" s="9"/>
      <c r="S2106" s="10">
        <f t="shared" si="603"/>
        <v>903.22580645161293</v>
      </c>
    </row>
    <row r="2107" spans="2:19" outlineLevel="1">
      <c r="B2107" s="13" t="s">
        <v>144</v>
      </c>
      <c r="C2107" s="7" t="str">
        <f t="shared" si="602"/>
        <v>MOTONIVELADORA 865B CASE DIESEL 2023 CHASSIS HBZN865BPPAF32670</v>
      </c>
      <c r="D2107" s="8">
        <f t="shared" si="601"/>
        <v>46098</v>
      </c>
      <c r="E2107" s="15"/>
      <c r="F2107" s="15"/>
      <c r="G2107" s="15">
        <f t="shared" si="604"/>
        <v>0</v>
      </c>
      <c r="H2107" s="16" t="s">
        <v>278</v>
      </c>
      <c r="I2107" s="10">
        <f t="shared" si="605"/>
        <v>903.22580645161293</v>
      </c>
      <c r="J2107" s="16" t="s">
        <v>16</v>
      </c>
      <c r="K2107" s="15"/>
      <c r="L2107" s="15"/>
      <c r="M2107" s="17"/>
      <c r="N2107" s="9"/>
      <c r="O2107" s="18">
        <f t="shared" si="606"/>
        <v>0</v>
      </c>
      <c r="P2107" s="9"/>
      <c r="Q2107" s="9"/>
      <c r="R2107" s="9"/>
      <c r="S2107" s="10">
        <f t="shared" si="603"/>
        <v>903.22580645161293</v>
      </c>
    </row>
    <row r="2108" spans="2:19" outlineLevel="1">
      <c r="B2108" s="13" t="s">
        <v>144</v>
      </c>
      <c r="C2108" s="7" t="str">
        <f t="shared" si="602"/>
        <v>MOTONIVELADORA 865B CASE DIESEL 2023 CHASSIS HBZN865BPPAF32670</v>
      </c>
      <c r="D2108" s="8">
        <f t="shared" si="601"/>
        <v>46099</v>
      </c>
      <c r="E2108" s="15"/>
      <c r="F2108" s="15"/>
      <c r="G2108" s="15">
        <f t="shared" si="604"/>
        <v>0</v>
      </c>
      <c r="H2108" s="16" t="s">
        <v>278</v>
      </c>
      <c r="I2108" s="10">
        <f t="shared" si="605"/>
        <v>903.22580645161293</v>
      </c>
      <c r="J2108" s="16" t="s">
        <v>16</v>
      </c>
      <c r="K2108" s="15"/>
      <c r="L2108" s="15"/>
      <c r="M2108" s="17"/>
      <c r="N2108" s="9"/>
      <c r="O2108" s="18">
        <f t="shared" si="606"/>
        <v>0</v>
      </c>
      <c r="P2108" s="9"/>
      <c r="Q2108" s="9"/>
      <c r="R2108" s="9"/>
      <c r="S2108" s="10">
        <f t="shared" si="603"/>
        <v>903.22580645161293</v>
      </c>
    </row>
    <row r="2109" spans="2:19" outlineLevel="1">
      <c r="B2109" s="13" t="s">
        <v>144</v>
      </c>
      <c r="C2109" s="7" t="str">
        <f t="shared" si="602"/>
        <v>MOTONIVELADORA 865B CASE DIESEL 2023 CHASSIS HBZN865BPPAF32670</v>
      </c>
      <c r="D2109" s="8">
        <f t="shared" si="601"/>
        <v>46100</v>
      </c>
      <c r="E2109" s="15"/>
      <c r="F2109" s="15"/>
      <c r="G2109" s="15">
        <f t="shared" si="604"/>
        <v>0</v>
      </c>
      <c r="H2109" s="16" t="s">
        <v>278</v>
      </c>
      <c r="I2109" s="10">
        <f t="shared" si="605"/>
        <v>903.22580645161293</v>
      </c>
      <c r="J2109" s="16"/>
      <c r="K2109" s="15"/>
      <c r="L2109" s="15"/>
      <c r="M2109" s="17"/>
      <c r="N2109" s="9"/>
      <c r="O2109" s="18">
        <f t="shared" si="606"/>
        <v>0</v>
      </c>
      <c r="P2109" s="9"/>
      <c r="Q2109" s="9"/>
      <c r="R2109" s="9"/>
      <c r="S2109" s="10">
        <f t="shared" si="603"/>
        <v>903.22580645161293</v>
      </c>
    </row>
    <row r="2110" spans="2:19" outlineLevel="1">
      <c r="B2110" s="13" t="s">
        <v>144</v>
      </c>
      <c r="C2110" s="7" t="str">
        <f t="shared" si="602"/>
        <v>MOTONIVELADORA 865B CASE DIESEL 2023 CHASSIS HBZN865BPPAF32670</v>
      </c>
      <c r="D2110" s="8">
        <f t="shared" si="601"/>
        <v>46101</v>
      </c>
      <c r="E2110" s="15"/>
      <c r="F2110" s="15"/>
      <c r="G2110" s="15">
        <f t="shared" si="604"/>
        <v>0</v>
      </c>
      <c r="H2110" s="16" t="s">
        <v>278</v>
      </c>
      <c r="I2110" s="10">
        <f t="shared" si="605"/>
        <v>903.22580645161293</v>
      </c>
      <c r="J2110" s="16"/>
      <c r="K2110" s="15"/>
      <c r="L2110" s="15"/>
      <c r="M2110" s="17"/>
      <c r="N2110" s="9"/>
      <c r="O2110" s="18">
        <f t="shared" si="606"/>
        <v>0</v>
      </c>
      <c r="P2110" s="9"/>
      <c r="Q2110" s="9"/>
      <c r="R2110" s="9"/>
      <c r="S2110" s="10">
        <f t="shared" si="603"/>
        <v>903.22580645161293</v>
      </c>
    </row>
    <row r="2111" spans="2:19" outlineLevel="1">
      <c r="B2111" s="13" t="s">
        <v>144</v>
      </c>
      <c r="C2111" s="7" t="str">
        <f t="shared" si="602"/>
        <v>MOTONIVELADORA 865B CASE DIESEL 2023 CHASSIS HBZN865BPPAF32670</v>
      </c>
      <c r="D2111" s="8">
        <f t="shared" ref="D2111:D2120" si="607">D2040</f>
        <v>46102</v>
      </c>
      <c r="E2111" s="15"/>
      <c r="F2111" s="15"/>
      <c r="G2111" s="15">
        <f t="shared" si="604"/>
        <v>0</v>
      </c>
      <c r="H2111" s="16" t="s">
        <v>278</v>
      </c>
      <c r="I2111" s="10">
        <f t="shared" si="605"/>
        <v>903.22580645161293</v>
      </c>
      <c r="J2111" s="16" t="s">
        <v>16</v>
      </c>
      <c r="K2111" s="15"/>
      <c r="L2111" s="15"/>
      <c r="M2111" s="17"/>
      <c r="N2111" s="9"/>
      <c r="O2111" s="18">
        <f t="shared" si="606"/>
        <v>0</v>
      </c>
      <c r="P2111" s="9"/>
      <c r="Q2111" s="9"/>
      <c r="R2111" s="9"/>
      <c r="S2111" s="10">
        <f t="shared" si="603"/>
        <v>903.22580645161293</v>
      </c>
    </row>
    <row r="2112" spans="2:19" outlineLevel="1">
      <c r="B2112" s="13" t="s">
        <v>144</v>
      </c>
      <c r="C2112" s="7" t="str">
        <f t="shared" si="602"/>
        <v>MOTONIVELADORA 865B CASE DIESEL 2023 CHASSIS HBZN865BPPAF32670</v>
      </c>
      <c r="D2112" s="8">
        <f t="shared" si="607"/>
        <v>46103</v>
      </c>
      <c r="E2112" s="15"/>
      <c r="F2112" s="15"/>
      <c r="G2112" s="15">
        <f t="shared" si="604"/>
        <v>0</v>
      </c>
      <c r="H2112" s="16" t="s">
        <v>278</v>
      </c>
      <c r="I2112" s="10">
        <f t="shared" si="605"/>
        <v>903.22580645161293</v>
      </c>
      <c r="J2112" s="16" t="s">
        <v>16</v>
      </c>
      <c r="K2112" s="15"/>
      <c r="L2112" s="15"/>
      <c r="M2112" s="17"/>
      <c r="N2112" s="9"/>
      <c r="O2112" s="18">
        <f t="shared" si="606"/>
        <v>0</v>
      </c>
      <c r="P2112" s="9"/>
      <c r="Q2112" s="9"/>
      <c r="R2112" s="9"/>
      <c r="S2112" s="10">
        <f t="shared" si="603"/>
        <v>903.22580645161293</v>
      </c>
    </row>
    <row r="2113" spans="2:19" outlineLevel="1">
      <c r="B2113" s="13" t="s">
        <v>144</v>
      </c>
      <c r="C2113" s="7" t="str">
        <f t="shared" si="602"/>
        <v>MOTONIVELADORA 865B CASE DIESEL 2023 CHASSIS HBZN865BPPAF32670</v>
      </c>
      <c r="D2113" s="8">
        <f t="shared" si="607"/>
        <v>46104</v>
      </c>
      <c r="E2113" s="15"/>
      <c r="F2113" s="15"/>
      <c r="G2113" s="15">
        <f t="shared" si="604"/>
        <v>0</v>
      </c>
      <c r="H2113" s="16" t="s">
        <v>278</v>
      </c>
      <c r="I2113" s="10">
        <f t="shared" si="605"/>
        <v>903.22580645161293</v>
      </c>
      <c r="J2113" s="16"/>
      <c r="K2113" s="15"/>
      <c r="L2113" s="15"/>
      <c r="M2113" s="17"/>
      <c r="N2113" s="9"/>
      <c r="O2113" s="18">
        <f t="shared" si="606"/>
        <v>0</v>
      </c>
      <c r="P2113" s="9"/>
      <c r="Q2113" s="9"/>
      <c r="R2113" s="9"/>
      <c r="S2113" s="10">
        <f t="shared" si="603"/>
        <v>903.22580645161293</v>
      </c>
    </row>
    <row r="2114" spans="2:19" outlineLevel="1">
      <c r="B2114" s="13" t="s">
        <v>144</v>
      </c>
      <c r="C2114" s="7" t="str">
        <f t="shared" si="602"/>
        <v>MOTONIVELADORA 865B CASE DIESEL 2023 CHASSIS HBZN865BPPAF32670</v>
      </c>
      <c r="D2114" s="8">
        <f t="shared" si="607"/>
        <v>46105</v>
      </c>
      <c r="E2114" s="15"/>
      <c r="F2114" s="15"/>
      <c r="G2114" s="15">
        <f t="shared" si="604"/>
        <v>0</v>
      </c>
      <c r="H2114" s="16" t="s">
        <v>278</v>
      </c>
      <c r="I2114" s="10">
        <f t="shared" si="605"/>
        <v>903.22580645161293</v>
      </c>
      <c r="J2114" s="16"/>
      <c r="K2114" s="15"/>
      <c r="L2114" s="15"/>
      <c r="M2114" s="17"/>
      <c r="N2114" s="9"/>
      <c r="O2114" s="18">
        <f t="shared" si="606"/>
        <v>0</v>
      </c>
      <c r="P2114" s="9"/>
      <c r="Q2114" s="9"/>
      <c r="R2114" s="9"/>
      <c r="S2114" s="10">
        <f t="shared" si="603"/>
        <v>903.22580645161293</v>
      </c>
    </row>
    <row r="2115" spans="2:19" outlineLevel="1">
      <c r="B2115" s="13" t="s">
        <v>144</v>
      </c>
      <c r="C2115" s="7" t="str">
        <f t="shared" si="602"/>
        <v>MOTONIVELADORA 865B CASE DIESEL 2023 CHASSIS HBZN865BPPAF32670</v>
      </c>
      <c r="D2115" s="8">
        <f t="shared" si="607"/>
        <v>46106</v>
      </c>
      <c r="E2115" s="15"/>
      <c r="F2115" s="15"/>
      <c r="G2115" s="15">
        <f t="shared" si="604"/>
        <v>0</v>
      </c>
      <c r="H2115" s="16" t="s">
        <v>278</v>
      </c>
      <c r="I2115" s="10">
        <f t="shared" si="605"/>
        <v>903.22580645161293</v>
      </c>
      <c r="J2115" s="16"/>
      <c r="K2115" s="15"/>
      <c r="L2115" s="15"/>
      <c r="M2115" s="17"/>
      <c r="N2115" s="9"/>
      <c r="O2115" s="18">
        <f t="shared" si="606"/>
        <v>0</v>
      </c>
      <c r="P2115" s="9"/>
      <c r="Q2115" s="9"/>
      <c r="R2115" s="9"/>
      <c r="S2115" s="10">
        <f t="shared" si="603"/>
        <v>903.22580645161293</v>
      </c>
    </row>
    <row r="2116" spans="2:19" outlineLevel="1">
      <c r="B2116" s="13" t="s">
        <v>144</v>
      </c>
      <c r="C2116" s="7" t="str">
        <f t="shared" si="602"/>
        <v>MOTONIVELADORA 865B CASE DIESEL 2023 CHASSIS HBZN865BPPAF32670</v>
      </c>
      <c r="D2116" s="8">
        <f t="shared" si="607"/>
        <v>46107</v>
      </c>
      <c r="E2116" s="15"/>
      <c r="F2116" s="15"/>
      <c r="G2116" s="15">
        <f t="shared" si="604"/>
        <v>0</v>
      </c>
      <c r="H2116" s="16" t="s">
        <v>278</v>
      </c>
      <c r="I2116" s="10">
        <f t="shared" si="605"/>
        <v>903.22580645161293</v>
      </c>
      <c r="J2116" s="16"/>
      <c r="K2116" s="15"/>
      <c r="L2116" s="15"/>
      <c r="M2116" s="17"/>
      <c r="N2116" s="9"/>
      <c r="O2116" s="18">
        <f t="shared" si="606"/>
        <v>0</v>
      </c>
      <c r="P2116" s="9"/>
      <c r="Q2116" s="9"/>
      <c r="R2116" s="9"/>
      <c r="S2116" s="10">
        <f t="shared" si="603"/>
        <v>903.22580645161293</v>
      </c>
    </row>
    <row r="2117" spans="2:19" outlineLevel="1">
      <c r="B2117" s="13" t="s">
        <v>144</v>
      </c>
      <c r="C2117" s="7" t="str">
        <f t="shared" si="602"/>
        <v>MOTONIVELADORA 865B CASE DIESEL 2023 CHASSIS HBZN865BPPAF32670</v>
      </c>
      <c r="D2117" s="8">
        <f t="shared" si="607"/>
        <v>46108</v>
      </c>
      <c r="E2117" s="15"/>
      <c r="F2117" s="15"/>
      <c r="G2117" s="15">
        <f t="shared" si="604"/>
        <v>0</v>
      </c>
      <c r="H2117" s="16" t="s">
        <v>278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8">SUM(R2117+Q2117+I2117)</f>
        <v>903.22580645161293</v>
      </c>
    </row>
    <row r="2118" spans="2:19" outlineLevel="1">
      <c r="B2118" s="13" t="s">
        <v>144</v>
      </c>
      <c r="C2118" s="7" t="str">
        <f t="shared" si="602"/>
        <v>MOTONIVELADORA 865B CASE DIESEL 2023 CHASSIS HBZN865BPPAF32670</v>
      </c>
      <c r="D2118" s="8">
        <f t="shared" si="607"/>
        <v>46109</v>
      </c>
      <c r="E2118" s="15"/>
      <c r="F2118" s="15"/>
      <c r="G2118" s="15">
        <f t="shared" si="604"/>
        <v>0</v>
      </c>
      <c r="H2118" s="16" t="s">
        <v>278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8"/>
        <v>903.22580645161293</v>
      </c>
    </row>
    <row r="2119" spans="2:19" outlineLevel="1">
      <c r="B2119" s="13" t="s">
        <v>144</v>
      </c>
      <c r="C2119" s="7" t="str">
        <f t="shared" si="602"/>
        <v>MOTONIVELADORA 865B CASE DIESEL 2023 CHASSIS HBZN865BPPAF32670</v>
      </c>
      <c r="D2119" s="8">
        <f t="shared" si="607"/>
        <v>46110</v>
      </c>
      <c r="E2119" s="15"/>
      <c r="F2119" s="15"/>
      <c r="G2119" s="15">
        <f t="shared" si="604"/>
        <v>0</v>
      </c>
      <c r="H2119" s="16" t="s">
        <v>278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8"/>
        <v>903.22580645161293</v>
      </c>
    </row>
    <row r="2120" spans="2:19" outlineLevel="1">
      <c r="B2120" s="13" t="s">
        <v>144</v>
      </c>
      <c r="C2120" s="7" t="str">
        <f t="shared" si="602"/>
        <v>MOTONIVELADORA 865B CASE DIESEL 2023 CHASSIS HBZN865BPPAF32670</v>
      </c>
      <c r="D2120" s="8">
        <f t="shared" si="607"/>
        <v>46111</v>
      </c>
      <c r="E2120" s="15"/>
      <c r="F2120" s="15"/>
      <c r="G2120" s="15">
        <f t="shared" si="604"/>
        <v>0</v>
      </c>
      <c r="H2120" s="16" t="s">
        <v>278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8"/>
        <v>903.22580645161293</v>
      </c>
    </row>
    <row r="2121" spans="2:19" outlineLevel="1">
      <c r="B2121" s="13" t="s">
        <v>144</v>
      </c>
      <c r="C2121" s="7" t="str">
        <f t="shared" si="602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4"/>
        <v>0</v>
      </c>
      <c r="H2121" s="16" t="s">
        <v>278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3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265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9">D2054</f>
        <v>46082</v>
      </c>
      <c r="E2125" s="15"/>
      <c r="F2125" s="15"/>
      <c r="G2125" s="15"/>
      <c r="H2125" s="16" t="s">
        <v>261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10">SUM(R2125+Q2125+I2125)</f>
        <v>645.16129032258061</v>
      </c>
    </row>
    <row r="2126" spans="2:19" outlineLevel="1">
      <c r="B2126" s="13" t="s">
        <v>146</v>
      </c>
      <c r="C2126" s="7" t="str">
        <f t="shared" ref="C2126:C2155" si="611">C$2123</f>
        <v>ESPARGIDOR WV 13.190 ANO 2013 CHASSIS DR331380</v>
      </c>
      <c r="D2126" s="8">
        <f t="shared" si="609"/>
        <v>46083</v>
      </c>
      <c r="E2126" s="15"/>
      <c r="F2126" s="15"/>
      <c r="G2126" s="15"/>
      <c r="H2126" s="16" t="s">
        <v>261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10"/>
        <v>645.16129032258061</v>
      </c>
    </row>
    <row r="2127" spans="2:19" outlineLevel="1">
      <c r="B2127" s="13" t="s">
        <v>146</v>
      </c>
      <c r="C2127" s="7" t="str">
        <f t="shared" si="611"/>
        <v>ESPARGIDOR WV 13.190 ANO 2013 CHASSIS DR331380</v>
      </c>
      <c r="D2127" s="8">
        <f t="shared" si="609"/>
        <v>46084</v>
      </c>
      <c r="E2127" s="15"/>
      <c r="F2127" s="15"/>
      <c r="G2127" s="15"/>
      <c r="H2127" s="16" t="s">
        <v>261</v>
      </c>
      <c r="I2127" s="10">
        <f t="shared" ref="I2127:I2151" si="612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10"/>
        <v>645.16129032258061</v>
      </c>
    </row>
    <row r="2128" spans="2:19" outlineLevel="1">
      <c r="B2128" s="13" t="s">
        <v>146</v>
      </c>
      <c r="C2128" s="7" t="str">
        <f t="shared" si="611"/>
        <v>ESPARGIDOR WV 13.190 ANO 2013 CHASSIS DR331380</v>
      </c>
      <c r="D2128" s="8">
        <f t="shared" si="609"/>
        <v>46085</v>
      </c>
      <c r="E2128" s="15"/>
      <c r="F2128" s="15"/>
      <c r="G2128" s="15"/>
      <c r="H2128" s="16" t="s">
        <v>261</v>
      </c>
      <c r="I2128" s="10">
        <f t="shared" si="612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10"/>
        <v>645.16129032258061</v>
      </c>
    </row>
    <row r="2129" spans="2:19" outlineLevel="1">
      <c r="B2129" s="13" t="s">
        <v>146</v>
      </c>
      <c r="C2129" s="7" t="str">
        <f t="shared" si="611"/>
        <v>ESPARGIDOR WV 13.190 ANO 2013 CHASSIS DR331380</v>
      </c>
      <c r="D2129" s="8">
        <f t="shared" si="609"/>
        <v>46086</v>
      </c>
      <c r="E2129" s="15"/>
      <c r="F2129" s="15"/>
      <c r="G2129" s="15"/>
      <c r="H2129" s="16" t="s">
        <v>261</v>
      </c>
      <c r="I2129" s="10">
        <f t="shared" si="612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10"/>
        <v>645.16129032258061</v>
      </c>
    </row>
    <row r="2130" spans="2:19" outlineLevel="1">
      <c r="B2130" s="13" t="s">
        <v>146</v>
      </c>
      <c r="C2130" s="7" t="str">
        <f t="shared" si="611"/>
        <v>ESPARGIDOR WV 13.190 ANO 2013 CHASSIS DR331380</v>
      </c>
      <c r="D2130" s="8">
        <f t="shared" si="609"/>
        <v>46087</v>
      </c>
      <c r="E2130" s="15"/>
      <c r="F2130" s="15"/>
      <c r="G2130" s="15"/>
      <c r="H2130" s="16" t="s">
        <v>261</v>
      </c>
      <c r="I2130" s="10">
        <f t="shared" si="612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10"/>
        <v>645.16129032258061</v>
      </c>
    </row>
    <row r="2131" spans="2:19" outlineLevel="1">
      <c r="B2131" s="13" t="s">
        <v>146</v>
      </c>
      <c r="C2131" s="7" t="str">
        <f t="shared" si="611"/>
        <v>ESPARGIDOR WV 13.190 ANO 2013 CHASSIS DR331380</v>
      </c>
      <c r="D2131" s="8">
        <f t="shared" si="609"/>
        <v>46088</v>
      </c>
      <c r="E2131" s="15"/>
      <c r="F2131" s="15"/>
      <c r="G2131" s="15"/>
      <c r="H2131" s="16" t="s">
        <v>261</v>
      </c>
      <c r="I2131" s="10">
        <f t="shared" si="612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10"/>
        <v>645.16129032258061</v>
      </c>
    </row>
    <row r="2132" spans="2:19" outlineLevel="1">
      <c r="B2132" s="13" t="s">
        <v>146</v>
      </c>
      <c r="C2132" s="7" t="str">
        <f t="shared" si="611"/>
        <v>ESPARGIDOR WV 13.190 ANO 2013 CHASSIS DR331380</v>
      </c>
      <c r="D2132" s="8">
        <f t="shared" si="609"/>
        <v>46089</v>
      </c>
      <c r="E2132" s="15"/>
      <c r="F2132" s="15"/>
      <c r="G2132" s="15">
        <f t="shared" ref="G2132:G2155" si="613">F2132-E2132</f>
        <v>0</v>
      </c>
      <c r="H2132" s="16" t="s">
        <v>261</v>
      </c>
      <c r="I2132" s="10">
        <f t="shared" si="612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10"/>
        <v>645.16129032258061</v>
      </c>
    </row>
    <row r="2133" spans="2:19" outlineLevel="1">
      <c r="B2133" s="13" t="s">
        <v>146</v>
      </c>
      <c r="C2133" s="7" t="str">
        <f t="shared" si="611"/>
        <v>ESPARGIDOR WV 13.190 ANO 2013 CHASSIS DR331380</v>
      </c>
      <c r="D2133" s="8">
        <f t="shared" si="609"/>
        <v>46090</v>
      </c>
      <c r="E2133" s="15"/>
      <c r="F2133" s="15"/>
      <c r="G2133" s="15">
        <f t="shared" si="613"/>
        <v>0</v>
      </c>
      <c r="H2133" s="16" t="s">
        <v>261</v>
      </c>
      <c r="I2133" s="10">
        <f t="shared" si="612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10"/>
        <v>645.16129032258061</v>
      </c>
    </row>
    <row r="2134" spans="2:19" outlineLevel="1">
      <c r="B2134" s="13" t="s">
        <v>146</v>
      </c>
      <c r="C2134" s="7" t="str">
        <f t="shared" si="611"/>
        <v>ESPARGIDOR WV 13.190 ANO 2013 CHASSIS DR331380</v>
      </c>
      <c r="D2134" s="8">
        <f t="shared" si="609"/>
        <v>46091</v>
      </c>
      <c r="E2134" s="15"/>
      <c r="F2134" s="15"/>
      <c r="G2134" s="15">
        <f t="shared" si="613"/>
        <v>0</v>
      </c>
      <c r="H2134" s="16" t="s">
        <v>261</v>
      </c>
      <c r="I2134" s="10">
        <f t="shared" si="612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10"/>
        <v>645.16129032258061</v>
      </c>
    </row>
    <row r="2135" spans="2:19" outlineLevel="1">
      <c r="B2135" s="13" t="s">
        <v>146</v>
      </c>
      <c r="C2135" s="7" t="str">
        <f t="shared" si="611"/>
        <v>ESPARGIDOR WV 13.190 ANO 2013 CHASSIS DR331380</v>
      </c>
      <c r="D2135" s="8">
        <f t="shared" si="609"/>
        <v>46092</v>
      </c>
      <c r="E2135" s="15"/>
      <c r="F2135" s="15"/>
      <c r="G2135" s="15">
        <f t="shared" si="613"/>
        <v>0</v>
      </c>
      <c r="H2135" s="16" t="s">
        <v>261</v>
      </c>
      <c r="I2135" s="10">
        <f t="shared" si="612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4">O2134</f>
        <v>0</v>
      </c>
      <c r="P2135" s="9"/>
      <c r="Q2135" s="9"/>
      <c r="R2135" s="9"/>
      <c r="S2135" s="10">
        <f t="shared" si="610"/>
        <v>645.16129032258061</v>
      </c>
    </row>
    <row r="2136" spans="2:19" outlineLevel="1">
      <c r="B2136" s="13" t="s">
        <v>146</v>
      </c>
      <c r="C2136" s="7" t="str">
        <f t="shared" si="611"/>
        <v>ESPARGIDOR WV 13.190 ANO 2013 CHASSIS DR331380</v>
      </c>
      <c r="D2136" s="8">
        <f t="shared" si="609"/>
        <v>46093</v>
      </c>
      <c r="E2136" s="15"/>
      <c r="F2136" s="15"/>
      <c r="G2136" s="15">
        <f t="shared" si="613"/>
        <v>0</v>
      </c>
      <c r="H2136" s="16" t="s">
        <v>261</v>
      </c>
      <c r="I2136" s="10">
        <f t="shared" si="612"/>
        <v>645.16129032258061</v>
      </c>
      <c r="J2136" s="16" t="s">
        <v>16</v>
      </c>
      <c r="K2136" s="15"/>
      <c r="L2136" s="15"/>
      <c r="M2136" s="17"/>
      <c r="N2136" s="9"/>
      <c r="O2136" s="18">
        <f t="shared" si="614"/>
        <v>0</v>
      </c>
      <c r="P2136" s="9"/>
      <c r="Q2136" s="9"/>
      <c r="R2136" s="72"/>
      <c r="S2136" s="10">
        <f t="shared" ref="S2136:S2155" si="615">SUM(R2136+Q2136+I2136)</f>
        <v>645.16129032258061</v>
      </c>
    </row>
    <row r="2137" spans="2:19" outlineLevel="1">
      <c r="B2137" s="13" t="s">
        <v>146</v>
      </c>
      <c r="C2137" s="7" t="str">
        <f t="shared" si="611"/>
        <v>ESPARGIDOR WV 13.190 ANO 2013 CHASSIS DR331380</v>
      </c>
      <c r="D2137" s="8">
        <f t="shared" si="609"/>
        <v>46094</v>
      </c>
      <c r="E2137" s="15"/>
      <c r="F2137" s="15"/>
      <c r="G2137" s="15">
        <f t="shared" si="613"/>
        <v>0</v>
      </c>
      <c r="H2137" s="16" t="s">
        <v>261</v>
      </c>
      <c r="I2137" s="10">
        <f t="shared" si="612"/>
        <v>645.16129032258061</v>
      </c>
      <c r="J2137" s="16" t="s">
        <v>16</v>
      </c>
      <c r="K2137" s="15"/>
      <c r="L2137" s="15"/>
      <c r="M2137" s="17"/>
      <c r="N2137" s="9"/>
      <c r="O2137" s="18">
        <f t="shared" si="614"/>
        <v>0</v>
      </c>
      <c r="P2137" s="9"/>
      <c r="Q2137" s="9"/>
      <c r="R2137" s="72"/>
      <c r="S2137" s="10">
        <f t="shared" si="615"/>
        <v>645.16129032258061</v>
      </c>
    </row>
    <row r="2138" spans="2:19" outlineLevel="1">
      <c r="B2138" s="13" t="s">
        <v>146</v>
      </c>
      <c r="C2138" s="7" t="str">
        <f t="shared" si="611"/>
        <v>ESPARGIDOR WV 13.190 ANO 2013 CHASSIS DR331380</v>
      </c>
      <c r="D2138" s="8">
        <f t="shared" si="609"/>
        <v>46095</v>
      </c>
      <c r="E2138" s="15"/>
      <c r="F2138" s="15"/>
      <c r="G2138" s="15">
        <f t="shared" si="613"/>
        <v>0</v>
      </c>
      <c r="H2138" s="16" t="s">
        <v>261</v>
      </c>
      <c r="I2138" s="10">
        <f t="shared" si="612"/>
        <v>645.16129032258061</v>
      </c>
      <c r="J2138" s="16" t="s">
        <v>16</v>
      </c>
      <c r="K2138" s="15"/>
      <c r="L2138" s="15"/>
      <c r="M2138" s="17"/>
      <c r="N2138" s="9"/>
      <c r="O2138" s="18">
        <f t="shared" si="614"/>
        <v>0</v>
      </c>
      <c r="P2138" s="9"/>
      <c r="Q2138" s="9"/>
      <c r="R2138" s="72"/>
      <c r="S2138" s="10">
        <f t="shared" si="615"/>
        <v>645.16129032258061</v>
      </c>
    </row>
    <row r="2139" spans="2:19" outlineLevel="1">
      <c r="B2139" s="13" t="s">
        <v>146</v>
      </c>
      <c r="C2139" s="7" t="str">
        <f t="shared" si="611"/>
        <v>ESPARGIDOR WV 13.190 ANO 2013 CHASSIS DR331380</v>
      </c>
      <c r="D2139" s="8">
        <f t="shared" si="609"/>
        <v>46096</v>
      </c>
      <c r="E2139" s="15"/>
      <c r="F2139" s="15"/>
      <c r="G2139" s="15">
        <f t="shared" si="613"/>
        <v>0</v>
      </c>
      <c r="H2139" s="16" t="s">
        <v>261</v>
      </c>
      <c r="I2139" s="10">
        <f t="shared" si="612"/>
        <v>645.16129032258061</v>
      </c>
      <c r="J2139" s="16" t="s">
        <v>16</v>
      </c>
      <c r="K2139" s="15"/>
      <c r="L2139" s="15"/>
      <c r="M2139" s="17"/>
      <c r="N2139" s="9"/>
      <c r="O2139" s="18">
        <f t="shared" si="614"/>
        <v>0</v>
      </c>
      <c r="P2139" s="9"/>
      <c r="Q2139" s="9"/>
      <c r="R2139" s="72"/>
      <c r="S2139" s="10">
        <f t="shared" si="615"/>
        <v>645.16129032258061</v>
      </c>
    </row>
    <row r="2140" spans="2:19" outlineLevel="1">
      <c r="B2140" s="13" t="s">
        <v>146</v>
      </c>
      <c r="C2140" s="7" t="str">
        <f t="shared" si="611"/>
        <v>ESPARGIDOR WV 13.190 ANO 2013 CHASSIS DR331380</v>
      </c>
      <c r="D2140" s="8">
        <f t="shared" si="609"/>
        <v>46097</v>
      </c>
      <c r="E2140" s="15"/>
      <c r="F2140" s="15"/>
      <c r="G2140" s="15">
        <f t="shared" si="613"/>
        <v>0</v>
      </c>
      <c r="H2140" s="16" t="s">
        <v>261</v>
      </c>
      <c r="I2140" s="10">
        <f t="shared" si="612"/>
        <v>645.16129032258061</v>
      </c>
      <c r="J2140" s="16" t="s">
        <v>16</v>
      </c>
      <c r="K2140" s="15"/>
      <c r="L2140" s="15"/>
      <c r="M2140" s="17"/>
      <c r="N2140" s="9"/>
      <c r="O2140" s="18">
        <f t="shared" si="614"/>
        <v>0</v>
      </c>
      <c r="P2140" s="9"/>
      <c r="Q2140" s="9"/>
      <c r="R2140" s="72"/>
      <c r="S2140" s="10">
        <f t="shared" si="615"/>
        <v>645.16129032258061</v>
      </c>
    </row>
    <row r="2141" spans="2:19" outlineLevel="1">
      <c r="B2141" s="13" t="s">
        <v>146</v>
      </c>
      <c r="C2141" s="7" t="str">
        <f t="shared" si="611"/>
        <v>ESPARGIDOR WV 13.190 ANO 2013 CHASSIS DR331380</v>
      </c>
      <c r="D2141" s="8">
        <f t="shared" si="609"/>
        <v>46098</v>
      </c>
      <c r="E2141" s="15"/>
      <c r="F2141" s="15"/>
      <c r="G2141" s="15">
        <f t="shared" si="613"/>
        <v>0</v>
      </c>
      <c r="H2141" s="16" t="s">
        <v>261</v>
      </c>
      <c r="I2141" s="10">
        <f t="shared" si="612"/>
        <v>645.16129032258061</v>
      </c>
      <c r="J2141" s="16" t="s">
        <v>16</v>
      </c>
      <c r="K2141" s="15"/>
      <c r="L2141" s="15"/>
      <c r="M2141" s="17"/>
      <c r="N2141" s="9"/>
      <c r="O2141" s="18">
        <f t="shared" si="614"/>
        <v>0</v>
      </c>
      <c r="P2141" s="9"/>
      <c r="Q2141" s="9"/>
      <c r="R2141" s="72"/>
      <c r="S2141" s="10">
        <f t="shared" si="615"/>
        <v>645.16129032258061</v>
      </c>
    </row>
    <row r="2142" spans="2:19" outlineLevel="1">
      <c r="B2142" s="13" t="s">
        <v>146</v>
      </c>
      <c r="C2142" s="7" t="str">
        <f t="shared" si="611"/>
        <v>ESPARGIDOR WV 13.190 ANO 2013 CHASSIS DR331380</v>
      </c>
      <c r="D2142" s="8">
        <f t="shared" si="609"/>
        <v>46099</v>
      </c>
      <c r="E2142" s="15"/>
      <c r="F2142" s="15"/>
      <c r="G2142" s="15">
        <f t="shared" si="613"/>
        <v>0</v>
      </c>
      <c r="H2142" s="16" t="s">
        <v>261</v>
      </c>
      <c r="I2142" s="10">
        <f t="shared" si="612"/>
        <v>645.16129032258061</v>
      </c>
      <c r="J2142" s="16" t="s">
        <v>16</v>
      </c>
      <c r="K2142" s="15"/>
      <c r="L2142" s="15"/>
      <c r="M2142" s="17"/>
      <c r="N2142" s="9"/>
      <c r="O2142" s="18">
        <f t="shared" si="614"/>
        <v>0</v>
      </c>
      <c r="P2142" s="9"/>
      <c r="Q2142" s="9"/>
      <c r="R2142" s="72"/>
      <c r="S2142" s="10">
        <f t="shared" si="615"/>
        <v>645.16129032258061</v>
      </c>
    </row>
    <row r="2143" spans="2:19" outlineLevel="1">
      <c r="B2143" s="13" t="s">
        <v>146</v>
      </c>
      <c r="C2143" s="7" t="str">
        <f t="shared" si="611"/>
        <v>ESPARGIDOR WV 13.190 ANO 2013 CHASSIS DR331380</v>
      </c>
      <c r="D2143" s="8">
        <f t="shared" si="609"/>
        <v>46100</v>
      </c>
      <c r="E2143" s="15"/>
      <c r="F2143" s="15"/>
      <c r="G2143" s="15">
        <f t="shared" si="613"/>
        <v>0</v>
      </c>
      <c r="H2143" s="16" t="s">
        <v>261</v>
      </c>
      <c r="I2143" s="10">
        <f t="shared" si="612"/>
        <v>645.16129032258061</v>
      </c>
      <c r="J2143" s="16" t="s">
        <v>16</v>
      </c>
      <c r="K2143" s="15"/>
      <c r="L2143" s="15"/>
      <c r="M2143" s="17"/>
      <c r="N2143" s="9"/>
      <c r="O2143" s="18">
        <f t="shared" si="614"/>
        <v>0</v>
      </c>
      <c r="P2143" s="9"/>
      <c r="Q2143" s="9"/>
      <c r="R2143" s="72"/>
      <c r="S2143" s="10">
        <f t="shared" si="615"/>
        <v>645.16129032258061</v>
      </c>
    </row>
    <row r="2144" spans="2:19" outlineLevel="1">
      <c r="B2144" s="13" t="s">
        <v>146</v>
      </c>
      <c r="C2144" s="7" t="str">
        <f t="shared" si="611"/>
        <v>ESPARGIDOR WV 13.190 ANO 2013 CHASSIS DR331380</v>
      </c>
      <c r="D2144" s="8">
        <f t="shared" si="609"/>
        <v>46101</v>
      </c>
      <c r="E2144" s="15"/>
      <c r="F2144" s="15"/>
      <c r="G2144" s="15">
        <f t="shared" si="613"/>
        <v>0</v>
      </c>
      <c r="H2144" s="16" t="s">
        <v>261</v>
      </c>
      <c r="I2144" s="10">
        <f t="shared" si="612"/>
        <v>645.16129032258061</v>
      </c>
      <c r="J2144" s="16" t="s">
        <v>16</v>
      </c>
      <c r="K2144" s="15"/>
      <c r="L2144" s="15"/>
      <c r="M2144" s="17"/>
      <c r="N2144" s="9"/>
      <c r="O2144" s="18">
        <f t="shared" si="614"/>
        <v>0</v>
      </c>
      <c r="P2144" s="9"/>
      <c r="Q2144" s="9"/>
      <c r="R2144" s="72"/>
      <c r="S2144" s="10">
        <f t="shared" si="615"/>
        <v>645.16129032258061</v>
      </c>
    </row>
    <row r="2145" spans="2:19" outlineLevel="1">
      <c r="B2145" s="13" t="s">
        <v>146</v>
      </c>
      <c r="C2145" s="7" t="str">
        <f t="shared" si="611"/>
        <v>ESPARGIDOR WV 13.190 ANO 2013 CHASSIS DR331380</v>
      </c>
      <c r="D2145" s="8">
        <f t="shared" si="609"/>
        <v>46102</v>
      </c>
      <c r="E2145" s="15"/>
      <c r="F2145" s="15"/>
      <c r="G2145" s="15">
        <f>F2145-E2145</f>
        <v>0</v>
      </c>
      <c r="H2145" s="16" t="s">
        <v>261</v>
      </c>
      <c r="I2145" s="10">
        <f t="shared" si="612"/>
        <v>645.16129032258061</v>
      </c>
      <c r="J2145" s="16" t="s">
        <v>16</v>
      </c>
      <c r="K2145" s="15"/>
      <c r="L2145" s="15"/>
      <c r="M2145" s="17"/>
      <c r="N2145" s="9"/>
      <c r="O2145" s="18">
        <f t="shared" si="614"/>
        <v>0</v>
      </c>
      <c r="P2145" s="9"/>
      <c r="Q2145" s="9"/>
      <c r="R2145" s="72"/>
      <c r="S2145" s="10">
        <f t="shared" si="615"/>
        <v>645.16129032258061</v>
      </c>
    </row>
    <row r="2146" spans="2:19" outlineLevel="1">
      <c r="B2146" s="13" t="s">
        <v>146</v>
      </c>
      <c r="C2146" s="7" t="str">
        <f t="shared" si="611"/>
        <v>ESPARGIDOR WV 13.190 ANO 2013 CHASSIS DR331380</v>
      </c>
      <c r="D2146" s="8">
        <f t="shared" si="609"/>
        <v>46103</v>
      </c>
      <c r="E2146" s="15"/>
      <c r="F2146" s="15"/>
      <c r="G2146" s="15">
        <f>F2146-E2146</f>
        <v>0</v>
      </c>
      <c r="H2146" s="16" t="s">
        <v>261</v>
      </c>
      <c r="I2146" s="10">
        <f t="shared" si="612"/>
        <v>645.16129032258061</v>
      </c>
      <c r="J2146" s="16" t="s">
        <v>16</v>
      </c>
      <c r="K2146" s="15"/>
      <c r="L2146" s="15"/>
      <c r="M2146" s="17"/>
      <c r="N2146" s="9"/>
      <c r="O2146" s="18">
        <f t="shared" si="614"/>
        <v>0</v>
      </c>
      <c r="P2146" s="9"/>
      <c r="Q2146" s="9"/>
      <c r="R2146" s="72"/>
      <c r="S2146" s="10">
        <f t="shared" si="615"/>
        <v>645.16129032258061</v>
      </c>
    </row>
    <row r="2147" spans="2:19" outlineLevel="1">
      <c r="B2147" s="13" t="s">
        <v>146</v>
      </c>
      <c r="C2147" s="7" t="str">
        <f t="shared" si="611"/>
        <v>ESPARGIDOR WV 13.190 ANO 2013 CHASSIS DR331380</v>
      </c>
      <c r="D2147" s="8">
        <f t="shared" si="609"/>
        <v>46104</v>
      </c>
      <c r="E2147" s="15"/>
      <c r="F2147" s="15"/>
      <c r="G2147" s="15">
        <f t="shared" si="613"/>
        <v>0</v>
      </c>
      <c r="H2147" s="16" t="s">
        <v>261</v>
      </c>
      <c r="I2147" s="10">
        <f t="shared" si="612"/>
        <v>645.16129032258061</v>
      </c>
      <c r="J2147" s="16" t="s">
        <v>16</v>
      </c>
      <c r="K2147" s="15"/>
      <c r="L2147" s="15"/>
      <c r="M2147" s="17"/>
      <c r="N2147" s="9"/>
      <c r="O2147" s="18">
        <f t="shared" si="614"/>
        <v>0</v>
      </c>
      <c r="P2147" s="9"/>
      <c r="Q2147" s="9"/>
      <c r="R2147" s="72"/>
      <c r="S2147" s="10">
        <f t="shared" si="615"/>
        <v>645.16129032258061</v>
      </c>
    </row>
    <row r="2148" spans="2:19" outlineLevel="1">
      <c r="B2148" s="13" t="s">
        <v>146</v>
      </c>
      <c r="C2148" s="7" t="str">
        <f t="shared" si="611"/>
        <v>ESPARGIDOR WV 13.190 ANO 2013 CHASSIS DR331380</v>
      </c>
      <c r="D2148" s="8">
        <f t="shared" si="609"/>
        <v>46105</v>
      </c>
      <c r="E2148" s="15"/>
      <c r="F2148" s="15"/>
      <c r="G2148" s="15">
        <f t="shared" si="613"/>
        <v>0</v>
      </c>
      <c r="H2148" s="16" t="s">
        <v>261</v>
      </c>
      <c r="I2148" s="10">
        <f t="shared" si="612"/>
        <v>645.16129032258061</v>
      </c>
      <c r="J2148" s="16" t="s">
        <v>16</v>
      </c>
      <c r="K2148" s="15"/>
      <c r="L2148" s="15"/>
      <c r="M2148" s="17"/>
      <c r="N2148" s="9"/>
      <c r="O2148" s="18">
        <f t="shared" si="614"/>
        <v>0</v>
      </c>
      <c r="P2148" s="9"/>
      <c r="Q2148" s="9"/>
      <c r="R2148" s="72"/>
      <c r="S2148" s="10">
        <f t="shared" si="615"/>
        <v>645.16129032258061</v>
      </c>
    </row>
    <row r="2149" spans="2:19" outlineLevel="1">
      <c r="B2149" s="13" t="s">
        <v>146</v>
      </c>
      <c r="C2149" s="7" t="str">
        <f t="shared" si="611"/>
        <v>ESPARGIDOR WV 13.190 ANO 2013 CHASSIS DR331380</v>
      </c>
      <c r="D2149" s="8">
        <f t="shared" si="609"/>
        <v>46106</v>
      </c>
      <c r="E2149" s="15"/>
      <c r="F2149" s="15"/>
      <c r="G2149" s="15">
        <f t="shared" si="613"/>
        <v>0</v>
      </c>
      <c r="H2149" s="16" t="s">
        <v>261</v>
      </c>
      <c r="I2149" s="10">
        <f t="shared" si="612"/>
        <v>645.16129032258061</v>
      </c>
      <c r="J2149" s="16" t="s">
        <v>16</v>
      </c>
      <c r="K2149" s="15"/>
      <c r="L2149" s="15"/>
      <c r="M2149" s="17"/>
      <c r="N2149" s="9"/>
      <c r="O2149" s="18">
        <f t="shared" si="614"/>
        <v>0</v>
      </c>
      <c r="P2149" s="9"/>
      <c r="Q2149" s="9"/>
      <c r="R2149" s="72"/>
      <c r="S2149" s="10">
        <f t="shared" si="615"/>
        <v>645.16129032258061</v>
      </c>
    </row>
    <row r="2150" spans="2:19" outlineLevel="1">
      <c r="B2150" s="13" t="s">
        <v>146</v>
      </c>
      <c r="C2150" s="7" t="str">
        <f t="shared" si="611"/>
        <v>ESPARGIDOR WV 13.190 ANO 2013 CHASSIS DR331380</v>
      </c>
      <c r="D2150" s="8">
        <f t="shared" si="609"/>
        <v>46107</v>
      </c>
      <c r="E2150" s="15"/>
      <c r="F2150" s="15"/>
      <c r="G2150" s="15">
        <f t="shared" si="613"/>
        <v>0</v>
      </c>
      <c r="H2150" s="16" t="s">
        <v>261</v>
      </c>
      <c r="I2150" s="10">
        <f t="shared" si="612"/>
        <v>645.16129032258061</v>
      </c>
      <c r="J2150" s="16" t="s">
        <v>16</v>
      </c>
      <c r="K2150" s="15"/>
      <c r="L2150" s="15"/>
      <c r="M2150" s="17"/>
      <c r="N2150" s="9"/>
      <c r="O2150" s="18">
        <f t="shared" si="614"/>
        <v>0</v>
      </c>
      <c r="P2150" s="9"/>
      <c r="Q2150" s="9"/>
      <c r="R2150" s="72"/>
      <c r="S2150" s="10">
        <f t="shared" si="615"/>
        <v>645.16129032258061</v>
      </c>
    </row>
    <row r="2151" spans="2:19" outlineLevel="1">
      <c r="B2151" s="13" t="s">
        <v>146</v>
      </c>
      <c r="C2151" s="7" t="str">
        <f t="shared" si="611"/>
        <v>ESPARGIDOR WV 13.190 ANO 2013 CHASSIS DR331380</v>
      </c>
      <c r="D2151" s="8">
        <f t="shared" si="609"/>
        <v>46108</v>
      </c>
      <c r="E2151" s="15"/>
      <c r="F2151" s="15"/>
      <c r="G2151" s="15">
        <f t="shared" si="613"/>
        <v>0</v>
      </c>
      <c r="H2151" s="16" t="s">
        <v>261</v>
      </c>
      <c r="I2151" s="10">
        <f t="shared" si="612"/>
        <v>645.16129032258061</v>
      </c>
      <c r="J2151" s="16" t="s">
        <v>16</v>
      </c>
      <c r="K2151" s="15"/>
      <c r="L2151" s="15"/>
      <c r="M2151" s="17"/>
      <c r="N2151" s="9"/>
      <c r="O2151" s="18">
        <f t="shared" si="614"/>
        <v>0</v>
      </c>
      <c r="P2151" s="9"/>
      <c r="Q2151" s="9"/>
      <c r="R2151" s="72"/>
      <c r="S2151" s="10">
        <f t="shared" si="615"/>
        <v>645.16129032258061</v>
      </c>
    </row>
    <row r="2152" spans="2:19" outlineLevel="1">
      <c r="B2152" s="13" t="s">
        <v>146</v>
      </c>
      <c r="C2152" s="7" t="str">
        <f t="shared" si="611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6">F2152-E2152</f>
        <v>0</v>
      </c>
      <c r="H2152" s="16" t="s">
        <v>261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7">SUM(R2152+Q2152+I2152)</f>
        <v>645.16129032258061</v>
      </c>
    </row>
    <row r="2153" spans="2:19" outlineLevel="1">
      <c r="B2153" s="13" t="s">
        <v>146</v>
      </c>
      <c r="C2153" s="7" t="str">
        <f t="shared" si="611"/>
        <v>ESPARGIDOR WV 13.190 ANO 2013 CHASSIS DR331380</v>
      </c>
      <c r="D2153" s="8">
        <f>D2085</f>
        <v>46110</v>
      </c>
      <c r="E2153" s="15"/>
      <c r="F2153" s="15"/>
      <c r="G2153" s="15">
        <f t="shared" si="616"/>
        <v>0</v>
      </c>
      <c r="H2153" s="16" t="s">
        <v>261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7"/>
        <v>645.16129032258061</v>
      </c>
    </row>
    <row r="2154" spans="2:19" outlineLevel="1">
      <c r="B2154" s="13" t="s">
        <v>146</v>
      </c>
      <c r="C2154" s="7" t="str">
        <f t="shared" si="611"/>
        <v>ESPARGIDOR WV 13.190 ANO 2013 CHASSIS DR331380</v>
      </c>
      <c r="D2154" s="8">
        <f>D2086</f>
        <v>46111</v>
      </c>
      <c r="E2154" s="15"/>
      <c r="F2154" s="15"/>
      <c r="G2154" s="15">
        <f t="shared" si="616"/>
        <v>0</v>
      </c>
      <c r="H2154" s="16" t="s">
        <v>261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7"/>
        <v>645.16129032258061</v>
      </c>
    </row>
    <row r="2155" spans="2:19" outlineLevel="1">
      <c r="B2155" s="13" t="s">
        <v>146</v>
      </c>
      <c r="C2155" s="7" t="str">
        <f t="shared" si="611"/>
        <v>ESPARGIDOR WV 13.190 ANO 2013 CHASSIS DR331380</v>
      </c>
      <c r="D2155" s="8">
        <f>D2087</f>
        <v>46112</v>
      </c>
      <c r="E2155" s="15"/>
      <c r="F2155" s="15"/>
      <c r="G2155" s="15">
        <f t="shared" si="613"/>
        <v>0</v>
      </c>
      <c r="H2155" s="16" t="s">
        <v>261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5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249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8">D2091</f>
        <v>46082</v>
      </c>
      <c r="E2159" s="24"/>
      <c r="F2159" s="24"/>
      <c r="G2159" s="15">
        <f t="shared" ref="G2159:G2160" si="619">F2159-E2159</f>
        <v>0</v>
      </c>
      <c r="H2159" s="16" t="s">
        <v>278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20">C$2157</f>
        <v>RETRO JOHN DEERE CHASSIS 1BZ310PACPDX00340 ROBERTÃO</v>
      </c>
      <c r="D2160" s="8">
        <f t="shared" si="618"/>
        <v>46083</v>
      </c>
      <c r="E2160" s="24"/>
      <c r="F2160" s="24"/>
      <c r="G2160" s="15">
        <f t="shared" si="619"/>
        <v>0</v>
      </c>
      <c r="H2160" s="16" t="s">
        <v>278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1">SUM(R2160+Q2160+I2160)</f>
        <v>464.51612903225805</v>
      </c>
    </row>
    <row r="2161" spans="2:20" outlineLevel="1">
      <c r="B2161" s="13" t="s">
        <v>148</v>
      </c>
      <c r="C2161" s="7" t="str">
        <f t="shared" si="620"/>
        <v>RETRO JOHN DEERE CHASSIS 1BZ310PACPDX00340 ROBERTÃO</v>
      </c>
      <c r="D2161" s="8">
        <f t="shared" si="618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278</v>
      </c>
      <c r="I2161" s="10">
        <f t="shared" ref="I2161:I2189" si="622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1"/>
        <v>464.51612903225805</v>
      </c>
    </row>
    <row r="2162" spans="2:20" outlineLevel="1">
      <c r="B2162" s="13" t="s">
        <v>148</v>
      </c>
      <c r="C2162" s="7" t="str">
        <f t="shared" si="620"/>
        <v>RETRO JOHN DEERE CHASSIS 1BZ310PACPDX00340 ROBERTÃO</v>
      </c>
      <c r="D2162" s="8">
        <f t="shared" si="618"/>
        <v>46085</v>
      </c>
      <c r="E2162" s="24"/>
      <c r="F2162" s="24"/>
      <c r="G2162" s="15">
        <f t="shared" ref="G2162:G2189" si="623">F2162-E2162</f>
        <v>0</v>
      </c>
      <c r="H2162" s="16" t="s">
        <v>278</v>
      </c>
      <c r="I2162" s="10">
        <f t="shared" si="622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1"/>
        <v>464.51612903225805</v>
      </c>
    </row>
    <row r="2163" spans="2:20" outlineLevel="1">
      <c r="B2163" s="13" t="s">
        <v>148</v>
      </c>
      <c r="C2163" s="7" t="str">
        <f t="shared" si="620"/>
        <v>RETRO JOHN DEERE CHASSIS 1BZ310PACPDX00340 ROBERTÃO</v>
      </c>
      <c r="D2163" s="8">
        <f t="shared" si="618"/>
        <v>46086</v>
      </c>
      <c r="E2163" s="24"/>
      <c r="F2163" s="24"/>
      <c r="G2163" s="15">
        <f t="shared" si="623"/>
        <v>0</v>
      </c>
      <c r="H2163" s="16" t="s">
        <v>278</v>
      </c>
      <c r="I2163" s="10">
        <f t="shared" si="622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1"/>
        <v>464.51612903225805</v>
      </c>
    </row>
    <row r="2164" spans="2:20" outlineLevel="1">
      <c r="B2164" s="13" t="s">
        <v>148</v>
      </c>
      <c r="C2164" s="7" t="str">
        <f t="shared" si="620"/>
        <v>RETRO JOHN DEERE CHASSIS 1BZ310PACPDX00340 ROBERTÃO</v>
      </c>
      <c r="D2164" s="8">
        <f t="shared" si="618"/>
        <v>46087</v>
      </c>
      <c r="E2164" s="24"/>
      <c r="F2164" s="25"/>
      <c r="G2164" s="15">
        <f t="shared" si="623"/>
        <v>0</v>
      </c>
      <c r="H2164" s="16" t="s">
        <v>278</v>
      </c>
      <c r="I2164" s="10">
        <f t="shared" si="622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1"/>
        <v>464.51612903225805</v>
      </c>
    </row>
    <row r="2165" spans="2:20" outlineLevel="1">
      <c r="B2165" s="13" t="s">
        <v>148</v>
      </c>
      <c r="C2165" s="7" t="str">
        <f t="shared" si="620"/>
        <v>RETRO JOHN DEERE CHASSIS 1BZ310PACPDX00340 ROBERTÃO</v>
      </c>
      <c r="D2165" s="8">
        <f t="shared" si="618"/>
        <v>46088</v>
      </c>
      <c r="E2165" s="25"/>
      <c r="F2165" s="23"/>
      <c r="G2165" s="15">
        <f t="shared" si="623"/>
        <v>0</v>
      </c>
      <c r="H2165" s="16" t="s">
        <v>278</v>
      </c>
      <c r="I2165" s="10">
        <f t="shared" si="622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1"/>
        <v>464.51612903225805</v>
      </c>
    </row>
    <row r="2166" spans="2:20" outlineLevel="1">
      <c r="B2166" s="13" t="s">
        <v>148</v>
      </c>
      <c r="C2166" s="7" t="str">
        <f t="shared" si="620"/>
        <v>RETRO JOHN DEERE CHASSIS 1BZ310PACPDX00340 ROBERTÃO</v>
      </c>
      <c r="D2166" s="8">
        <f t="shared" si="618"/>
        <v>46089</v>
      </c>
      <c r="E2166" s="23"/>
      <c r="F2166" s="23"/>
      <c r="G2166" s="15">
        <f t="shared" si="623"/>
        <v>0</v>
      </c>
      <c r="H2166" s="16" t="s">
        <v>278</v>
      </c>
      <c r="I2166" s="10">
        <f t="shared" si="622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1"/>
        <v>464.51612903225805</v>
      </c>
    </row>
    <row r="2167" spans="2:20" outlineLevel="1">
      <c r="B2167" s="13" t="s">
        <v>148</v>
      </c>
      <c r="C2167" s="7" t="str">
        <f t="shared" si="620"/>
        <v>RETRO JOHN DEERE CHASSIS 1BZ310PACPDX00340 ROBERTÃO</v>
      </c>
      <c r="D2167" s="8">
        <f t="shared" si="618"/>
        <v>46090</v>
      </c>
      <c r="E2167" s="23">
        <v>2361.4</v>
      </c>
      <c r="F2167" s="26">
        <v>2363.8000000000002</v>
      </c>
      <c r="G2167" s="15">
        <f t="shared" si="623"/>
        <v>2.4000000000000909</v>
      </c>
      <c r="H2167" s="16" t="s">
        <v>278</v>
      </c>
      <c r="I2167" s="10">
        <f t="shared" si="622"/>
        <v>464.51612903225805</v>
      </c>
      <c r="J2167" s="16"/>
      <c r="K2167" s="15">
        <v>1</v>
      </c>
      <c r="L2167" s="15"/>
      <c r="M2167" s="17"/>
      <c r="N2167" s="9"/>
      <c r="O2167" s="18"/>
      <c r="P2167" s="9"/>
      <c r="Q2167" s="9"/>
      <c r="R2167" s="9"/>
      <c r="S2167" s="10">
        <f t="shared" si="621"/>
        <v>464.51612903225805</v>
      </c>
      <c r="T2167" s="76"/>
    </row>
    <row r="2168" spans="2:20" outlineLevel="1">
      <c r="B2168" s="13" t="s">
        <v>148</v>
      </c>
      <c r="C2168" s="7" t="str">
        <f t="shared" si="620"/>
        <v>RETRO JOHN DEERE CHASSIS 1BZ310PACPDX00340 ROBERTÃO</v>
      </c>
      <c r="D2168" s="8">
        <f t="shared" si="618"/>
        <v>46091</v>
      </c>
      <c r="E2168" s="26">
        <v>2363.8000000000002</v>
      </c>
      <c r="F2168" s="26">
        <v>2365.3000000000002</v>
      </c>
      <c r="G2168" s="15">
        <f t="shared" si="623"/>
        <v>1.5</v>
      </c>
      <c r="H2168" s="16" t="s">
        <v>278</v>
      </c>
      <c r="I2168" s="10">
        <f t="shared" si="622"/>
        <v>464.51612903225805</v>
      </c>
      <c r="J2168" s="16"/>
      <c r="K2168" s="15">
        <v>1</v>
      </c>
      <c r="L2168" s="15"/>
      <c r="M2168" s="17"/>
      <c r="N2168" s="9"/>
      <c r="O2168" s="18"/>
      <c r="P2168" s="9"/>
      <c r="Q2168" s="9"/>
      <c r="R2168" s="9"/>
      <c r="S2168" s="10">
        <f t="shared" si="621"/>
        <v>464.51612903225805</v>
      </c>
    </row>
    <row r="2169" spans="2:20" outlineLevel="1">
      <c r="B2169" s="13" t="s">
        <v>148</v>
      </c>
      <c r="C2169" s="7" t="str">
        <f t="shared" si="620"/>
        <v>RETRO JOHN DEERE CHASSIS 1BZ310PACPDX00340 ROBERTÃO</v>
      </c>
      <c r="D2169" s="8">
        <f t="shared" si="618"/>
        <v>46092</v>
      </c>
      <c r="E2169" s="26">
        <v>2365.3000000000002</v>
      </c>
      <c r="F2169" s="24">
        <v>2366.3000000000002</v>
      </c>
      <c r="G2169" s="15">
        <f t="shared" si="623"/>
        <v>1</v>
      </c>
      <c r="H2169" s="16" t="s">
        <v>278</v>
      </c>
      <c r="I2169" s="10">
        <f t="shared" si="622"/>
        <v>464.51612903225805</v>
      </c>
      <c r="J2169" s="16"/>
      <c r="K2169" s="15">
        <v>1</v>
      </c>
      <c r="L2169" s="15">
        <v>66</v>
      </c>
      <c r="M2169" s="17"/>
      <c r="N2169" s="9"/>
      <c r="O2169" s="18">
        <f t="shared" ref="O2169:O2189" si="624">O2168</f>
        <v>0</v>
      </c>
      <c r="P2169" s="9"/>
      <c r="Q2169" s="9"/>
      <c r="R2169" s="9"/>
      <c r="S2169" s="10">
        <f t="shared" si="621"/>
        <v>464.51612903225805</v>
      </c>
    </row>
    <row r="2170" spans="2:20" outlineLevel="1">
      <c r="B2170" s="13" t="s">
        <v>148</v>
      </c>
      <c r="C2170" s="7" t="str">
        <f t="shared" si="620"/>
        <v>RETRO JOHN DEERE CHASSIS 1BZ310PACPDX00340 ROBERTÃO</v>
      </c>
      <c r="D2170" s="8">
        <f t="shared" si="618"/>
        <v>46093</v>
      </c>
      <c r="E2170" s="24"/>
      <c r="F2170" s="26"/>
      <c r="G2170" s="15">
        <f t="shared" si="623"/>
        <v>0</v>
      </c>
      <c r="H2170" s="16" t="s">
        <v>278</v>
      </c>
      <c r="I2170" s="10">
        <f t="shared" si="622"/>
        <v>464.51612903225805</v>
      </c>
      <c r="J2170" s="16" t="s">
        <v>16</v>
      </c>
      <c r="K2170" s="15"/>
      <c r="L2170" s="15"/>
      <c r="M2170" s="17"/>
      <c r="N2170" s="9"/>
      <c r="O2170" s="18">
        <f t="shared" si="624"/>
        <v>0</v>
      </c>
      <c r="P2170" s="9"/>
      <c r="Q2170" s="9"/>
      <c r="R2170" s="9"/>
      <c r="S2170" s="10">
        <f t="shared" si="621"/>
        <v>464.51612903225805</v>
      </c>
    </row>
    <row r="2171" spans="2:20" outlineLevel="1">
      <c r="B2171" s="13" t="s">
        <v>148</v>
      </c>
      <c r="C2171" s="7" t="str">
        <f t="shared" si="620"/>
        <v>RETRO JOHN DEERE CHASSIS 1BZ310PACPDX00340 ROBERTÃO</v>
      </c>
      <c r="D2171" s="8">
        <f t="shared" si="618"/>
        <v>46094</v>
      </c>
      <c r="E2171" s="24"/>
      <c r="F2171" s="24"/>
      <c r="G2171" s="15">
        <f t="shared" si="623"/>
        <v>0</v>
      </c>
      <c r="H2171" s="16" t="s">
        <v>278</v>
      </c>
      <c r="I2171" s="10">
        <f t="shared" si="622"/>
        <v>464.51612903225805</v>
      </c>
      <c r="J2171" s="16" t="s">
        <v>16</v>
      </c>
      <c r="K2171" s="15"/>
      <c r="L2171" s="15"/>
      <c r="M2171" s="17"/>
      <c r="N2171" s="9"/>
      <c r="O2171" s="18">
        <f t="shared" si="624"/>
        <v>0</v>
      </c>
      <c r="P2171" s="9"/>
      <c r="Q2171" s="9"/>
      <c r="R2171" s="9"/>
      <c r="S2171" s="10">
        <f t="shared" si="621"/>
        <v>464.51612903225805</v>
      </c>
    </row>
    <row r="2172" spans="2:20" outlineLevel="1">
      <c r="B2172" s="13" t="s">
        <v>148</v>
      </c>
      <c r="C2172" s="7" t="str">
        <f t="shared" si="620"/>
        <v>RETRO JOHN DEERE CHASSIS 1BZ310PACPDX00340 ROBERTÃO</v>
      </c>
      <c r="D2172" s="8">
        <f t="shared" si="618"/>
        <v>46095</v>
      </c>
      <c r="E2172" s="24"/>
      <c r="F2172" s="24"/>
      <c r="G2172" s="15">
        <f t="shared" si="623"/>
        <v>0</v>
      </c>
      <c r="H2172" s="16" t="s">
        <v>278</v>
      </c>
      <c r="I2172" s="10">
        <f t="shared" si="622"/>
        <v>464.51612903225805</v>
      </c>
      <c r="J2172" s="16" t="s">
        <v>16</v>
      </c>
      <c r="K2172" s="15"/>
      <c r="L2172" s="15"/>
      <c r="M2172" s="17"/>
      <c r="N2172" s="9"/>
      <c r="O2172" s="18">
        <f t="shared" si="624"/>
        <v>0</v>
      </c>
      <c r="P2172" s="9"/>
      <c r="Q2172" s="9"/>
      <c r="R2172" s="9"/>
      <c r="S2172" s="10">
        <f t="shared" si="621"/>
        <v>464.51612903225805</v>
      </c>
    </row>
    <row r="2173" spans="2:20" outlineLevel="1">
      <c r="B2173" s="13" t="s">
        <v>148</v>
      </c>
      <c r="C2173" s="7" t="str">
        <f t="shared" si="620"/>
        <v>RETRO JOHN DEERE CHASSIS 1BZ310PACPDX00340 ROBERTÃO</v>
      </c>
      <c r="D2173" s="8">
        <f t="shared" si="618"/>
        <v>46096</v>
      </c>
      <c r="E2173" s="23"/>
      <c r="F2173" s="24"/>
      <c r="G2173" s="15">
        <f t="shared" si="623"/>
        <v>0</v>
      </c>
      <c r="H2173" s="16" t="s">
        <v>278</v>
      </c>
      <c r="I2173" s="10">
        <f t="shared" si="622"/>
        <v>464.51612903225805</v>
      </c>
      <c r="J2173" s="16" t="s">
        <v>16</v>
      </c>
      <c r="K2173" s="15"/>
      <c r="L2173" s="15"/>
      <c r="M2173" s="17"/>
      <c r="N2173" s="9"/>
      <c r="O2173" s="18">
        <f t="shared" si="624"/>
        <v>0</v>
      </c>
      <c r="P2173" s="9"/>
      <c r="Q2173" s="9"/>
      <c r="R2173" s="9"/>
      <c r="S2173" s="10">
        <f t="shared" si="621"/>
        <v>464.51612903225805</v>
      </c>
    </row>
    <row r="2174" spans="2:20" outlineLevel="1">
      <c r="B2174" s="13" t="s">
        <v>148</v>
      </c>
      <c r="C2174" s="7" t="str">
        <f t="shared" si="620"/>
        <v>RETRO JOHN DEERE CHASSIS 1BZ310PACPDX00340 ROBERTÃO</v>
      </c>
      <c r="D2174" s="8">
        <f t="shared" si="618"/>
        <v>46097</v>
      </c>
      <c r="E2174" s="24"/>
      <c r="F2174" s="24"/>
      <c r="G2174" s="15">
        <f t="shared" si="623"/>
        <v>0</v>
      </c>
      <c r="H2174" s="16" t="s">
        <v>278</v>
      </c>
      <c r="I2174" s="10">
        <f t="shared" si="622"/>
        <v>464.51612903225805</v>
      </c>
      <c r="J2174" s="16" t="s">
        <v>16</v>
      </c>
      <c r="K2174" s="15"/>
      <c r="L2174" s="15"/>
      <c r="M2174" s="17"/>
      <c r="N2174" s="9"/>
      <c r="O2174" s="18">
        <f t="shared" si="624"/>
        <v>0</v>
      </c>
      <c r="P2174" s="9"/>
      <c r="Q2174" s="9"/>
      <c r="R2174" s="9"/>
      <c r="S2174" s="10">
        <f t="shared" si="621"/>
        <v>464.51612903225805</v>
      </c>
    </row>
    <row r="2175" spans="2:20" outlineLevel="1">
      <c r="B2175" s="13" t="s">
        <v>148</v>
      </c>
      <c r="C2175" s="7" t="str">
        <f t="shared" si="620"/>
        <v>RETRO JOHN DEERE CHASSIS 1BZ310PACPDX00340 ROBERTÃO</v>
      </c>
      <c r="D2175" s="8">
        <f t="shared" si="618"/>
        <v>46098</v>
      </c>
      <c r="E2175" s="24"/>
      <c r="F2175" s="24"/>
      <c r="G2175" s="15">
        <f t="shared" si="623"/>
        <v>0</v>
      </c>
      <c r="H2175" s="16" t="s">
        <v>278</v>
      </c>
      <c r="I2175" s="10">
        <f t="shared" si="622"/>
        <v>464.51612903225805</v>
      </c>
      <c r="J2175" s="16" t="s">
        <v>16</v>
      </c>
      <c r="K2175" s="15"/>
      <c r="L2175" s="15"/>
      <c r="M2175" s="17"/>
      <c r="N2175" s="9"/>
      <c r="O2175" s="18">
        <f t="shared" si="624"/>
        <v>0</v>
      </c>
      <c r="P2175" s="9"/>
      <c r="Q2175" s="9"/>
      <c r="R2175" s="9"/>
      <c r="S2175" s="10">
        <f t="shared" si="621"/>
        <v>464.51612903225805</v>
      </c>
    </row>
    <row r="2176" spans="2:20" outlineLevel="1">
      <c r="B2176" s="13" t="s">
        <v>148</v>
      </c>
      <c r="C2176" s="7" t="str">
        <f t="shared" si="620"/>
        <v>RETRO JOHN DEERE CHASSIS 1BZ310PACPDX00340 ROBERTÃO</v>
      </c>
      <c r="D2176" s="8">
        <f t="shared" si="618"/>
        <v>46099</v>
      </c>
      <c r="E2176" s="24"/>
      <c r="F2176" s="24"/>
      <c r="G2176" s="15">
        <f t="shared" si="623"/>
        <v>0</v>
      </c>
      <c r="H2176" s="16" t="s">
        <v>278</v>
      </c>
      <c r="I2176" s="10">
        <f t="shared" si="622"/>
        <v>464.51612903225805</v>
      </c>
      <c r="J2176" s="16" t="s">
        <v>16</v>
      </c>
      <c r="K2176" s="15"/>
      <c r="L2176" s="15"/>
      <c r="M2176" s="17"/>
      <c r="N2176" s="9"/>
      <c r="O2176" s="18">
        <f t="shared" si="624"/>
        <v>0</v>
      </c>
      <c r="P2176" s="9"/>
      <c r="Q2176" s="9"/>
      <c r="R2176" s="9"/>
      <c r="S2176" s="10">
        <f t="shared" si="621"/>
        <v>464.51612903225805</v>
      </c>
    </row>
    <row r="2177" spans="2:19" outlineLevel="1">
      <c r="B2177" s="13" t="s">
        <v>148</v>
      </c>
      <c r="C2177" s="7" t="str">
        <f t="shared" si="620"/>
        <v>RETRO JOHN DEERE CHASSIS 1BZ310PACPDX00340 ROBERTÃO</v>
      </c>
      <c r="D2177" s="8">
        <f t="shared" si="618"/>
        <v>46100</v>
      </c>
      <c r="E2177" s="24"/>
      <c r="F2177" s="24"/>
      <c r="G2177" s="15">
        <f t="shared" si="623"/>
        <v>0</v>
      </c>
      <c r="H2177" s="16" t="s">
        <v>278</v>
      </c>
      <c r="I2177" s="10">
        <f t="shared" si="622"/>
        <v>464.51612903225805</v>
      </c>
      <c r="J2177" s="16" t="s">
        <v>16</v>
      </c>
      <c r="K2177" s="15"/>
      <c r="L2177" s="15"/>
      <c r="M2177" s="17"/>
      <c r="N2177" s="9"/>
      <c r="O2177" s="18">
        <f t="shared" si="624"/>
        <v>0</v>
      </c>
      <c r="P2177" s="9"/>
      <c r="Q2177" s="9"/>
      <c r="R2177" s="9"/>
      <c r="S2177" s="10">
        <f t="shared" si="621"/>
        <v>464.51612903225805</v>
      </c>
    </row>
    <row r="2178" spans="2:19" outlineLevel="1">
      <c r="B2178" s="13" t="s">
        <v>148</v>
      </c>
      <c r="C2178" s="7" t="str">
        <f t="shared" si="620"/>
        <v>RETRO JOHN DEERE CHASSIS 1BZ310PACPDX00340 ROBERTÃO</v>
      </c>
      <c r="D2178" s="8">
        <f t="shared" si="618"/>
        <v>46101</v>
      </c>
      <c r="E2178" s="24"/>
      <c r="F2178" s="24"/>
      <c r="G2178" s="15">
        <f t="shared" si="623"/>
        <v>0</v>
      </c>
      <c r="H2178" s="16" t="s">
        <v>278</v>
      </c>
      <c r="I2178" s="10">
        <f t="shared" si="622"/>
        <v>464.51612903225805</v>
      </c>
      <c r="J2178" s="16" t="s">
        <v>16</v>
      </c>
      <c r="K2178" s="15"/>
      <c r="L2178" s="15"/>
      <c r="M2178" s="17"/>
      <c r="N2178" s="9"/>
      <c r="O2178" s="18">
        <f t="shared" si="624"/>
        <v>0</v>
      </c>
      <c r="P2178" s="9"/>
      <c r="Q2178" s="9"/>
      <c r="R2178" s="9"/>
      <c r="S2178" s="10">
        <f t="shared" si="621"/>
        <v>464.51612903225805</v>
      </c>
    </row>
    <row r="2179" spans="2:19" outlineLevel="1">
      <c r="B2179" s="13" t="s">
        <v>148</v>
      </c>
      <c r="C2179" s="7" t="str">
        <f t="shared" si="620"/>
        <v>RETRO JOHN DEERE CHASSIS 1BZ310PACPDX00340 ROBERTÃO</v>
      </c>
      <c r="D2179" s="8">
        <f t="shared" si="618"/>
        <v>46102</v>
      </c>
      <c r="E2179" s="24"/>
      <c r="F2179" s="24"/>
      <c r="G2179" s="15">
        <f t="shared" si="623"/>
        <v>0</v>
      </c>
      <c r="H2179" s="16" t="s">
        <v>278</v>
      </c>
      <c r="I2179" s="10">
        <f t="shared" si="622"/>
        <v>464.51612903225805</v>
      </c>
      <c r="J2179" s="16" t="s">
        <v>16</v>
      </c>
      <c r="K2179" s="15"/>
      <c r="L2179" s="15"/>
      <c r="M2179" s="17"/>
      <c r="N2179" s="9"/>
      <c r="O2179" s="18">
        <f t="shared" si="624"/>
        <v>0</v>
      </c>
      <c r="P2179" s="9"/>
      <c r="Q2179" s="9"/>
      <c r="R2179" s="9"/>
      <c r="S2179" s="10">
        <f t="shared" si="621"/>
        <v>464.51612903225805</v>
      </c>
    </row>
    <row r="2180" spans="2:19" outlineLevel="1">
      <c r="B2180" s="13" t="s">
        <v>148</v>
      </c>
      <c r="C2180" s="7" t="str">
        <f t="shared" si="620"/>
        <v>RETRO JOHN DEERE CHASSIS 1BZ310PACPDX00340 ROBERTÃO</v>
      </c>
      <c r="D2180" s="8">
        <f t="shared" si="618"/>
        <v>46103</v>
      </c>
      <c r="E2180" s="24"/>
      <c r="F2180" s="24"/>
      <c r="G2180" s="15">
        <f t="shared" si="623"/>
        <v>0</v>
      </c>
      <c r="H2180" s="16" t="s">
        <v>278</v>
      </c>
      <c r="I2180" s="10">
        <f t="shared" si="622"/>
        <v>464.51612903225805</v>
      </c>
      <c r="J2180" s="16" t="s">
        <v>16</v>
      </c>
      <c r="K2180" s="15"/>
      <c r="L2180" s="15"/>
      <c r="M2180" s="17"/>
      <c r="N2180" s="9"/>
      <c r="O2180" s="18">
        <f t="shared" si="624"/>
        <v>0</v>
      </c>
      <c r="P2180" s="9"/>
      <c r="Q2180" s="9"/>
      <c r="R2180" s="9"/>
      <c r="S2180" s="10">
        <f t="shared" si="621"/>
        <v>464.51612903225805</v>
      </c>
    </row>
    <row r="2181" spans="2:19" outlineLevel="1">
      <c r="B2181" s="13" t="s">
        <v>148</v>
      </c>
      <c r="C2181" s="7" t="str">
        <f t="shared" si="620"/>
        <v>RETRO JOHN DEERE CHASSIS 1BZ310PACPDX00340 ROBERTÃO</v>
      </c>
      <c r="D2181" s="8">
        <f t="shared" si="618"/>
        <v>46104</v>
      </c>
      <c r="E2181" s="24"/>
      <c r="F2181" s="24"/>
      <c r="G2181" s="15">
        <f t="shared" si="623"/>
        <v>0</v>
      </c>
      <c r="H2181" s="16" t="s">
        <v>278</v>
      </c>
      <c r="I2181" s="10">
        <f t="shared" si="622"/>
        <v>464.51612903225805</v>
      </c>
      <c r="J2181" s="16" t="s">
        <v>16</v>
      </c>
      <c r="K2181" s="15"/>
      <c r="L2181" s="15"/>
      <c r="M2181" s="17"/>
      <c r="N2181" s="9"/>
      <c r="O2181" s="18">
        <f t="shared" si="624"/>
        <v>0</v>
      </c>
      <c r="P2181" s="9"/>
      <c r="Q2181" s="9"/>
      <c r="R2181" s="9"/>
      <c r="S2181" s="10">
        <f t="shared" si="621"/>
        <v>464.51612903225805</v>
      </c>
    </row>
    <row r="2182" spans="2:19" outlineLevel="1">
      <c r="B2182" s="13" t="s">
        <v>148</v>
      </c>
      <c r="C2182" s="7" t="str">
        <f t="shared" si="620"/>
        <v>RETRO JOHN DEERE CHASSIS 1BZ310PACPDX00340 ROBERTÃO</v>
      </c>
      <c r="D2182" s="8">
        <f t="shared" si="618"/>
        <v>46105</v>
      </c>
      <c r="E2182" s="24"/>
      <c r="F2182" s="24"/>
      <c r="G2182" s="15">
        <f t="shared" si="623"/>
        <v>0</v>
      </c>
      <c r="H2182" s="16" t="s">
        <v>278</v>
      </c>
      <c r="I2182" s="10">
        <f t="shared" si="622"/>
        <v>464.51612903225805</v>
      </c>
      <c r="J2182" s="16" t="s">
        <v>16</v>
      </c>
      <c r="K2182" s="15"/>
      <c r="L2182" s="15"/>
      <c r="M2182" s="17"/>
      <c r="N2182" s="9"/>
      <c r="O2182" s="18">
        <f t="shared" si="624"/>
        <v>0</v>
      </c>
      <c r="P2182" s="9"/>
      <c r="Q2182" s="9"/>
      <c r="R2182" s="9"/>
      <c r="S2182" s="10">
        <f t="shared" si="621"/>
        <v>464.51612903225805</v>
      </c>
    </row>
    <row r="2183" spans="2:19" outlineLevel="1">
      <c r="B2183" s="13" t="s">
        <v>148</v>
      </c>
      <c r="C2183" s="7" t="str">
        <f t="shared" si="620"/>
        <v>RETRO JOHN DEERE CHASSIS 1BZ310PACPDX00340 ROBERTÃO</v>
      </c>
      <c r="D2183" s="8">
        <f t="shared" si="618"/>
        <v>46106</v>
      </c>
      <c r="E2183" s="24"/>
      <c r="F2183" s="24"/>
      <c r="G2183" s="15">
        <f t="shared" si="623"/>
        <v>0</v>
      </c>
      <c r="H2183" s="16" t="s">
        <v>278</v>
      </c>
      <c r="I2183" s="10">
        <f t="shared" si="622"/>
        <v>464.51612903225805</v>
      </c>
      <c r="J2183" s="16" t="s">
        <v>16</v>
      </c>
      <c r="K2183" s="15"/>
      <c r="L2183" s="15"/>
      <c r="M2183" s="17"/>
      <c r="N2183" s="9"/>
      <c r="O2183" s="18">
        <f t="shared" si="624"/>
        <v>0</v>
      </c>
      <c r="P2183" s="9"/>
      <c r="Q2183" s="9"/>
      <c r="R2183" s="9"/>
      <c r="S2183" s="10">
        <f t="shared" si="621"/>
        <v>464.51612903225805</v>
      </c>
    </row>
    <row r="2184" spans="2:19" outlineLevel="1">
      <c r="B2184" s="13" t="s">
        <v>148</v>
      </c>
      <c r="C2184" s="7" t="str">
        <f t="shared" si="620"/>
        <v>RETRO JOHN DEERE CHASSIS 1BZ310PACPDX00340 ROBERTÃO</v>
      </c>
      <c r="D2184" s="8">
        <f t="shared" si="618"/>
        <v>46107</v>
      </c>
      <c r="E2184" s="24"/>
      <c r="F2184" s="24"/>
      <c r="G2184" s="15">
        <f t="shared" si="623"/>
        <v>0</v>
      </c>
      <c r="H2184" s="16" t="s">
        <v>278</v>
      </c>
      <c r="I2184" s="10">
        <f t="shared" si="622"/>
        <v>464.51612903225805</v>
      </c>
      <c r="J2184" s="16" t="s">
        <v>16</v>
      </c>
      <c r="K2184" s="15"/>
      <c r="L2184" s="15"/>
      <c r="M2184" s="17"/>
      <c r="N2184" s="9"/>
      <c r="O2184" s="18">
        <f t="shared" si="624"/>
        <v>0</v>
      </c>
      <c r="P2184" s="9"/>
      <c r="Q2184" s="9"/>
      <c r="R2184" s="9"/>
      <c r="S2184" s="10">
        <f t="shared" si="621"/>
        <v>464.51612903225805</v>
      </c>
    </row>
    <row r="2185" spans="2:19" outlineLevel="1">
      <c r="B2185" s="13" t="s">
        <v>148</v>
      </c>
      <c r="C2185" s="7" t="str">
        <f t="shared" si="620"/>
        <v>RETRO JOHN DEERE CHASSIS 1BZ310PACPDX00340 ROBERTÃO</v>
      </c>
      <c r="D2185" s="8">
        <f t="shared" si="618"/>
        <v>46108</v>
      </c>
      <c r="E2185" s="24"/>
      <c r="F2185" s="24"/>
      <c r="G2185" s="15">
        <f t="shared" si="623"/>
        <v>0</v>
      </c>
      <c r="H2185" s="16" t="s">
        <v>278</v>
      </c>
      <c r="I2185" s="10">
        <f t="shared" si="622"/>
        <v>464.51612903225805</v>
      </c>
      <c r="J2185" s="16" t="s">
        <v>16</v>
      </c>
      <c r="K2185" s="15"/>
      <c r="L2185" s="15"/>
      <c r="M2185" s="17"/>
      <c r="N2185" s="9"/>
      <c r="O2185" s="18">
        <f t="shared" si="624"/>
        <v>0</v>
      </c>
      <c r="P2185" s="9"/>
      <c r="Q2185" s="9"/>
      <c r="R2185" s="9"/>
      <c r="S2185" s="10">
        <f t="shared" ref="S2185:S2189" si="625">SUM(R2185+Q2185+I2185)</f>
        <v>464.51612903225805</v>
      </c>
    </row>
    <row r="2186" spans="2:19" outlineLevel="1">
      <c r="B2186" s="13" t="s">
        <v>148</v>
      </c>
      <c r="C2186" s="7" t="str">
        <f t="shared" si="620"/>
        <v>RETRO JOHN DEERE CHASSIS 1BZ310PACPDX00340 ROBERTÃO</v>
      </c>
      <c r="D2186" s="8">
        <f t="shared" si="618"/>
        <v>46109</v>
      </c>
      <c r="E2186" s="24"/>
      <c r="F2186" s="24"/>
      <c r="G2186" s="15">
        <f t="shared" si="623"/>
        <v>0</v>
      </c>
      <c r="H2186" s="16" t="s">
        <v>278</v>
      </c>
      <c r="I2186" s="10">
        <f t="shared" si="622"/>
        <v>464.51612903225805</v>
      </c>
      <c r="J2186" s="16" t="s">
        <v>16</v>
      </c>
      <c r="K2186" s="15"/>
      <c r="L2186" s="15"/>
      <c r="M2186" s="17"/>
      <c r="N2186" s="9"/>
      <c r="O2186" s="18">
        <f t="shared" si="624"/>
        <v>0</v>
      </c>
      <c r="P2186" s="9"/>
      <c r="Q2186" s="9"/>
      <c r="R2186" s="9"/>
      <c r="S2186" s="10">
        <f t="shared" si="625"/>
        <v>464.51612903225805</v>
      </c>
    </row>
    <row r="2187" spans="2:19" outlineLevel="1">
      <c r="B2187" s="13" t="s">
        <v>148</v>
      </c>
      <c r="C2187" s="7" t="str">
        <f t="shared" si="620"/>
        <v>RETRO JOHN DEERE CHASSIS 1BZ310PACPDX00340 ROBERTÃO</v>
      </c>
      <c r="D2187" s="8">
        <f t="shared" si="618"/>
        <v>46110</v>
      </c>
      <c r="E2187" s="24"/>
      <c r="F2187" s="24"/>
      <c r="G2187" s="15">
        <f t="shared" si="623"/>
        <v>0</v>
      </c>
      <c r="H2187" s="16" t="s">
        <v>278</v>
      </c>
      <c r="I2187" s="10">
        <f t="shared" si="622"/>
        <v>464.51612903225805</v>
      </c>
      <c r="J2187" s="16" t="s">
        <v>16</v>
      </c>
      <c r="K2187" s="15"/>
      <c r="L2187" s="15"/>
      <c r="M2187" s="17"/>
      <c r="N2187" s="9"/>
      <c r="O2187" s="18">
        <f t="shared" si="624"/>
        <v>0</v>
      </c>
      <c r="P2187" s="9"/>
      <c r="Q2187" s="9"/>
      <c r="R2187" s="9"/>
      <c r="S2187" s="10">
        <f t="shared" si="625"/>
        <v>464.51612903225805</v>
      </c>
    </row>
    <row r="2188" spans="2:19" outlineLevel="1">
      <c r="B2188" s="13" t="s">
        <v>148</v>
      </c>
      <c r="C2188" s="7" t="str">
        <f t="shared" si="620"/>
        <v>RETRO JOHN DEERE CHASSIS 1BZ310PACPDX00340 ROBERTÃO</v>
      </c>
      <c r="D2188" s="8">
        <f t="shared" si="618"/>
        <v>46111</v>
      </c>
      <c r="E2188" s="24"/>
      <c r="F2188" s="24"/>
      <c r="G2188" s="15">
        <f t="shared" si="623"/>
        <v>0</v>
      </c>
      <c r="H2188" s="16" t="s">
        <v>278</v>
      </c>
      <c r="I2188" s="10">
        <f t="shared" si="622"/>
        <v>464.51612903225805</v>
      </c>
      <c r="J2188" s="16" t="s">
        <v>16</v>
      </c>
      <c r="K2188" s="15"/>
      <c r="L2188" s="15"/>
      <c r="M2188" s="17"/>
      <c r="N2188" s="9"/>
      <c r="O2188" s="18">
        <f t="shared" si="624"/>
        <v>0</v>
      </c>
      <c r="P2188" s="9"/>
      <c r="Q2188" s="9"/>
      <c r="R2188" s="9"/>
      <c r="S2188" s="10">
        <f t="shared" si="625"/>
        <v>464.51612903225805</v>
      </c>
    </row>
    <row r="2189" spans="2:19" outlineLevel="1">
      <c r="B2189" s="13" t="s">
        <v>148</v>
      </c>
      <c r="C2189" s="7" t="str">
        <f t="shared" si="620"/>
        <v>RETRO JOHN DEERE CHASSIS 1BZ310PACPDX00340 ROBERTÃO</v>
      </c>
      <c r="D2189" s="8">
        <f t="shared" si="618"/>
        <v>46112</v>
      </c>
      <c r="E2189" s="24"/>
      <c r="F2189" s="24"/>
      <c r="G2189" s="15">
        <f t="shared" si="623"/>
        <v>0</v>
      </c>
      <c r="H2189" s="16" t="s">
        <v>278</v>
      </c>
      <c r="I2189" s="10">
        <f t="shared" si="622"/>
        <v>464.51612903225805</v>
      </c>
      <c r="J2189" s="16" t="s">
        <v>16</v>
      </c>
      <c r="K2189" s="15"/>
      <c r="L2189" s="15"/>
      <c r="M2189" s="17"/>
      <c r="N2189" s="9"/>
      <c r="O2189" s="18">
        <f t="shared" si="624"/>
        <v>0</v>
      </c>
      <c r="P2189" s="9"/>
      <c r="Q2189" s="9"/>
      <c r="R2189" s="9"/>
      <c r="S2189" s="10">
        <f t="shared" si="625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6">D2125</f>
        <v>46082</v>
      </c>
      <c r="E2193" s="22"/>
      <c r="F2193" s="22"/>
      <c r="G2193" s="15">
        <f>F2193-E2193</f>
        <v>0</v>
      </c>
      <c r="H2193" s="16" t="s">
        <v>284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7">C$2191</f>
        <v>ROLO HD 14 SOLUÇÃO CHASSIS WGH0H201CHAA06397</v>
      </c>
      <c r="D2194" s="8">
        <f t="shared" si="626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284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8">SUM(R2194+Q2194+I2194)</f>
        <v>496.77419354838707</v>
      </c>
    </row>
    <row r="2195" spans="2:20" outlineLevel="1">
      <c r="B2195" s="13" t="s">
        <v>150</v>
      </c>
      <c r="C2195" s="7" t="str">
        <f t="shared" si="627"/>
        <v>ROLO HD 14 SOLUÇÃO CHASSIS WGH0H201CHAA06397</v>
      </c>
      <c r="D2195" s="8">
        <f t="shared" si="626"/>
        <v>46084</v>
      </c>
      <c r="E2195" s="22"/>
      <c r="F2195" s="22"/>
      <c r="G2195" s="15">
        <f t="shared" ref="G2195:G2223" si="629">F2195-E2195</f>
        <v>0</v>
      </c>
      <c r="H2195" s="16" t="s">
        <v>284</v>
      </c>
      <c r="I2195" s="10">
        <f t="shared" ref="I2195:I2219" si="630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8"/>
        <v>496.77419354838707</v>
      </c>
    </row>
    <row r="2196" spans="2:20" outlineLevel="1">
      <c r="B2196" s="13" t="s">
        <v>150</v>
      </c>
      <c r="C2196" s="7" t="str">
        <f t="shared" si="627"/>
        <v>ROLO HD 14 SOLUÇÃO CHASSIS WGH0H201CHAA06397</v>
      </c>
      <c r="D2196" s="8">
        <f t="shared" si="626"/>
        <v>46085</v>
      </c>
      <c r="E2196" s="22">
        <v>1196.5999999999999</v>
      </c>
      <c r="F2196" s="22">
        <v>1203.5999999999999</v>
      </c>
      <c r="G2196" s="15">
        <f t="shared" si="629"/>
        <v>7</v>
      </c>
      <c r="H2196" s="16" t="s">
        <v>284</v>
      </c>
      <c r="I2196" s="10">
        <f t="shared" si="630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8"/>
        <v>496.77419354838707</v>
      </c>
    </row>
    <row r="2197" spans="2:20" outlineLevel="1">
      <c r="B2197" s="13" t="s">
        <v>150</v>
      </c>
      <c r="C2197" s="7" t="str">
        <f t="shared" si="627"/>
        <v>ROLO HD 14 SOLUÇÃO CHASSIS WGH0H201CHAA06397</v>
      </c>
      <c r="D2197" s="8">
        <f t="shared" si="626"/>
        <v>46086</v>
      </c>
      <c r="E2197" s="22">
        <v>1204.0999999999999</v>
      </c>
      <c r="F2197" s="22">
        <v>1205.8</v>
      </c>
      <c r="G2197" s="15">
        <f t="shared" si="629"/>
        <v>1.7000000000000455</v>
      </c>
      <c r="H2197" s="16" t="s">
        <v>284</v>
      </c>
      <c r="I2197" s="10">
        <f t="shared" si="630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8"/>
        <v>496.77419354838707</v>
      </c>
    </row>
    <row r="2198" spans="2:20" outlineLevel="1">
      <c r="B2198" s="13" t="s">
        <v>150</v>
      </c>
      <c r="C2198" s="7" t="str">
        <f t="shared" si="627"/>
        <v>ROLO HD 14 SOLUÇÃO CHASSIS WGH0H201CHAA06397</v>
      </c>
      <c r="D2198" s="8">
        <f t="shared" si="626"/>
        <v>46087</v>
      </c>
      <c r="E2198" s="22">
        <v>1205.8</v>
      </c>
      <c r="F2198" s="22">
        <v>1210.0999999999999</v>
      </c>
      <c r="G2198" s="15">
        <f t="shared" si="629"/>
        <v>4.2999999999999545</v>
      </c>
      <c r="H2198" s="16" t="s">
        <v>358</v>
      </c>
      <c r="I2198" s="10">
        <f t="shared" si="630"/>
        <v>496.77419354838707</v>
      </c>
      <c r="J2198" s="16"/>
      <c r="K2198" s="15">
        <v>1</v>
      </c>
      <c r="L2198" s="15"/>
      <c r="M2198" s="17"/>
      <c r="N2198" s="8"/>
      <c r="O2198" s="18"/>
      <c r="P2198" s="9"/>
      <c r="Q2198" s="9"/>
      <c r="R2198" s="85">
        <v>0</v>
      </c>
      <c r="S2198" s="10">
        <f t="shared" si="628"/>
        <v>496.77419354838707</v>
      </c>
    </row>
    <row r="2199" spans="2:20" outlineLevel="1">
      <c r="B2199" s="13" t="s">
        <v>150</v>
      </c>
      <c r="C2199" s="7" t="str">
        <f t="shared" si="627"/>
        <v>ROLO HD 14 SOLUÇÃO CHASSIS WGH0H201CHAA06397</v>
      </c>
      <c r="D2199" s="8">
        <f t="shared" si="626"/>
        <v>46088</v>
      </c>
      <c r="E2199" s="22">
        <v>1210.0999999999999</v>
      </c>
      <c r="F2199" s="22">
        <v>1215.4000000000001</v>
      </c>
      <c r="G2199" s="15">
        <f t="shared" si="629"/>
        <v>5.3000000000001819</v>
      </c>
      <c r="H2199" s="16" t="s">
        <v>358</v>
      </c>
      <c r="I2199" s="10">
        <f t="shared" si="630"/>
        <v>496.77419354838707</v>
      </c>
      <c r="J2199" s="16"/>
      <c r="K2199" s="15">
        <v>1</v>
      </c>
      <c r="L2199" s="15"/>
      <c r="M2199" s="17"/>
      <c r="N2199" s="8"/>
      <c r="O2199" s="18"/>
      <c r="P2199" s="9"/>
      <c r="Q2199" s="9"/>
      <c r="R2199" s="85">
        <v>0</v>
      </c>
      <c r="S2199" s="10">
        <f t="shared" si="628"/>
        <v>496.77419354838707</v>
      </c>
    </row>
    <row r="2200" spans="2:20" outlineLevel="1">
      <c r="B2200" s="13" t="s">
        <v>150</v>
      </c>
      <c r="C2200" s="7" t="str">
        <f t="shared" si="627"/>
        <v>ROLO HD 14 SOLUÇÃO CHASSIS WGH0H201CHAA06397</v>
      </c>
      <c r="D2200" s="8">
        <f t="shared" si="626"/>
        <v>46089</v>
      </c>
      <c r="E2200" s="22"/>
      <c r="F2200" s="22"/>
      <c r="G2200" s="15">
        <f t="shared" si="629"/>
        <v>0</v>
      </c>
      <c r="H2200" s="16" t="s">
        <v>358</v>
      </c>
      <c r="I2200" s="10">
        <f t="shared" si="630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8"/>
        <v>496.77419354838707</v>
      </c>
    </row>
    <row r="2201" spans="2:20" outlineLevel="1">
      <c r="B2201" s="13" t="s">
        <v>150</v>
      </c>
      <c r="C2201" s="7" t="str">
        <f t="shared" si="627"/>
        <v>ROLO HD 14 SOLUÇÃO CHASSIS WGH0H201CHAA06397</v>
      </c>
      <c r="D2201" s="8">
        <f t="shared" si="626"/>
        <v>46090</v>
      </c>
      <c r="E2201" s="22"/>
      <c r="F2201" s="22"/>
      <c r="G2201" s="15">
        <f t="shared" si="629"/>
        <v>0</v>
      </c>
      <c r="H2201" s="16" t="s">
        <v>358</v>
      </c>
      <c r="I2201" s="10">
        <f t="shared" si="630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8"/>
        <v>496.77419354838707</v>
      </c>
    </row>
    <row r="2202" spans="2:20" outlineLevel="1">
      <c r="B2202" s="13" t="s">
        <v>150</v>
      </c>
      <c r="C2202" s="7" t="str">
        <f t="shared" si="627"/>
        <v>ROLO HD 14 SOLUÇÃO CHASSIS WGH0H201CHAA06397</v>
      </c>
      <c r="D2202" s="8">
        <f t="shared" si="626"/>
        <v>46091</v>
      </c>
      <c r="E2202" s="22">
        <v>1215.4000000000001</v>
      </c>
      <c r="F2202" s="22">
        <v>1218.4000000000001</v>
      </c>
      <c r="G2202" s="15">
        <f t="shared" si="629"/>
        <v>3</v>
      </c>
      <c r="H2202" s="16" t="s">
        <v>358</v>
      </c>
      <c r="I2202" s="10">
        <f t="shared" si="630"/>
        <v>496.77419354838707</v>
      </c>
      <c r="J2202" s="16"/>
      <c r="K2202" s="15">
        <v>1</v>
      </c>
      <c r="L2202" s="15"/>
      <c r="M2202" s="17"/>
      <c r="N2202" s="8"/>
      <c r="O2202" s="18"/>
      <c r="P2202" s="9"/>
      <c r="Q2202" s="9"/>
      <c r="R2202" s="85">
        <v>0</v>
      </c>
      <c r="S2202" s="10">
        <f t="shared" si="628"/>
        <v>496.77419354838707</v>
      </c>
    </row>
    <row r="2203" spans="2:20" outlineLevel="1">
      <c r="B2203" s="13" t="s">
        <v>150</v>
      </c>
      <c r="C2203" s="7" t="str">
        <f t="shared" si="627"/>
        <v>ROLO HD 14 SOLUÇÃO CHASSIS WGH0H201CHAA06397</v>
      </c>
      <c r="D2203" s="8">
        <f t="shared" si="626"/>
        <v>46092</v>
      </c>
      <c r="E2203" s="22">
        <v>1218.4000000000001</v>
      </c>
      <c r="F2203" s="22">
        <v>1225.4000000000001</v>
      </c>
      <c r="G2203" s="15">
        <f t="shared" si="629"/>
        <v>7</v>
      </c>
      <c r="H2203" s="16" t="s">
        <v>358</v>
      </c>
      <c r="I2203" s="10">
        <f t="shared" si="630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8"/>
        <v>496.77419354838707</v>
      </c>
    </row>
    <row r="2204" spans="2:20" outlineLevel="1">
      <c r="B2204" s="13" t="s">
        <v>150</v>
      </c>
      <c r="C2204" s="7" t="str">
        <f t="shared" si="627"/>
        <v>ROLO HD 14 SOLUÇÃO CHASSIS WGH0H201CHAA06397</v>
      </c>
      <c r="D2204" s="8">
        <f t="shared" si="626"/>
        <v>46093</v>
      </c>
      <c r="E2204" s="22">
        <v>1225.4000000000001</v>
      </c>
      <c r="F2204" s="22">
        <v>1230.5999999999999</v>
      </c>
      <c r="G2204" s="15">
        <f t="shared" si="629"/>
        <v>5.1999999999998181</v>
      </c>
      <c r="H2204" s="16" t="s">
        <v>358</v>
      </c>
      <c r="I2204" s="10">
        <f t="shared" si="630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8"/>
        <v>496.77419354838707</v>
      </c>
    </row>
    <row r="2205" spans="2:20" outlineLevel="1">
      <c r="B2205" s="13" t="s">
        <v>150</v>
      </c>
      <c r="C2205" s="7" t="str">
        <f t="shared" si="627"/>
        <v>ROLO HD 14 SOLUÇÃO CHASSIS WGH0H201CHAA06397</v>
      </c>
      <c r="D2205" s="8">
        <f t="shared" si="626"/>
        <v>46094</v>
      </c>
      <c r="E2205" s="22">
        <v>1230.5999999999999</v>
      </c>
      <c r="F2205" s="22">
        <v>1234.4000000000001</v>
      </c>
      <c r="G2205" s="15">
        <f t="shared" si="629"/>
        <v>3.8000000000001819</v>
      </c>
      <c r="H2205" s="16" t="s">
        <v>358</v>
      </c>
      <c r="I2205" s="10">
        <f t="shared" si="630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8"/>
        <v>496.77419354838707</v>
      </c>
    </row>
    <row r="2206" spans="2:20" outlineLevel="1">
      <c r="B2206" s="13" t="s">
        <v>150</v>
      </c>
      <c r="C2206" s="7" t="str">
        <f t="shared" si="627"/>
        <v>ROLO HD 14 SOLUÇÃO CHASSIS WGH0H201CHAA06397</v>
      </c>
      <c r="D2206" s="8">
        <f t="shared" si="626"/>
        <v>46095</v>
      </c>
      <c r="E2206" s="22">
        <v>1234.4000000000001</v>
      </c>
      <c r="F2206" s="22">
        <v>1238.0999999999999</v>
      </c>
      <c r="G2206" s="15">
        <f t="shared" si="629"/>
        <v>3.6999999999998181</v>
      </c>
      <c r="H2206" s="16" t="s">
        <v>358</v>
      </c>
      <c r="I2206" s="10">
        <f t="shared" si="630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8"/>
        <v>496.77419354838707</v>
      </c>
    </row>
    <row r="2207" spans="2:20" outlineLevel="1">
      <c r="B2207" s="13" t="s">
        <v>150</v>
      </c>
      <c r="C2207" s="7" t="str">
        <f t="shared" si="627"/>
        <v>ROLO HD 14 SOLUÇÃO CHASSIS WGH0H201CHAA06397</v>
      </c>
      <c r="D2207" s="8">
        <f t="shared" si="626"/>
        <v>46096</v>
      </c>
      <c r="E2207" s="22"/>
      <c r="F2207" s="22"/>
      <c r="G2207" s="15">
        <f t="shared" si="629"/>
        <v>0</v>
      </c>
      <c r="H2207" s="16" t="s">
        <v>358</v>
      </c>
      <c r="I2207" s="10">
        <f t="shared" si="630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8"/>
        <v>496.77419354838707</v>
      </c>
    </row>
    <row r="2208" spans="2:20" outlineLevel="1">
      <c r="B2208" s="13" t="s">
        <v>150</v>
      </c>
      <c r="C2208" s="7" t="str">
        <f t="shared" si="627"/>
        <v>ROLO HD 14 SOLUÇÃO CHASSIS WGH0H201CHAA06397</v>
      </c>
      <c r="D2208" s="8">
        <f t="shared" si="626"/>
        <v>46097</v>
      </c>
      <c r="E2208" s="22"/>
      <c r="F2208" s="22"/>
      <c r="G2208" s="15">
        <f t="shared" si="629"/>
        <v>0</v>
      </c>
      <c r="H2208" s="16" t="s">
        <v>358</v>
      </c>
      <c r="I2208" s="10">
        <f t="shared" si="630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8"/>
        <v>496.77419354838707</v>
      </c>
      <c r="T2208" s="76"/>
    </row>
    <row r="2209" spans="2:19" outlineLevel="1">
      <c r="B2209" s="13" t="s">
        <v>150</v>
      </c>
      <c r="C2209" s="7" t="str">
        <f t="shared" si="627"/>
        <v>ROLO HD 14 SOLUÇÃO CHASSIS WGH0H201CHAA06397</v>
      </c>
      <c r="D2209" s="8">
        <f t="shared" si="626"/>
        <v>46098</v>
      </c>
      <c r="E2209" s="22"/>
      <c r="F2209" s="22"/>
      <c r="G2209" s="15">
        <f t="shared" si="629"/>
        <v>0</v>
      </c>
      <c r="H2209" s="16" t="s">
        <v>358</v>
      </c>
      <c r="I2209" s="10">
        <f t="shared" si="630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8"/>
        <v>496.77419354838707</v>
      </c>
    </row>
    <row r="2210" spans="2:19" outlineLevel="1">
      <c r="B2210" s="13" t="s">
        <v>150</v>
      </c>
      <c r="C2210" s="7" t="str">
        <f t="shared" si="627"/>
        <v>ROLO HD 14 SOLUÇÃO CHASSIS WGH0H201CHAA06397</v>
      </c>
      <c r="D2210" s="8">
        <f t="shared" si="626"/>
        <v>46099</v>
      </c>
      <c r="E2210" s="22"/>
      <c r="F2210" s="22"/>
      <c r="G2210" s="15">
        <f t="shared" si="629"/>
        <v>0</v>
      </c>
      <c r="H2210" s="16" t="s">
        <v>358</v>
      </c>
      <c r="I2210" s="10">
        <f t="shared" si="630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8"/>
        <v>496.77419354838707</v>
      </c>
    </row>
    <row r="2211" spans="2:19" outlineLevel="1">
      <c r="B2211" s="13" t="s">
        <v>150</v>
      </c>
      <c r="C2211" s="7" t="str">
        <f t="shared" si="627"/>
        <v>ROLO HD 14 SOLUÇÃO CHASSIS WGH0H201CHAA06397</v>
      </c>
      <c r="D2211" s="8">
        <f t="shared" si="626"/>
        <v>46100</v>
      </c>
      <c r="E2211" s="22"/>
      <c r="F2211" s="22"/>
      <c r="G2211" s="15">
        <f t="shared" si="629"/>
        <v>0</v>
      </c>
      <c r="H2211" s="16" t="s">
        <v>358</v>
      </c>
      <c r="I2211" s="10">
        <f t="shared" si="630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8"/>
        <v>496.77419354838707</v>
      </c>
    </row>
    <row r="2212" spans="2:19" outlineLevel="1">
      <c r="B2212" s="13" t="s">
        <v>150</v>
      </c>
      <c r="C2212" s="7" t="str">
        <f t="shared" si="627"/>
        <v>ROLO HD 14 SOLUÇÃO CHASSIS WGH0H201CHAA06397</v>
      </c>
      <c r="D2212" s="8">
        <f t="shared" si="626"/>
        <v>46101</v>
      </c>
      <c r="E2212" s="22"/>
      <c r="F2212" s="22"/>
      <c r="G2212" s="15">
        <f t="shared" si="629"/>
        <v>0</v>
      </c>
      <c r="H2212" s="16" t="s">
        <v>358</v>
      </c>
      <c r="I2212" s="10">
        <f t="shared" si="630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8"/>
        <v>496.77419354838707</v>
      </c>
    </row>
    <row r="2213" spans="2:19" outlineLevel="1">
      <c r="B2213" s="13" t="s">
        <v>150</v>
      </c>
      <c r="C2213" s="7" t="str">
        <f t="shared" si="627"/>
        <v>ROLO HD 14 SOLUÇÃO CHASSIS WGH0H201CHAA06397</v>
      </c>
      <c r="D2213" s="8">
        <f t="shared" si="626"/>
        <v>46102</v>
      </c>
      <c r="E2213" s="22"/>
      <c r="F2213" s="22"/>
      <c r="G2213" s="15">
        <f t="shared" si="629"/>
        <v>0</v>
      </c>
      <c r="H2213" s="16" t="s">
        <v>358</v>
      </c>
      <c r="I2213" s="10">
        <f t="shared" si="630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8"/>
        <v>496.77419354838707</v>
      </c>
    </row>
    <row r="2214" spans="2:19" outlineLevel="1">
      <c r="B2214" s="13" t="s">
        <v>150</v>
      </c>
      <c r="C2214" s="7" t="str">
        <f t="shared" si="627"/>
        <v>ROLO HD 14 SOLUÇÃO CHASSIS WGH0H201CHAA06397</v>
      </c>
      <c r="D2214" s="8">
        <f t="shared" si="626"/>
        <v>46103</v>
      </c>
      <c r="E2214" s="22"/>
      <c r="F2214" s="22"/>
      <c r="G2214" s="15">
        <f t="shared" si="629"/>
        <v>0</v>
      </c>
      <c r="H2214" s="16" t="s">
        <v>358</v>
      </c>
      <c r="I2214" s="10">
        <f t="shared" si="630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8"/>
        <v>496.77419354838707</v>
      </c>
    </row>
    <row r="2215" spans="2:19" outlineLevel="1">
      <c r="B2215" s="13" t="s">
        <v>150</v>
      </c>
      <c r="C2215" s="7" t="str">
        <f t="shared" si="627"/>
        <v>ROLO HD 14 SOLUÇÃO CHASSIS WGH0H201CHAA06397</v>
      </c>
      <c r="D2215" s="8">
        <f t="shared" si="626"/>
        <v>46104</v>
      </c>
      <c r="E2215" s="22"/>
      <c r="F2215" s="22"/>
      <c r="G2215" s="15">
        <f t="shared" si="629"/>
        <v>0</v>
      </c>
      <c r="H2215" s="16" t="s">
        <v>358</v>
      </c>
      <c r="I2215" s="10">
        <f t="shared" si="630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8"/>
        <v>496.77419354838707</v>
      </c>
    </row>
    <row r="2216" spans="2:19" outlineLevel="1">
      <c r="B2216" s="13" t="s">
        <v>150</v>
      </c>
      <c r="C2216" s="7" t="str">
        <f t="shared" si="627"/>
        <v>ROLO HD 14 SOLUÇÃO CHASSIS WGH0H201CHAA06397</v>
      </c>
      <c r="D2216" s="8">
        <f t="shared" si="626"/>
        <v>46105</v>
      </c>
      <c r="E2216" s="22"/>
      <c r="F2216" s="22"/>
      <c r="G2216" s="15">
        <f t="shared" si="629"/>
        <v>0</v>
      </c>
      <c r="H2216" s="16" t="s">
        <v>358</v>
      </c>
      <c r="I2216" s="10">
        <f t="shared" si="630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8"/>
        <v>496.77419354838707</v>
      </c>
    </row>
    <row r="2217" spans="2:19" outlineLevel="1">
      <c r="B2217" s="13" t="s">
        <v>150</v>
      </c>
      <c r="C2217" s="7" t="str">
        <f t="shared" si="627"/>
        <v>ROLO HD 14 SOLUÇÃO CHASSIS WGH0H201CHAA06397</v>
      </c>
      <c r="D2217" s="8">
        <f t="shared" si="626"/>
        <v>46106</v>
      </c>
      <c r="E2217" s="22"/>
      <c r="F2217" s="22"/>
      <c r="G2217" s="15">
        <f t="shared" si="629"/>
        <v>0</v>
      </c>
      <c r="H2217" s="16" t="s">
        <v>358</v>
      </c>
      <c r="I2217" s="10">
        <f t="shared" si="630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8"/>
        <v>496.77419354838707</v>
      </c>
    </row>
    <row r="2218" spans="2:19" outlineLevel="1">
      <c r="B2218" s="13" t="s">
        <v>150</v>
      </c>
      <c r="C2218" s="7" t="str">
        <f t="shared" si="627"/>
        <v>ROLO HD 14 SOLUÇÃO CHASSIS WGH0H201CHAA06397</v>
      </c>
      <c r="D2218" s="8">
        <f t="shared" si="626"/>
        <v>46107</v>
      </c>
      <c r="E2218" s="22"/>
      <c r="F2218" s="22"/>
      <c r="G2218" s="15">
        <f t="shared" si="629"/>
        <v>0</v>
      </c>
      <c r="H2218" s="16" t="s">
        <v>358</v>
      </c>
      <c r="I2218" s="10">
        <f t="shared" si="630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8"/>
        <v>496.77419354838707</v>
      </c>
    </row>
    <row r="2219" spans="2:19" outlineLevel="1">
      <c r="B2219" s="13" t="s">
        <v>150</v>
      </c>
      <c r="C2219" s="7" t="str">
        <f t="shared" si="627"/>
        <v>ROLO HD 14 SOLUÇÃO CHASSIS WGH0H201CHAA06397</v>
      </c>
      <c r="D2219" s="8">
        <f t="shared" si="626"/>
        <v>46108</v>
      </c>
      <c r="E2219" s="22"/>
      <c r="F2219" s="22"/>
      <c r="G2219" s="15">
        <f t="shared" si="629"/>
        <v>0</v>
      </c>
      <c r="H2219" s="16" t="s">
        <v>358</v>
      </c>
      <c r="I2219" s="10">
        <f t="shared" si="630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8"/>
        <v>496.77419354838707</v>
      </c>
    </row>
    <row r="2220" spans="2:19" outlineLevel="1">
      <c r="B2220" s="13" t="s">
        <v>150</v>
      </c>
      <c r="C2220" s="7" t="str">
        <f t="shared" si="627"/>
        <v>ROLO HD 14 SOLUÇÃO CHASSIS WGH0H201CHAA06397</v>
      </c>
      <c r="D2220" s="8">
        <f t="shared" si="626"/>
        <v>46109</v>
      </c>
      <c r="E2220" s="22"/>
      <c r="F2220" s="22"/>
      <c r="G2220" s="15">
        <f t="shared" si="629"/>
        <v>0</v>
      </c>
      <c r="H2220" s="16" t="s">
        <v>358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1">SUM(R2220+Q2220+I2220)</f>
        <v>496.77419354838707</v>
      </c>
    </row>
    <row r="2221" spans="2:19" outlineLevel="1">
      <c r="B2221" s="13" t="s">
        <v>150</v>
      </c>
      <c r="C2221" s="7" t="str">
        <f t="shared" si="627"/>
        <v>ROLO HD 14 SOLUÇÃO CHASSIS WGH0H201CHAA06397</v>
      </c>
      <c r="D2221" s="8">
        <f t="shared" si="626"/>
        <v>46110</v>
      </c>
      <c r="E2221" s="22"/>
      <c r="F2221" s="22"/>
      <c r="G2221" s="15">
        <f t="shared" si="629"/>
        <v>0</v>
      </c>
      <c r="H2221" s="16" t="s">
        <v>358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1"/>
        <v>496.77419354838707</v>
      </c>
    </row>
    <row r="2222" spans="2:19" outlineLevel="1">
      <c r="B2222" s="13" t="s">
        <v>150</v>
      </c>
      <c r="C2222" s="7" t="str">
        <f t="shared" si="627"/>
        <v>ROLO HD 14 SOLUÇÃO CHASSIS WGH0H201CHAA06397</v>
      </c>
      <c r="D2222" s="8">
        <f t="shared" si="626"/>
        <v>46111</v>
      </c>
      <c r="E2222" s="22"/>
      <c r="F2222" s="22"/>
      <c r="G2222" s="15">
        <f t="shared" si="629"/>
        <v>0</v>
      </c>
      <c r="H2222" s="16" t="s">
        <v>358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1"/>
        <v>496.77419354838707</v>
      </c>
    </row>
    <row r="2223" spans="2:19" outlineLevel="1">
      <c r="B2223" s="13" t="s">
        <v>150</v>
      </c>
      <c r="C2223" s="7" t="str">
        <f t="shared" si="627"/>
        <v>ROLO HD 14 SOLUÇÃO CHASSIS WGH0H201CHAA06397</v>
      </c>
      <c r="D2223" s="8">
        <f t="shared" si="626"/>
        <v>46112</v>
      </c>
      <c r="E2223" s="22"/>
      <c r="F2223" s="22"/>
      <c r="G2223" s="15">
        <f t="shared" si="629"/>
        <v>0</v>
      </c>
      <c r="H2223" s="16" t="s">
        <v>358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8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256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2">D2159</f>
        <v>46082</v>
      </c>
      <c r="E2227" s="112"/>
      <c r="F2227" s="113"/>
      <c r="G2227" s="15">
        <f>E2227-F2227</f>
        <v>0</v>
      </c>
      <c r="H2227" s="16" t="s">
        <v>347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3">SUM(R2227+Q2227+I2227)</f>
        <v>645.16129032258061</v>
      </c>
    </row>
    <row r="2228" spans="2:19" outlineLevel="1">
      <c r="B2228" s="13" t="s">
        <v>152</v>
      </c>
      <c r="C2228" s="7" t="str">
        <f t="shared" ref="C2228:C2257" si="634">C$2225</f>
        <v>ESPARGIDOR VW 13180 PLACA NSV1G70 CHASSIS R035981</v>
      </c>
      <c r="D2228" s="8">
        <f t="shared" si="632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347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3"/>
        <v>645.16129032258061</v>
      </c>
    </row>
    <row r="2229" spans="2:19" outlineLevel="1">
      <c r="B2229" s="13" t="s">
        <v>152</v>
      </c>
      <c r="C2229" s="7" t="str">
        <f t="shared" si="634"/>
        <v>ESPARGIDOR VW 13180 PLACA NSV1G70 CHASSIS R035981</v>
      </c>
      <c r="D2229" s="8">
        <f t="shared" si="632"/>
        <v>46084</v>
      </c>
      <c r="E2229" s="113">
        <v>170735</v>
      </c>
      <c r="F2229" s="113">
        <v>170758</v>
      </c>
      <c r="G2229" s="15">
        <f t="shared" ref="G2229:G2257" si="635">E2229-F2229</f>
        <v>-23</v>
      </c>
      <c r="H2229" s="16" t="s">
        <v>347</v>
      </c>
      <c r="I2229" s="10">
        <f t="shared" ref="I2229:I2253" si="636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3"/>
        <v>645.16129032258061</v>
      </c>
    </row>
    <row r="2230" spans="2:19" outlineLevel="1">
      <c r="B2230" s="13" t="s">
        <v>152</v>
      </c>
      <c r="C2230" s="7" t="str">
        <f t="shared" si="634"/>
        <v>ESPARGIDOR VW 13180 PLACA NSV1G70 CHASSIS R035981</v>
      </c>
      <c r="D2230" s="8">
        <f t="shared" si="632"/>
        <v>46085</v>
      </c>
      <c r="E2230" s="113"/>
      <c r="F2230" s="113"/>
      <c r="G2230" s="15">
        <f t="shared" si="635"/>
        <v>0</v>
      </c>
      <c r="H2230" s="16" t="s">
        <v>347</v>
      </c>
      <c r="I2230" s="10">
        <f t="shared" si="636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3"/>
        <v>645.16129032258061</v>
      </c>
    </row>
    <row r="2231" spans="2:19" outlineLevel="1">
      <c r="B2231" s="13" t="s">
        <v>152</v>
      </c>
      <c r="C2231" s="7" t="str">
        <f t="shared" si="634"/>
        <v>ESPARGIDOR VW 13180 PLACA NSV1G70 CHASSIS R035981</v>
      </c>
      <c r="D2231" s="8">
        <f t="shared" si="632"/>
        <v>46086</v>
      </c>
      <c r="E2231" s="113"/>
      <c r="F2231" s="113"/>
      <c r="G2231" s="15">
        <f t="shared" si="635"/>
        <v>0</v>
      </c>
      <c r="H2231" s="16" t="s">
        <v>347</v>
      </c>
      <c r="I2231" s="10">
        <f t="shared" si="636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3"/>
        <v>645.16129032258061</v>
      </c>
    </row>
    <row r="2232" spans="2:19" outlineLevel="1">
      <c r="B2232" s="13" t="s">
        <v>152</v>
      </c>
      <c r="C2232" s="7" t="str">
        <f t="shared" si="634"/>
        <v>ESPARGIDOR VW 13180 PLACA NSV1G70 CHASSIS R035981</v>
      </c>
      <c r="D2232" s="8">
        <f t="shared" si="632"/>
        <v>46087</v>
      </c>
      <c r="E2232" s="21"/>
      <c r="F2232" s="21"/>
      <c r="G2232" s="15">
        <f t="shared" si="635"/>
        <v>0</v>
      </c>
      <c r="H2232" s="16" t="s">
        <v>347</v>
      </c>
      <c r="I2232" s="10">
        <f t="shared" si="636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3"/>
        <v>645.16129032258061</v>
      </c>
    </row>
    <row r="2233" spans="2:19" outlineLevel="1">
      <c r="B2233" s="13" t="s">
        <v>152</v>
      </c>
      <c r="C2233" s="7" t="str">
        <f t="shared" si="634"/>
        <v>ESPARGIDOR VW 13180 PLACA NSV1G70 CHASSIS R035981</v>
      </c>
      <c r="D2233" s="8">
        <f t="shared" si="632"/>
        <v>46088</v>
      </c>
      <c r="E2233" s="21"/>
      <c r="F2233" s="21"/>
      <c r="G2233" s="15">
        <f t="shared" si="635"/>
        <v>0</v>
      </c>
      <c r="H2233" s="16" t="s">
        <v>347</v>
      </c>
      <c r="I2233" s="10">
        <f t="shared" si="636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3"/>
        <v>645.16129032258061</v>
      </c>
    </row>
    <row r="2234" spans="2:19" outlineLevel="1">
      <c r="B2234" s="13" t="s">
        <v>152</v>
      </c>
      <c r="C2234" s="7" t="str">
        <f t="shared" si="634"/>
        <v>ESPARGIDOR VW 13180 PLACA NSV1G70 CHASSIS R035981</v>
      </c>
      <c r="D2234" s="8">
        <f t="shared" si="632"/>
        <v>46089</v>
      </c>
      <c r="E2234" s="21"/>
      <c r="F2234" s="21"/>
      <c r="G2234" s="15">
        <f t="shared" si="635"/>
        <v>0</v>
      </c>
      <c r="H2234" s="16" t="s">
        <v>347</v>
      </c>
      <c r="I2234" s="10">
        <f t="shared" si="636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7">O2233</f>
        <v>0</v>
      </c>
      <c r="P2234" s="9"/>
      <c r="Q2234" s="9"/>
      <c r="R2234" s="9"/>
      <c r="S2234" s="10">
        <f t="shared" ref="S2234:S2257" si="638">SUM(R2234+Q2234+I2234)</f>
        <v>645.16129032258061</v>
      </c>
    </row>
    <row r="2235" spans="2:19" outlineLevel="1">
      <c r="B2235" s="13" t="s">
        <v>152</v>
      </c>
      <c r="C2235" s="7" t="str">
        <f t="shared" si="634"/>
        <v>ESPARGIDOR VW 13180 PLACA NSV1G70 CHASSIS R035981</v>
      </c>
      <c r="D2235" s="8">
        <f t="shared" si="632"/>
        <v>46090</v>
      </c>
      <c r="E2235" s="21"/>
      <c r="F2235" s="21"/>
      <c r="G2235" s="15">
        <f t="shared" si="635"/>
        <v>0</v>
      </c>
      <c r="H2235" s="16" t="s">
        <v>347</v>
      </c>
      <c r="I2235" s="10">
        <f t="shared" si="636"/>
        <v>645.16129032258061</v>
      </c>
      <c r="J2235" s="16" t="s">
        <v>16</v>
      </c>
      <c r="K2235" s="15"/>
      <c r="L2235" s="15"/>
      <c r="M2235" s="17"/>
      <c r="N2235" s="9"/>
      <c r="O2235" s="18">
        <f t="shared" si="637"/>
        <v>0</v>
      </c>
      <c r="P2235" s="9"/>
      <c r="Q2235" s="9"/>
      <c r="R2235" s="9"/>
      <c r="S2235" s="10">
        <f t="shared" si="638"/>
        <v>645.16129032258061</v>
      </c>
    </row>
    <row r="2236" spans="2:19" outlineLevel="1">
      <c r="B2236" s="13" t="s">
        <v>152</v>
      </c>
      <c r="C2236" s="7" t="str">
        <f t="shared" si="634"/>
        <v>ESPARGIDOR VW 13180 PLACA NSV1G70 CHASSIS R035981</v>
      </c>
      <c r="D2236" s="8">
        <f t="shared" si="632"/>
        <v>46091</v>
      </c>
      <c r="E2236" s="21"/>
      <c r="F2236" s="21"/>
      <c r="G2236" s="15">
        <f t="shared" si="635"/>
        <v>0</v>
      </c>
      <c r="H2236" s="16" t="s">
        <v>347</v>
      </c>
      <c r="I2236" s="10">
        <f t="shared" si="636"/>
        <v>645.16129032258061</v>
      </c>
      <c r="J2236" s="16" t="s">
        <v>16</v>
      </c>
      <c r="K2236" s="15"/>
      <c r="L2236" s="15"/>
      <c r="M2236" s="17"/>
      <c r="N2236" s="9"/>
      <c r="O2236" s="18">
        <f t="shared" si="637"/>
        <v>0</v>
      </c>
      <c r="P2236" s="9"/>
      <c r="Q2236" s="9"/>
      <c r="R2236" s="9"/>
      <c r="S2236" s="10">
        <f t="shared" si="638"/>
        <v>645.16129032258061</v>
      </c>
    </row>
    <row r="2237" spans="2:19" outlineLevel="1">
      <c r="B2237" s="13" t="s">
        <v>152</v>
      </c>
      <c r="C2237" s="7" t="str">
        <f t="shared" si="634"/>
        <v>ESPARGIDOR VW 13180 PLACA NSV1G70 CHASSIS R035981</v>
      </c>
      <c r="D2237" s="8">
        <f t="shared" si="632"/>
        <v>46092</v>
      </c>
      <c r="E2237" s="21"/>
      <c r="F2237" s="21"/>
      <c r="G2237" s="15">
        <f t="shared" si="635"/>
        <v>0</v>
      </c>
      <c r="H2237" s="16" t="s">
        <v>347</v>
      </c>
      <c r="I2237" s="10">
        <f t="shared" si="636"/>
        <v>645.16129032258061</v>
      </c>
      <c r="J2237" s="16" t="s">
        <v>16</v>
      </c>
      <c r="K2237" s="15"/>
      <c r="L2237" s="15"/>
      <c r="M2237" s="17"/>
      <c r="N2237" s="9"/>
      <c r="O2237" s="18">
        <f t="shared" si="637"/>
        <v>0</v>
      </c>
      <c r="P2237" s="9"/>
      <c r="Q2237" s="9"/>
      <c r="R2237" s="9"/>
      <c r="S2237" s="10">
        <f t="shared" si="638"/>
        <v>645.16129032258061</v>
      </c>
    </row>
    <row r="2238" spans="2:19" outlineLevel="1">
      <c r="B2238" s="13" t="s">
        <v>152</v>
      </c>
      <c r="C2238" s="7" t="str">
        <f t="shared" si="634"/>
        <v>ESPARGIDOR VW 13180 PLACA NSV1G70 CHASSIS R035981</v>
      </c>
      <c r="D2238" s="8">
        <f t="shared" si="632"/>
        <v>46093</v>
      </c>
      <c r="E2238" s="21"/>
      <c r="F2238" s="21"/>
      <c r="G2238" s="15">
        <f t="shared" si="635"/>
        <v>0</v>
      </c>
      <c r="H2238" s="16" t="s">
        <v>347</v>
      </c>
      <c r="I2238" s="10">
        <f t="shared" si="636"/>
        <v>645.16129032258061</v>
      </c>
      <c r="J2238" s="16" t="s">
        <v>16</v>
      </c>
      <c r="K2238" s="15"/>
      <c r="L2238" s="15"/>
      <c r="M2238" s="17"/>
      <c r="N2238" s="9"/>
      <c r="O2238" s="18">
        <f t="shared" si="637"/>
        <v>0</v>
      </c>
      <c r="P2238" s="9"/>
      <c r="Q2238" s="9"/>
      <c r="R2238" s="9"/>
      <c r="S2238" s="10">
        <f t="shared" si="638"/>
        <v>645.16129032258061</v>
      </c>
    </row>
    <row r="2239" spans="2:19" outlineLevel="1">
      <c r="B2239" s="13" t="s">
        <v>152</v>
      </c>
      <c r="C2239" s="7" t="str">
        <f t="shared" si="634"/>
        <v>ESPARGIDOR VW 13180 PLACA NSV1G70 CHASSIS R035981</v>
      </c>
      <c r="D2239" s="8">
        <f t="shared" si="632"/>
        <v>46094</v>
      </c>
      <c r="E2239" s="21"/>
      <c r="F2239" s="21"/>
      <c r="G2239" s="15">
        <f t="shared" si="635"/>
        <v>0</v>
      </c>
      <c r="H2239" s="16" t="s">
        <v>347</v>
      </c>
      <c r="I2239" s="10">
        <f t="shared" si="636"/>
        <v>645.16129032258061</v>
      </c>
      <c r="J2239" s="16" t="s">
        <v>16</v>
      </c>
      <c r="K2239" s="15"/>
      <c r="L2239" s="15"/>
      <c r="M2239" s="17"/>
      <c r="N2239" s="9"/>
      <c r="O2239" s="18">
        <f t="shared" si="637"/>
        <v>0</v>
      </c>
      <c r="P2239" s="9"/>
      <c r="Q2239" s="9"/>
      <c r="R2239" s="9"/>
      <c r="S2239" s="10">
        <f t="shared" si="638"/>
        <v>645.16129032258061</v>
      </c>
    </row>
    <row r="2240" spans="2:19" outlineLevel="1">
      <c r="B2240" s="13" t="s">
        <v>152</v>
      </c>
      <c r="C2240" s="7" t="str">
        <f t="shared" si="634"/>
        <v>ESPARGIDOR VW 13180 PLACA NSV1G70 CHASSIS R035981</v>
      </c>
      <c r="D2240" s="8">
        <f t="shared" si="632"/>
        <v>46095</v>
      </c>
      <c r="E2240" s="21"/>
      <c r="F2240" s="21"/>
      <c r="G2240" s="15">
        <f t="shared" si="635"/>
        <v>0</v>
      </c>
      <c r="H2240" s="16" t="s">
        <v>347</v>
      </c>
      <c r="I2240" s="10">
        <f t="shared" si="636"/>
        <v>645.16129032258061</v>
      </c>
      <c r="J2240" s="16" t="s">
        <v>16</v>
      </c>
      <c r="K2240" s="15"/>
      <c r="L2240" s="15"/>
      <c r="M2240" s="17"/>
      <c r="N2240" s="9"/>
      <c r="O2240" s="18">
        <f t="shared" si="637"/>
        <v>0</v>
      </c>
      <c r="P2240" s="9"/>
      <c r="Q2240" s="9"/>
      <c r="R2240" s="9"/>
      <c r="S2240" s="10">
        <f t="shared" si="638"/>
        <v>645.16129032258061</v>
      </c>
    </row>
    <row r="2241" spans="2:19" outlineLevel="1">
      <c r="B2241" s="13" t="s">
        <v>152</v>
      </c>
      <c r="C2241" s="7" t="str">
        <f t="shared" si="634"/>
        <v>ESPARGIDOR VW 13180 PLACA NSV1G70 CHASSIS R035981</v>
      </c>
      <c r="D2241" s="8">
        <f t="shared" si="632"/>
        <v>46096</v>
      </c>
      <c r="E2241" s="21"/>
      <c r="F2241" s="21"/>
      <c r="G2241" s="15">
        <f t="shared" si="635"/>
        <v>0</v>
      </c>
      <c r="H2241" s="16" t="s">
        <v>347</v>
      </c>
      <c r="I2241" s="10">
        <f t="shared" si="636"/>
        <v>645.16129032258061</v>
      </c>
      <c r="J2241" s="16" t="s">
        <v>16</v>
      </c>
      <c r="K2241" s="15"/>
      <c r="L2241" s="15"/>
      <c r="M2241" s="17"/>
      <c r="N2241" s="9"/>
      <c r="O2241" s="18">
        <f t="shared" si="637"/>
        <v>0</v>
      </c>
      <c r="P2241" s="9"/>
      <c r="Q2241" s="9"/>
      <c r="R2241" s="9"/>
      <c r="S2241" s="10">
        <f t="shared" si="638"/>
        <v>645.16129032258061</v>
      </c>
    </row>
    <row r="2242" spans="2:19" outlineLevel="1">
      <c r="B2242" s="13" t="s">
        <v>152</v>
      </c>
      <c r="C2242" s="7" t="str">
        <f t="shared" si="634"/>
        <v>ESPARGIDOR VW 13180 PLACA NSV1G70 CHASSIS R035981</v>
      </c>
      <c r="D2242" s="8">
        <f t="shared" si="632"/>
        <v>46097</v>
      </c>
      <c r="E2242" s="21"/>
      <c r="F2242" s="21"/>
      <c r="G2242" s="15">
        <f t="shared" si="635"/>
        <v>0</v>
      </c>
      <c r="H2242" s="16" t="s">
        <v>347</v>
      </c>
      <c r="I2242" s="10">
        <f t="shared" si="636"/>
        <v>645.16129032258061</v>
      </c>
      <c r="J2242" s="16" t="s">
        <v>16</v>
      </c>
      <c r="K2242" s="15"/>
      <c r="L2242" s="15"/>
      <c r="M2242" s="17"/>
      <c r="N2242" s="9"/>
      <c r="O2242" s="18">
        <f t="shared" si="637"/>
        <v>0</v>
      </c>
      <c r="P2242" s="9"/>
      <c r="Q2242" s="9"/>
      <c r="R2242" s="9"/>
      <c r="S2242" s="10">
        <f t="shared" si="638"/>
        <v>645.16129032258061</v>
      </c>
    </row>
    <row r="2243" spans="2:19" outlineLevel="1">
      <c r="B2243" s="13" t="s">
        <v>152</v>
      </c>
      <c r="C2243" s="7" t="str">
        <f t="shared" si="634"/>
        <v>ESPARGIDOR VW 13180 PLACA NSV1G70 CHASSIS R035981</v>
      </c>
      <c r="D2243" s="8">
        <f t="shared" si="632"/>
        <v>46098</v>
      </c>
      <c r="E2243" s="21"/>
      <c r="F2243" s="21"/>
      <c r="G2243" s="15">
        <f t="shared" si="635"/>
        <v>0</v>
      </c>
      <c r="H2243" s="16" t="s">
        <v>347</v>
      </c>
      <c r="I2243" s="10">
        <f t="shared" si="636"/>
        <v>645.16129032258061</v>
      </c>
      <c r="J2243" s="16" t="s">
        <v>16</v>
      </c>
      <c r="K2243" s="15"/>
      <c r="L2243" s="15"/>
      <c r="M2243" s="17"/>
      <c r="N2243" s="9"/>
      <c r="O2243" s="18">
        <f t="shared" si="637"/>
        <v>0</v>
      </c>
      <c r="P2243" s="9"/>
      <c r="Q2243" s="9"/>
      <c r="R2243" s="9"/>
      <c r="S2243" s="10">
        <f t="shared" si="638"/>
        <v>645.16129032258061</v>
      </c>
    </row>
    <row r="2244" spans="2:19" outlineLevel="1">
      <c r="B2244" s="13" t="s">
        <v>152</v>
      </c>
      <c r="C2244" s="7" t="str">
        <f t="shared" si="634"/>
        <v>ESPARGIDOR VW 13180 PLACA NSV1G70 CHASSIS R035981</v>
      </c>
      <c r="D2244" s="8">
        <f t="shared" si="632"/>
        <v>46099</v>
      </c>
      <c r="E2244" s="21"/>
      <c r="F2244" s="21"/>
      <c r="G2244" s="15">
        <f t="shared" si="635"/>
        <v>0</v>
      </c>
      <c r="H2244" s="16" t="s">
        <v>347</v>
      </c>
      <c r="I2244" s="10">
        <f t="shared" si="636"/>
        <v>645.16129032258061</v>
      </c>
      <c r="J2244" s="16" t="s">
        <v>16</v>
      </c>
      <c r="K2244" s="15"/>
      <c r="L2244" s="15"/>
      <c r="M2244" s="17"/>
      <c r="N2244" s="9"/>
      <c r="O2244" s="18">
        <f t="shared" si="637"/>
        <v>0</v>
      </c>
      <c r="P2244" s="9"/>
      <c r="Q2244" s="9"/>
      <c r="R2244" s="9"/>
      <c r="S2244" s="10">
        <f t="shared" si="638"/>
        <v>645.16129032258061</v>
      </c>
    </row>
    <row r="2245" spans="2:19" outlineLevel="1">
      <c r="B2245" s="13" t="s">
        <v>152</v>
      </c>
      <c r="C2245" s="7" t="str">
        <f t="shared" si="634"/>
        <v>ESPARGIDOR VW 13180 PLACA NSV1G70 CHASSIS R035981</v>
      </c>
      <c r="D2245" s="8">
        <f t="shared" si="632"/>
        <v>46100</v>
      </c>
      <c r="E2245" s="21"/>
      <c r="F2245" s="21"/>
      <c r="G2245" s="15">
        <f t="shared" si="635"/>
        <v>0</v>
      </c>
      <c r="H2245" s="16" t="s">
        <v>347</v>
      </c>
      <c r="I2245" s="10">
        <f t="shared" si="636"/>
        <v>645.16129032258061</v>
      </c>
      <c r="J2245" s="16" t="s">
        <v>16</v>
      </c>
      <c r="K2245" s="15"/>
      <c r="L2245" s="15"/>
      <c r="M2245" s="17"/>
      <c r="N2245" s="9"/>
      <c r="O2245" s="18">
        <f t="shared" si="637"/>
        <v>0</v>
      </c>
      <c r="P2245" s="9"/>
      <c r="Q2245" s="9"/>
      <c r="R2245" s="9"/>
      <c r="S2245" s="10">
        <f t="shared" si="638"/>
        <v>645.16129032258061</v>
      </c>
    </row>
    <row r="2246" spans="2:19" outlineLevel="1">
      <c r="B2246" s="13" t="s">
        <v>152</v>
      </c>
      <c r="C2246" s="7" t="str">
        <f t="shared" si="634"/>
        <v>ESPARGIDOR VW 13180 PLACA NSV1G70 CHASSIS R035981</v>
      </c>
      <c r="D2246" s="8">
        <f t="shared" si="632"/>
        <v>46101</v>
      </c>
      <c r="E2246" s="21"/>
      <c r="F2246" s="21"/>
      <c r="G2246" s="15">
        <f t="shared" si="635"/>
        <v>0</v>
      </c>
      <c r="H2246" s="16" t="s">
        <v>347</v>
      </c>
      <c r="I2246" s="10">
        <f t="shared" si="636"/>
        <v>645.16129032258061</v>
      </c>
      <c r="J2246" s="16" t="s">
        <v>16</v>
      </c>
      <c r="K2246" s="15"/>
      <c r="L2246" s="15"/>
      <c r="M2246" s="17"/>
      <c r="N2246" s="9"/>
      <c r="O2246" s="18">
        <f t="shared" si="637"/>
        <v>0</v>
      </c>
      <c r="P2246" s="9"/>
      <c r="Q2246" s="9"/>
      <c r="R2246" s="9"/>
      <c r="S2246" s="10">
        <f t="shared" si="638"/>
        <v>645.16129032258061</v>
      </c>
    </row>
    <row r="2247" spans="2:19" outlineLevel="1">
      <c r="B2247" s="13" t="s">
        <v>152</v>
      </c>
      <c r="C2247" s="7" t="str">
        <f t="shared" si="634"/>
        <v>ESPARGIDOR VW 13180 PLACA NSV1G70 CHASSIS R035981</v>
      </c>
      <c r="D2247" s="8">
        <f t="shared" si="632"/>
        <v>46102</v>
      </c>
      <c r="E2247" s="73"/>
      <c r="F2247" s="15"/>
      <c r="G2247" s="15">
        <f t="shared" si="635"/>
        <v>0</v>
      </c>
      <c r="H2247" s="16" t="s">
        <v>347</v>
      </c>
      <c r="I2247" s="10">
        <f t="shared" si="636"/>
        <v>645.16129032258061</v>
      </c>
      <c r="J2247" s="16"/>
      <c r="K2247" s="15"/>
      <c r="L2247" s="15"/>
      <c r="M2247" s="17"/>
      <c r="N2247" s="9"/>
      <c r="O2247" s="18">
        <f t="shared" si="637"/>
        <v>0</v>
      </c>
      <c r="P2247" s="9"/>
      <c r="Q2247" s="9"/>
      <c r="R2247" s="9"/>
      <c r="S2247" s="10">
        <f t="shared" si="638"/>
        <v>645.16129032258061</v>
      </c>
    </row>
    <row r="2248" spans="2:19" outlineLevel="1">
      <c r="B2248" s="13" t="s">
        <v>152</v>
      </c>
      <c r="C2248" s="7" t="str">
        <f t="shared" si="634"/>
        <v>ESPARGIDOR VW 13180 PLACA NSV1G70 CHASSIS R035981</v>
      </c>
      <c r="D2248" s="8">
        <f t="shared" si="632"/>
        <v>46103</v>
      </c>
      <c r="E2248" s="73"/>
      <c r="F2248" s="15"/>
      <c r="G2248" s="15">
        <f t="shared" si="635"/>
        <v>0</v>
      </c>
      <c r="H2248" s="16" t="s">
        <v>347</v>
      </c>
      <c r="I2248" s="10">
        <f t="shared" si="636"/>
        <v>645.16129032258061</v>
      </c>
      <c r="J2248" s="16" t="s">
        <v>16</v>
      </c>
      <c r="K2248" s="15"/>
      <c r="L2248" s="15"/>
      <c r="M2248" s="17"/>
      <c r="N2248" s="9"/>
      <c r="O2248" s="18">
        <f t="shared" si="637"/>
        <v>0</v>
      </c>
      <c r="P2248" s="9"/>
      <c r="Q2248" s="9"/>
      <c r="R2248" s="9"/>
      <c r="S2248" s="10">
        <f t="shared" si="638"/>
        <v>645.16129032258061</v>
      </c>
    </row>
    <row r="2249" spans="2:19" outlineLevel="1">
      <c r="B2249" s="13" t="s">
        <v>152</v>
      </c>
      <c r="C2249" s="7" t="str">
        <f t="shared" si="634"/>
        <v>ESPARGIDOR VW 13180 PLACA NSV1G70 CHASSIS R035981</v>
      </c>
      <c r="D2249" s="8">
        <f t="shared" si="632"/>
        <v>46104</v>
      </c>
      <c r="E2249" s="73"/>
      <c r="F2249" s="15"/>
      <c r="G2249" s="15">
        <f t="shared" si="635"/>
        <v>0</v>
      </c>
      <c r="H2249" s="16" t="s">
        <v>347</v>
      </c>
      <c r="I2249" s="10">
        <f t="shared" si="636"/>
        <v>645.16129032258061</v>
      </c>
      <c r="J2249" s="16" t="s">
        <v>16</v>
      </c>
      <c r="K2249" s="15"/>
      <c r="L2249" s="15"/>
      <c r="M2249" s="17"/>
      <c r="N2249" s="9"/>
      <c r="O2249" s="18">
        <f t="shared" si="637"/>
        <v>0</v>
      </c>
      <c r="P2249" s="9"/>
      <c r="Q2249" s="9"/>
      <c r="R2249" s="9"/>
      <c r="S2249" s="10">
        <f t="shared" si="638"/>
        <v>645.16129032258061</v>
      </c>
    </row>
    <row r="2250" spans="2:19" outlineLevel="1">
      <c r="B2250" s="13" t="s">
        <v>152</v>
      </c>
      <c r="C2250" s="7" t="str">
        <f t="shared" si="634"/>
        <v>ESPARGIDOR VW 13180 PLACA NSV1G70 CHASSIS R035981</v>
      </c>
      <c r="D2250" s="8">
        <f t="shared" si="632"/>
        <v>46105</v>
      </c>
      <c r="E2250" s="73"/>
      <c r="F2250" s="15"/>
      <c r="G2250" s="15">
        <f t="shared" si="635"/>
        <v>0</v>
      </c>
      <c r="H2250" s="16" t="s">
        <v>347</v>
      </c>
      <c r="I2250" s="10">
        <f t="shared" si="636"/>
        <v>645.16129032258061</v>
      </c>
      <c r="J2250" s="16" t="s">
        <v>16</v>
      </c>
      <c r="K2250" s="15"/>
      <c r="L2250" s="15"/>
      <c r="M2250" s="17"/>
      <c r="N2250" s="9"/>
      <c r="O2250" s="18">
        <f t="shared" si="637"/>
        <v>0</v>
      </c>
      <c r="P2250" s="9"/>
      <c r="Q2250" s="9"/>
      <c r="R2250" s="9"/>
      <c r="S2250" s="10">
        <f t="shared" si="638"/>
        <v>645.16129032258061</v>
      </c>
    </row>
    <row r="2251" spans="2:19" outlineLevel="1">
      <c r="B2251" s="13" t="s">
        <v>152</v>
      </c>
      <c r="C2251" s="7" t="str">
        <f t="shared" si="634"/>
        <v>ESPARGIDOR VW 13180 PLACA NSV1G70 CHASSIS R035981</v>
      </c>
      <c r="D2251" s="8">
        <f t="shared" si="632"/>
        <v>46106</v>
      </c>
      <c r="E2251" s="73"/>
      <c r="F2251" s="15"/>
      <c r="G2251" s="15">
        <f t="shared" si="635"/>
        <v>0</v>
      </c>
      <c r="H2251" s="16" t="s">
        <v>347</v>
      </c>
      <c r="I2251" s="10">
        <f t="shared" si="636"/>
        <v>645.16129032258061</v>
      </c>
      <c r="J2251" s="16" t="s">
        <v>16</v>
      </c>
      <c r="K2251" s="15"/>
      <c r="L2251" s="15"/>
      <c r="M2251" s="17"/>
      <c r="N2251" s="9"/>
      <c r="O2251" s="18">
        <f t="shared" si="637"/>
        <v>0</v>
      </c>
      <c r="P2251" s="9"/>
      <c r="Q2251" s="9"/>
      <c r="R2251" s="9"/>
      <c r="S2251" s="10">
        <f t="shared" si="638"/>
        <v>645.16129032258061</v>
      </c>
    </row>
    <row r="2252" spans="2:19" outlineLevel="1">
      <c r="B2252" s="13" t="s">
        <v>152</v>
      </c>
      <c r="C2252" s="7" t="str">
        <f t="shared" si="634"/>
        <v>ESPARGIDOR VW 13180 PLACA NSV1G70 CHASSIS R035981</v>
      </c>
      <c r="D2252" s="8">
        <f t="shared" si="632"/>
        <v>46107</v>
      </c>
      <c r="E2252" s="73"/>
      <c r="F2252" s="15"/>
      <c r="G2252" s="15">
        <f t="shared" si="635"/>
        <v>0</v>
      </c>
      <c r="H2252" s="16" t="s">
        <v>347</v>
      </c>
      <c r="I2252" s="10">
        <f t="shared" si="636"/>
        <v>645.16129032258061</v>
      </c>
      <c r="J2252" s="16" t="s">
        <v>16</v>
      </c>
      <c r="K2252" s="15"/>
      <c r="L2252" s="15"/>
      <c r="M2252" s="17"/>
      <c r="N2252" s="9"/>
      <c r="O2252" s="18">
        <f t="shared" si="637"/>
        <v>0</v>
      </c>
      <c r="P2252" s="9"/>
      <c r="Q2252" s="9"/>
      <c r="R2252" s="9"/>
      <c r="S2252" s="10">
        <f t="shared" si="638"/>
        <v>645.16129032258061</v>
      </c>
    </row>
    <row r="2253" spans="2:19" outlineLevel="1">
      <c r="B2253" s="13" t="s">
        <v>152</v>
      </c>
      <c r="C2253" s="7" t="str">
        <f t="shared" si="634"/>
        <v>ESPARGIDOR VW 13180 PLACA NSV1G70 CHASSIS R035981</v>
      </c>
      <c r="D2253" s="8">
        <f t="shared" si="632"/>
        <v>46108</v>
      </c>
      <c r="E2253" s="73"/>
      <c r="F2253" s="15"/>
      <c r="G2253" s="15">
        <f t="shared" si="635"/>
        <v>0</v>
      </c>
      <c r="H2253" s="16" t="s">
        <v>347</v>
      </c>
      <c r="I2253" s="10">
        <f t="shared" si="636"/>
        <v>645.16129032258061</v>
      </c>
      <c r="J2253" s="16"/>
      <c r="K2253" s="15"/>
      <c r="L2253" s="15"/>
      <c r="M2253" s="17"/>
      <c r="N2253" s="9"/>
      <c r="O2253" s="18">
        <f t="shared" si="637"/>
        <v>0</v>
      </c>
      <c r="P2253" s="9"/>
      <c r="Q2253" s="9"/>
      <c r="R2253" s="9"/>
      <c r="S2253" s="10">
        <f t="shared" si="638"/>
        <v>645.16129032258061</v>
      </c>
    </row>
    <row r="2254" spans="2:19" outlineLevel="1">
      <c r="B2254" s="13" t="s">
        <v>152</v>
      </c>
      <c r="C2254" s="7" t="str">
        <f t="shared" si="634"/>
        <v>ESPARGIDOR VW 13180 PLACA NSV1G70 CHASSIS R035981</v>
      </c>
      <c r="D2254" s="8">
        <f t="shared" ref="D2254:D2257" si="639">D2186</f>
        <v>46109</v>
      </c>
      <c r="E2254" s="73"/>
      <c r="F2254" s="15"/>
      <c r="G2254" s="15">
        <f t="shared" si="635"/>
        <v>0</v>
      </c>
      <c r="H2254" s="16" t="s">
        <v>347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40">SUM(R2254+Q2254+I2254)</f>
        <v>645.16129032258061</v>
      </c>
    </row>
    <row r="2255" spans="2:19" outlineLevel="1">
      <c r="B2255" s="13" t="s">
        <v>152</v>
      </c>
      <c r="C2255" s="7" t="str">
        <f t="shared" si="634"/>
        <v>ESPARGIDOR VW 13180 PLACA NSV1G70 CHASSIS R035981</v>
      </c>
      <c r="D2255" s="8">
        <f t="shared" si="639"/>
        <v>46110</v>
      </c>
      <c r="E2255" s="73"/>
      <c r="F2255" s="15"/>
      <c r="G2255" s="15">
        <f t="shared" si="635"/>
        <v>0</v>
      </c>
      <c r="H2255" s="16" t="s">
        <v>347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40"/>
        <v>645.16129032258061</v>
      </c>
    </row>
    <row r="2256" spans="2:19" outlineLevel="1">
      <c r="B2256" s="13" t="s">
        <v>152</v>
      </c>
      <c r="C2256" s="7" t="str">
        <f t="shared" si="634"/>
        <v>ESPARGIDOR VW 13180 PLACA NSV1G70 CHASSIS R035981</v>
      </c>
      <c r="D2256" s="8">
        <f t="shared" si="639"/>
        <v>46111</v>
      </c>
      <c r="E2256" s="73"/>
      <c r="F2256" s="15"/>
      <c r="G2256" s="15">
        <f t="shared" si="635"/>
        <v>0</v>
      </c>
      <c r="H2256" s="16" t="s">
        <v>347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40"/>
        <v>645.16129032258061</v>
      </c>
    </row>
    <row r="2257" spans="2:19" outlineLevel="1">
      <c r="B2257" s="13" t="s">
        <v>152</v>
      </c>
      <c r="C2257" s="7" t="str">
        <f t="shared" si="634"/>
        <v>ESPARGIDOR VW 13180 PLACA NSV1G70 CHASSIS R035981</v>
      </c>
      <c r="D2257" s="8">
        <f t="shared" si="639"/>
        <v>46112</v>
      </c>
      <c r="E2257" s="73"/>
      <c r="F2257" s="15"/>
      <c r="G2257" s="15">
        <f t="shared" si="635"/>
        <v>0</v>
      </c>
      <c r="H2257" s="16" t="s">
        <v>347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8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1">D2193</f>
        <v>46082</v>
      </c>
      <c r="E2261" s="15"/>
      <c r="F2261" s="15"/>
      <c r="G2261" s="15">
        <f t="shared" ref="G2261:G2265" si="642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3">SUM(R2261+Q2261+I2261)</f>
        <v>903.22580645161293</v>
      </c>
    </row>
    <row r="2262" spans="2:19" outlineLevel="1">
      <c r="B2262" s="13" t="s">
        <v>154</v>
      </c>
      <c r="C2262" s="7" t="str">
        <f t="shared" ref="C2262:C2291" si="644">C$2259</f>
        <v>MOTO NIVELADORA JOHN DEERE CHASSIS DM00042</v>
      </c>
      <c r="D2262" s="8">
        <f t="shared" si="641"/>
        <v>46083</v>
      </c>
      <c r="E2262" s="15">
        <v>2755</v>
      </c>
      <c r="F2262" s="15">
        <v>2759</v>
      </c>
      <c r="G2262" s="15">
        <f t="shared" si="642"/>
        <v>4</v>
      </c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3"/>
        <v>903.22580645161293</v>
      </c>
    </row>
    <row r="2263" spans="2:19" outlineLevel="1">
      <c r="B2263" s="13" t="s">
        <v>154</v>
      </c>
      <c r="C2263" s="7" t="str">
        <f t="shared" si="644"/>
        <v>MOTO NIVELADORA JOHN DEERE CHASSIS DM00042</v>
      </c>
      <c r="D2263" s="8">
        <f t="shared" si="641"/>
        <v>46084</v>
      </c>
      <c r="E2263" s="15"/>
      <c r="F2263" s="15"/>
      <c r="G2263" s="15">
        <f t="shared" si="642"/>
        <v>0</v>
      </c>
      <c r="H2263" s="16" t="s">
        <v>203</v>
      </c>
      <c r="I2263" s="10">
        <f t="shared" ref="I2263:I2287" si="645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3"/>
        <v>903.22580645161293</v>
      </c>
    </row>
    <row r="2264" spans="2:19" outlineLevel="1">
      <c r="B2264" s="13" t="s">
        <v>154</v>
      </c>
      <c r="C2264" s="7" t="str">
        <f t="shared" si="644"/>
        <v>MOTO NIVELADORA JOHN DEERE CHASSIS DM00042</v>
      </c>
      <c r="D2264" s="8">
        <f t="shared" si="641"/>
        <v>46085</v>
      </c>
      <c r="E2264" s="15"/>
      <c r="F2264" s="15"/>
      <c r="G2264" s="15">
        <f t="shared" si="642"/>
        <v>0</v>
      </c>
      <c r="H2264" s="16" t="s">
        <v>203</v>
      </c>
      <c r="I2264" s="10">
        <f t="shared" si="645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3"/>
        <v>903.22580645161293</v>
      </c>
    </row>
    <row r="2265" spans="2:19" outlineLevel="1">
      <c r="B2265" s="13" t="s">
        <v>154</v>
      </c>
      <c r="C2265" s="7" t="str">
        <f t="shared" si="644"/>
        <v>MOTO NIVELADORA JOHN DEERE CHASSIS DM00042</v>
      </c>
      <c r="D2265" s="8">
        <f t="shared" si="641"/>
        <v>46086</v>
      </c>
      <c r="E2265" s="15">
        <v>2759</v>
      </c>
      <c r="F2265" s="15">
        <v>2761</v>
      </c>
      <c r="G2265" s="15">
        <f t="shared" si="642"/>
        <v>2</v>
      </c>
      <c r="H2265" s="16" t="s">
        <v>203</v>
      </c>
      <c r="I2265" s="10">
        <f t="shared" si="645"/>
        <v>903.22580645161293</v>
      </c>
      <c r="J2265" s="16"/>
      <c r="K2265" s="15">
        <v>1</v>
      </c>
      <c r="L2265" s="15"/>
      <c r="M2265" s="17"/>
      <c r="N2265" s="9"/>
      <c r="O2265" s="9"/>
      <c r="P2265" s="9"/>
      <c r="Q2265" s="9"/>
      <c r="R2265" s="72"/>
      <c r="S2265" s="10">
        <f t="shared" si="643"/>
        <v>903.22580645161293</v>
      </c>
    </row>
    <row r="2266" spans="2:19" outlineLevel="1">
      <c r="B2266" s="13" t="s">
        <v>154</v>
      </c>
      <c r="C2266" s="7" t="str">
        <f t="shared" si="644"/>
        <v>MOTO NIVELADORA JOHN DEERE CHASSIS DM00042</v>
      </c>
      <c r="D2266" s="8">
        <f t="shared" si="641"/>
        <v>46087</v>
      </c>
      <c r="E2266" s="15">
        <v>2761</v>
      </c>
      <c r="F2266" s="15">
        <v>2754</v>
      </c>
      <c r="G2266" s="15">
        <f>F2266-E2266</f>
        <v>-7</v>
      </c>
      <c r="H2266" s="16" t="s">
        <v>203</v>
      </c>
      <c r="I2266" s="10">
        <f t="shared" si="645"/>
        <v>903.22580645161293</v>
      </c>
      <c r="J2266" s="16"/>
      <c r="K2266" s="15">
        <v>1</v>
      </c>
      <c r="L2266" s="15"/>
      <c r="M2266" s="17"/>
      <c r="N2266" s="9"/>
      <c r="O2266" s="9"/>
      <c r="P2266" s="9"/>
      <c r="Q2266" s="9"/>
      <c r="R2266" s="72"/>
      <c r="S2266" s="10">
        <f t="shared" si="643"/>
        <v>903.22580645161293</v>
      </c>
    </row>
    <row r="2267" spans="2:19" outlineLevel="1">
      <c r="B2267" s="13" t="s">
        <v>154</v>
      </c>
      <c r="C2267" s="7" t="str">
        <f t="shared" si="644"/>
        <v>MOTO NIVELADORA JOHN DEERE CHASSIS DM00042</v>
      </c>
      <c r="D2267" s="8">
        <f t="shared" si="641"/>
        <v>46088</v>
      </c>
      <c r="E2267" s="15"/>
      <c r="F2267" s="15"/>
      <c r="G2267" s="15">
        <f t="shared" ref="G2267:G2291" si="646">F2267-E2267</f>
        <v>0</v>
      </c>
      <c r="H2267" s="16" t="s">
        <v>203</v>
      </c>
      <c r="I2267" s="10">
        <f t="shared" si="645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3"/>
        <v>903.22580645161293</v>
      </c>
    </row>
    <row r="2268" spans="2:19" outlineLevel="1">
      <c r="B2268" s="13" t="s">
        <v>154</v>
      </c>
      <c r="C2268" s="7" t="str">
        <f t="shared" si="644"/>
        <v>MOTO NIVELADORA JOHN DEERE CHASSIS DM00042</v>
      </c>
      <c r="D2268" s="8">
        <f t="shared" si="641"/>
        <v>46089</v>
      </c>
      <c r="E2268" s="15"/>
      <c r="F2268" s="15"/>
      <c r="G2268" s="15">
        <f t="shared" si="646"/>
        <v>0</v>
      </c>
      <c r="H2268" s="16" t="s">
        <v>203</v>
      </c>
      <c r="I2268" s="10">
        <f t="shared" si="645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3"/>
        <v>903.22580645161293</v>
      </c>
    </row>
    <row r="2269" spans="2:19" outlineLevel="1">
      <c r="B2269" s="13" t="s">
        <v>154</v>
      </c>
      <c r="C2269" s="7" t="str">
        <f t="shared" si="644"/>
        <v>MOTO NIVELADORA JOHN DEERE CHASSIS DM00042</v>
      </c>
      <c r="D2269" s="8">
        <f t="shared" si="641"/>
        <v>46090</v>
      </c>
      <c r="E2269" s="15">
        <v>2754</v>
      </c>
      <c r="F2269" s="15">
        <v>2770</v>
      </c>
      <c r="G2269" s="15">
        <f t="shared" si="646"/>
        <v>16</v>
      </c>
      <c r="H2269" s="16" t="s">
        <v>203</v>
      </c>
      <c r="I2269" s="10">
        <f t="shared" si="645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3"/>
        <v>903.22580645161293</v>
      </c>
    </row>
    <row r="2270" spans="2:19" outlineLevel="1">
      <c r="B2270" s="13" t="s">
        <v>154</v>
      </c>
      <c r="C2270" s="7" t="str">
        <f t="shared" si="644"/>
        <v>MOTO NIVELADORA JOHN DEERE CHASSIS DM00042</v>
      </c>
      <c r="D2270" s="8">
        <f t="shared" si="641"/>
        <v>46091</v>
      </c>
      <c r="E2270" s="15"/>
      <c r="F2270" s="15"/>
      <c r="G2270" s="15">
        <f t="shared" si="646"/>
        <v>0</v>
      </c>
      <c r="H2270" s="16" t="s">
        <v>203</v>
      </c>
      <c r="I2270" s="10">
        <f t="shared" si="645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3"/>
        <v>903.22580645161293</v>
      </c>
    </row>
    <row r="2271" spans="2:19" outlineLevel="1">
      <c r="B2271" s="13" t="s">
        <v>154</v>
      </c>
      <c r="C2271" s="7" t="str">
        <f t="shared" si="644"/>
        <v>MOTO NIVELADORA JOHN DEERE CHASSIS DM00042</v>
      </c>
      <c r="D2271" s="8">
        <f t="shared" si="641"/>
        <v>46092</v>
      </c>
      <c r="E2271" s="15">
        <v>2770</v>
      </c>
      <c r="F2271" s="15">
        <v>2777</v>
      </c>
      <c r="G2271" s="15">
        <f t="shared" si="646"/>
        <v>7</v>
      </c>
      <c r="H2271" s="16" t="s">
        <v>203</v>
      </c>
      <c r="I2271" s="10">
        <f t="shared" si="645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3"/>
        <v>903.22580645161293</v>
      </c>
    </row>
    <row r="2272" spans="2:19" outlineLevel="1">
      <c r="B2272" s="13" t="s">
        <v>154</v>
      </c>
      <c r="C2272" s="7" t="str">
        <f t="shared" si="644"/>
        <v>MOTO NIVELADORA JOHN DEERE CHASSIS DM00042</v>
      </c>
      <c r="D2272" s="8">
        <f t="shared" si="641"/>
        <v>46093</v>
      </c>
      <c r="E2272" s="15"/>
      <c r="F2272" s="15"/>
      <c r="G2272" s="15">
        <f t="shared" si="646"/>
        <v>0</v>
      </c>
      <c r="H2272" s="16" t="s">
        <v>203</v>
      </c>
      <c r="I2272" s="10">
        <f t="shared" si="645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3"/>
        <v>903.22580645161293</v>
      </c>
    </row>
    <row r="2273" spans="2:19" outlineLevel="1">
      <c r="B2273" s="13" t="s">
        <v>154</v>
      </c>
      <c r="C2273" s="7" t="str">
        <f t="shared" si="644"/>
        <v>MOTO NIVELADORA JOHN DEERE CHASSIS DM00042</v>
      </c>
      <c r="D2273" s="8">
        <f t="shared" si="641"/>
        <v>46094</v>
      </c>
      <c r="E2273" s="15">
        <v>2777</v>
      </c>
      <c r="F2273" s="15">
        <v>2780</v>
      </c>
      <c r="G2273" s="15">
        <f t="shared" si="646"/>
        <v>3</v>
      </c>
      <c r="H2273" s="16" t="s">
        <v>203</v>
      </c>
      <c r="I2273" s="10">
        <f t="shared" si="645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3"/>
        <v>903.22580645161293</v>
      </c>
    </row>
    <row r="2274" spans="2:19" outlineLevel="1">
      <c r="B2274" s="13" t="s">
        <v>154</v>
      </c>
      <c r="C2274" s="7" t="str">
        <f t="shared" si="644"/>
        <v>MOTO NIVELADORA JOHN DEERE CHASSIS DM00042</v>
      </c>
      <c r="D2274" s="8">
        <f t="shared" si="641"/>
        <v>46095</v>
      </c>
      <c r="E2274" s="15">
        <v>2780</v>
      </c>
      <c r="F2274" s="15">
        <v>2782</v>
      </c>
      <c r="G2274" s="15">
        <f t="shared" si="646"/>
        <v>2</v>
      </c>
      <c r="H2274" s="16" t="s">
        <v>203</v>
      </c>
      <c r="I2274" s="10">
        <f t="shared" si="645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3"/>
        <v>903.22580645161293</v>
      </c>
    </row>
    <row r="2275" spans="2:19" outlineLevel="1">
      <c r="B2275" s="13" t="s">
        <v>154</v>
      </c>
      <c r="C2275" s="7" t="str">
        <f t="shared" si="644"/>
        <v>MOTO NIVELADORA JOHN DEERE CHASSIS DM00042</v>
      </c>
      <c r="D2275" s="8">
        <f t="shared" si="641"/>
        <v>46096</v>
      </c>
      <c r="E2275" s="15"/>
      <c r="F2275" s="15"/>
      <c r="G2275" s="15">
        <f t="shared" si="646"/>
        <v>0</v>
      </c>
      <c r="H2275" s="16" t="s">
        <v>203</v>
      </c>
      <c r="I2275" s="10">
        <f t="shared" si="645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3"/>
        <v>903.22580645161293</v>
      </c>
    </row>
    <row r="2276" spans="2:19" outlineLevel="1">
      <c r="B2276" s="13" t="s">
        <v>154</v>
      </c>
      <c r="C2276" s="7" t="str">
        <f t="shared" si="644"/>
        <v>MOTO NIVELADORA JOHN DEERE CHASSIS DM00042</v>
      </c>
      <c r="D2276" s="8">
        <f t="shared" si="641"/>
        <v>46097</v>
      </c>
      <c r="E2276" s="15"/>
      <c r="F2276" s="15"/>
      <c r="G2276" s="15">
        <f t="shared" si="646"/>
        <v>0</v>
      </c>
      <c r="H2276" s="16" t="s">
        <v>203</v>
      </c>
      <c r="I2276" s="10">
        <f t="shared" si="645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3"/>
        <v>903.22580645161293</v>
      </c>
    </row>
    <row r="2277" spans="2:19" outlineLevel="1">
      <c r="B2277" s="13" t="s">
        <v>154</v>
      </c>
      <c r="C2277" s="7" t="str">
        <f t="shared" si="644"/>
        <v>MOTO NIVELADORA JOHN DEERE CHASSIS DM00042</v>
      </c>
      <c r="D2277" s="8">
        <f t="shared" si="641"/>
        <v>46098</v>
      </c>
      <c r="E2277" s="15"/>
      <c r="F2277" s="15"/>
      <c r="G2277" s="15">
        <f t="shared" si="646"/>
        <v>0</v>
      </c>
      <c r="H2277" s="16" t="s">
        <v>203</v>
      </c>
      <c r="I2277" s="10">
        <f t="shared" si="645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3"/>
        <v>903.22580645161293</v>
      </c>
    </row>
    <row r="2278" spans="2:19" outlineLevel="1">
      <c r="B2278" s="13" t="s">
        <v>154</v>
      </c>
      <c r="C2278" s="7" t="str">
        <f t="shared" si="644"/>
        <v>MOTO NIVELADORA JOHN DEERE CHASSIS DM00042</v>
      </c>
      <c r="D2278" s="8">
        <f t="shared" si="641"/>
        <v>46099</v>
      </c>
      <c r="E2278" s="15"/>
      <c r="F2278" s="15"/>
      <c r="G2278" s="15">
        <f t="shared" si="646"/>
        <v>0</v>
      </c>
      <c r="H2278" s="16" t="s">
        <v>203</v>
      </c>
      <c r="I2278" s="10">
        <f t="shared" si="645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3"/>
        <v>903.22580645161293</v>
      </c>
    </row>
    <row r="2279" spans="2:19" outlineLevel="1">
      <c r="B2279" s="13" t="s">
        <v>154</v>
      </c>
      <c r="C2279" s="7" t="str">
        <f t="shared" si="644"/>
        <v>MOTO NIVELADORA JOHN DEERE CHASSIS DM00042</v>
      </c>
      <c r="D2279" s="8">
        <f t="shared" si="641"/>
        <v>46100</v>
      </c>
      <c r="E2279" s="15"/>
      <c r="F2279" s="15"/>
      <c r="G2279" s="15">
        <f t="shared" si="646"/>
        <v>0</v>
      </c>
      <c r="H2279" s="16" t="s">
        <v>203</v>
      </c>
      <c r="I2279" s="10">
        <f t="shared" si="645"/>
        <v>903.22580645161293</v>
      </c>
      <c r="J2279" s="16"/>
      <c r="K2279" s="15"/>
      <c r="L2279" s="15"/>
      <c r="M2279" s="17"/>
      <c r="N2279" s="9"/>
      <c r="O2279" s="18">
        <f t="shared" ref="O2279:O2287" si="647">O2278</f>
        <v>0</v>
      </c>
      <c r="P2279" s="9"/>
      <c r="Q2279" s="9"/>
      <c r="R2279" s="72"/>
      <c r="S2279" s="10">
        <f t="shared" si="643"/>
        <v>903.22580645161293</v>
      </c>
    </row>
    <row r="2280" spans="2:19" outlineLevel="1">
      <c r="B2280" s="13" t="s">
        <v>154</v>
      </c>
      <c r="C2280" s="7" t="str">
        <f t="shared" si="644"/>
        <v>MOTO NIVELADORA JOHN DEERE CHASSIS DM00042</v>
      </c>
      <c r="D2280" s="8">
        <f t="shared" si="641"/>
        <v>46101</v>
      </c>
      <c r="E2280" s="15"/>
      <c r="F2280" s="15"/>
      <c r="G2280" s="15">
        <f t="shared" si="646"/>
        <v>0</v>
      </c>
      <c r="H2280" s="16" t="s">
        <v>203</v>
      </c>
      <c r="I2280" s="10">
        <f t="shared" si="645"/>
        <v>903.22580645161293</v>
      </c>
      <c r="J2280" s="16"/>
      <c r="K2280" s="15"/>
      <c r="L2280" s="15"/>
      <c r="M2280" s="17"/>
      <c r="N2280" s="9"/>
      <c r="O2280" s="18">
        <f t="shared" si="647"/>
        <v>0</v>
      </c>
      <c r="P2280" s="9"/>
      <c r="Q2280" s="9"/>
      <c r="R2280" s="72"/>
      <c r="S2280" s="10">
        <f t="shared" si="643"/>
        <v>903.22580645161293</v>
      </c>
    </row>
    <row r="2281" spans="2:19" outlineLevel="1">
      <c r="B2281" s="13" t="s">
        <v>154</v>
      </c>
      <c r="C2281" s="7" t="str">
        <f t="shared" si="644"/>
        <v>MOTO NIVELADORA JOHN DEERE CHASSIS DM00042</v>
      </c>
      <c r="D2281" s="8">
        <f t="shared" si="641"/>
        <v>46102</v>
      </c>
      <c r="E2281" s="15"/>
      <c r="F2281" s="15"/>
      <c r="G2281" s="15">
        <f t="shared" si="646"/>
        <v>0</v>
      </c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7"/>
        <v>0</v>
      </c>
      <c r="P2281" s="9"/>
      <c r="Q2281" s="9"/>
      <c r="R2281" s="72"/>
      <c r="S2281" s="10">
        <f t="shared" si="643"/>
        <v>903.22580645161293</v>
      </c>
    </row>
    <row r="2282" spans="2:19" outlineLevel="1">
      <c r="B2282" s="13" t="s">
        <v>154</v>
      </c>
      <c r="C2282" s="7" t="str">
        <f t="shared" si="644"/>
        <v>MOTO NIVELADORA JOHN DEERE CHASSIS DM00042</v>
      </c>
      <c r="D2282" s="8">
        <f t="shared" si="641"/>
        <v>46103</v>
      </c>
      <c r="E2282" s="15"/>
      <c r="F2282" s="15"/>
      <c r="G2282" s="15">
        <f t="shared" si="646"/>
        <v>0</v>
      </c>
      <c r="H2282" s="16" t="s">
        <v>203</v>
      </c>
      <c r="I2282" s="10">
        <f t="shared" si="645"/>
        <v>903.22580645161293</v>
      </c>
      <c r="J2282" s="16" t="s">
        <v>16</v>
      </c>
      <c r="K2282" s="15"/>
      <c r="L2282" s="15"/>
      <c r="M2282" s="17"/>
      <c r="N2282" s="9"/>
      <c r="O2282" s="18">
        <f t="shared" si="647"/>
        <v>0</v>
      </c>
      <c r="P2282" s="9"/>
      <c r="Q2282" s="9"/>
      <c r="R2282" s="72"/>
      <c r="S2282" s="10">
        <f t="shared" si="643"/>
        <v>903.22580645161293</v>
      </c>
    </row>
    <row r="2283" spans="2:19" outlineLevel="1">
      <c r="B2283" s="13" t="s">
        <v>154</v>
      </c>
      <c r="C2283" s="7" t="str">
        <f t="shared" si="644"/>
        <v>MOTO NIVELADORA JOHN DEERE CHASSIS DM00042</v>
      </c>
      <c r="D2283" s="8">
        <f t="shared" si="641"/>
        <v>46104</v>
      </c>
      <c r="E2283" s="15"/>
      <c r="F2283" s="15"/>
      <c r="G2283" s="15">
        <f t="shared" si="646"/>
        <v>0</v>
      </c>
      <c r="H2283" s="16" t="s">
        <v>203</v>
      </c>
      <c r="I2283" s="10">
        <f t="shared" si="645"/>
        <v>903.22580645161293</v>
      </c>
      <c r="J2283" s="16" t="s">
        <v>16</v>
      </c>
      <c r="K2283" s="15"/>
      <c r="L2283" s="15"/>
      <c r="M2283" s="17"/>
      <c r="N2283" s="9"/>
      <c r="O2283" s="18">
        <f t="shared" si="647"/>
        <v>0</v>
      </c>
      <c r="P2283" s="9"/>
      <c r="Q2283" s="9"/>
      <c r="R2283" s="72"/>
      <c r="S2283" s="10">
        <f t="shared" si="643"/>
        <v>903.22580645161293</v>
      </c>
    </row>
    <row r="2284" spans="2:19" outlineLevel="1">
      <c r="B2284" s="13" t="s">
        <v>154</v>
      </c>
      <c r="C2284" s="7" t="str">
        <f t="shared" si="644"/>
        <v>MOTO NIVELADORA JOHN DEERE CHASSIS DM00042</v>
      </c>
      <c r="D2284" s="8">
        <f t="shared" si="641"/>
        <v>46105</v>
      </c>
      <c r="E2284" s="15"/>
      <c r="F2284" s="15"/>
      <c r="G2284" s="15">
        <f t="shared" si="646"/>
        <v>0</v>
      </c>
      <c r="H2284" s="16" t="s">
        <v>203</v>
      </c>
      <c r="I2284" s="10">
        <f t="shared" si="645"/>
        <v>903.22580645161293</v>
      </c>
      <c r="J2284" s="16" t="s">
        <v>16</v>
      </c>
      <c r="K2284" s="15"/>
      <c r="L2284" s="15"/>
      <c r="M2284" s="17"/>
      <c r="N2284" s="9"/>
      <c r="O2284" s="18">
        <f t="shared" si="647"/>
        <v>0</v>
      </c>
      <c r="P2284" s="9"/>
      <c r="Q2284" s="9"/>
      <c r="R2284" s="72"/>
      <c r="S2284" s="10">
        <f t="shared" si="643"/>
        <v>903.22580645161293</v>
      </c>
    </row>
    <row r="2285" spans="2:19" outlineLevel="1">
      <c r="B2285" s="13" t="s">
        <v>154</v>
      </c>
      <c r="C2285" s="7" t="str">
        <f t="shared" si="644"/>
        <v>MOTO NIVELADORA JOHN DEERE CHASSIS DM00042</v>
      </c>
      <c r="D2285" s="8">
        <f t="shared" si="641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5"/>
        <v>903.22580645161293</v>
      </c>
      <c r="J2285" s="16" t="s">
        <v>16</v>
      </c>
      <c r="K2285" s="15"/>
      <c r="L2285" s="15"/>
      <c r="M2285" s="17"/>
      <c r="N2285" s="9"/>
      <c r="O2285" s="18">
        <f t="shared" si="647"/>
        <v>0</v>
      </c>
      <c r="P2285" s="9"/>
      <c r="Q2285" s="9"/>
      <c r="R2285" s="72"/>
      <c r="S2285" s="10">
        <f t="shared" si="643"/>
        <v>903.22580645161293</v>
      </c>
    </row>
    <row r="2286" spans="2:19" outlineLevel="1">
      <c r="B2286" s="13" t="s">
        <v>154</v>
      </c>
      <c r="C2286" s="7" t="str">
        <f t="shared" si="644"/>
        <v>MOTO NIVELADORA JOHN DEERE CHASSIS DM00042</v>
      </c>
      <c r="D2286" s="8">
        <f t="shared" si="641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7"/>
        <v>0</v>
      </c>
      <c r="P2286" s="9"/>
      <c r="Q2286" s="9"/>
      <c r="R2286" s="72"/>
      <c r="S2286" s="10">
        <f t="shared" si="643"/>
        <v>903.22580645161293</v>
      </c>
    </row>
    <row r="2287" spans="2:19" outlineLevel="1">
      <c r="B2287" s="13" t="s">
        <v>154</v>
      </c>
      <c r="C2287" s="7" t="str">
        <f t="shared" si="644"/>
        <v>MOTO NIVELADORA JOHN DEERE CHASSIS DM00042</v>
      </c>
      <c r="D2287" s="8">
        <f t="shared" si="641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5"/>
        <v>903.22580645161293</v>
      </c>
      <c r="J2287" s="16" t="s">
        <v>16</v>
      </c>
      <c r="K2287" s="15"/>
      <c r="L2287" s="15"/>
      <c r="M2287" s="17"/>
      <c r="N2287" s="9"/>
      <c r="O2287" s="18">
        <f t="shared" si="647"/>
        <v>0</v>
      </c>
      <c r="P2287" s="9"/>
      <c r="Q2287" s="9"/>
      <c r="R2287" s="72"/>
      <c r="S2287" s="10">
        <f t="shared" si="643"/>
        <v>903.22580645161293</v>
      </c>
    </row>
    <row r="2288" spans="2:19" outlineLevel="1">
      <c r="B2288" s="13" t="s">
        <v>154</v>
      </c>
      <c r="C2288" s="7" t="str">
        <f t="shared" si="644"/>
        <v>MOTO NIVELADORA JOHN DEERE CHASSIS DM00042</v>
      </c>
      <c r="D2288" s="8">
        <f t="shared" ref="D2288" si="648">D2220</f>
        <v>46109</v>
      </c>
      <c r="E2288" s="15"/>
      <c r="F2288" s="15"/>
      <c r="G2288" s="15">
        <f t="shared" si="646"/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4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6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4"/>
        <v>MOTO NIVELADORA JOHN DEERE CHASSIS DM00042</v>
      </c>
      <c r="D2290" s="8">
        <f t="shared" si="650"/>
        <v>46111</v>
      </c>
      <c r="E2290" s="15"/>
      <c r="F2290" s="15"/>
      <c r="G2290" s="15">
        <f t="shared" si="646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4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3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251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278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278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278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278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278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278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278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278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>
        <v>946.2</v>
      </c>
      <c r="F2371" s="15">
        <v>951.7</v>
      </c>
      <c r="G2371" s="15">
        <f t="shared" si="673"/>
        <v>5.5</v>
      </c>
      <c r="H2371" s="16" t="s">
        <v>278</v>
      </c>
      <c r="I2371" s="10">
        <f t="shared" si="672"/>
        <v>464.51612903225805</v>
      </c>
      <c r="J2371" s="16"/>
      <c r="K2371" s="15">
        <v>1</v>
      </c>
      <c r="L2371" s="15">
        <v>20</v>
      </c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278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278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278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278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278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278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278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278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278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278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278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278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278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278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278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278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278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278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278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278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278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278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336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336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336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336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336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336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336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336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336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336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336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336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336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336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336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336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336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336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336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336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336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336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336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28" t="s">
        <v>262</v>
      </c>
      <c r="R2429" s="128"/>
      <c r="S2429" s="128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:G2439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>
        <f t="shared" si="691"/>
        <v>0</v>
      </c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>
        <f t="shared" si="691"/>
        <v>0</v>
      </c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>
        <v>1677.2</v>
      </c>
      <c r="F2434" s="15">
        <v>1684</v>
      </c>
      <c r="G2434" s="15">
        <f t="shared" si="691"/>
        <v>6.7999999999999545</v>
      </c>
      <c r="H2434" s="16" t="s">
        <v>203</v>
      </c>
      <c r="I2434" s="10">
        <f t="shared" si="694"/>
        <v>464.51612903225805</v>
      </c>
      <c r="J2434" s="16"/>
      <c r="K2434" s="15">
        <v>1</v>
      </c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>
        <f t="shared" si="691"/>
        <v>0</v>
      </c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>
        <f t="shared" si="691"/>
        <v>0</v>
      </c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>
        <f t="shared" si="691"/>
        <v>0</v>
      </c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>
        <f t="shared" si="691"/>
        <v>0</v>
      </c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>
        <v>1684</v>
      </c>
      <c r="F2439" s="15">
        <v>1685.2</v>
      </c>
      <c r="G2439" s="15">
        <f t="shared" si="691"/>
        <v>1.2000000000000455</v>
      </c>
      <c r="H2439" s="16" t="s">
        <v>203</v>
      </c>
      <c r="I2439" s="10">
        <f t="shared" si="694"/>
        <v>464.51612903225805</v>
      </c>
      <c r="J2439" s="16"/>
      <c r="K2439" s="15">
        <v>1</v>
      </c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>
        <v>1685.2</v>
      </c>
      <c r="F2440" s="15">
        <v>1685.4</v>
      </c>
      <c r="G2440" s="15">
        <f>F2440-E2440</f>
        <v>0.20000000000004547</v>
      </c>
      <c r="H2440" s="16" t="s">
        <v>203</v>
      </c>
      <c r="I2440" s="10">
        <f t="shared" si="694"/>
        <v>464.51612903225805</v>
      </c>
      <c r="J2440" s="16"/>
      <c r="K2440" s="15">
        <v>1</v>
      </c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>
        <v>1685.4</v>
      </c>
      <c r="F2441" s="15">
        <v>1691.5</v>
      </c>
      <c r="G2441" s="15">
        <f t="shared" ref="G2441:G2461" si="696">F2441-E2441</f>
        <v>6.0999999999999091</v>
      </c>
      <c r="H2441" s="16" t="s">
        <v>203</v>
      </c>
      <c r="I2441" s="10">
        <f t="shared" si="694"/>
        <v>464.51612903225805</v>
      </c>
      <c r="J2441" s="16"/>
      <c r="K2441" s="15">
        <v>1</v>
      </c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>
        <f t="shared" si="696"/>
        <v>0</v>
      </c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>
        <f t="shared" si="696"/>
        <v>0</v>
      </c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>
        <f t="shared" si="696"/>
        <v>0</v>
      </c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>
        <f t="shared" si="696"/>
        <v>0</v>
      </c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>
        <f t="shared" si="696"/>
        <v>0</v>
      </c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>
        <f t="shared" si="696"/>
        <v>0</v>
      </c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>
        <f t="shared" si="696"/>
        <v>0</v>
      </c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>
        <f t="shared" si="696"/>
        <v>0</v>
      </c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>
        <f t="shared" si="696"/>
        <v>0</v>
      </c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>
        <f t="shared" si="696"/>
        <v>0</v>
      </c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>
        <f t="shared" si="696"/>
        <v>0</v>
      </c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>
        <f t="shared" si="696"/>
        <v>0</v>
      </c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>
        <f t="shared" si="696"/>
        <v>0</v>
      </c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>
        <f t="shared" si="696"/>
        <v>0</v>
      </c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>
        <f t="shared" si="696"/>
        <v>0</v>
      </c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>
        <f t="shared" si="696"/>
        <v>0</v>
      </c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7">D2390</f>
        <v>46109</v>
      </c>
      <c r="E2458" s="15"/>
      <c r="F2458" s="15"/>
      <c r="G2458" s="15">
        <f t="shared" si="696"/>
        <v>0</v>
      </c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8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9">D2391</f>
        <v>46110</v>
      </c>
      <c r="E2459" s="15"/>
      <c r="F2459" s="15"/>
      <c r="G2459" s="15">
        <f t="shared" si="696"/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8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9"/>
        <v>46111</v>
      </c>
      <c r="E2460" s="15"/>
      <c r="F2460" s="15"/>
      <c r="G2460" s="15">
        <f t="shared" si="696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8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9"/>
        <v>46112</v>
      </c>
      <c r="E2461" s="15"/>
      <c r="F2461" s="15"/>
      <c r="G2461" s="15">
        <f t="shared" si="696"/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0">D2397</f>
        <v>46082</v>
      </c>
      <c r="E2465" s="15"/>
      <c r="F2465" s="15"/>
      <c r="G2465" s="15">
        <f t="shared" ref="G2465:G2478" si="701">F2465-E2465</f>
        <v>0</v>
      </c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0"/>
        <v>46083</v>
      </c>
      <c r="E2466" s="15"/>
      <c r="F2466" s="15"/>
      <c r="G2466" s="15">
        <f t="shared" si="701"/>
        <v>0</v>
      </c>
      <c r="H2466" s="16" t="s">
        <v>238</v>
      </c>
      <c r="I2466" s="10">
        <f>I2465</f>
        <v>464.51612903225805</v>
      </c>
      <c r="J2466" s="16" t="s">
        <v>16</v>
      </c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0"/>
        <v>46084</v>
      </c>
      <c r="E2467" s="15"/>
      <c r="F2467" s="15"/>
      <c r="G2467" s="15">
        <f t="shared" si="701"/>
        <v>0</v>
      </c>
      <c r="H2467" s="16" t="s">
        <v>238</v>
      </c>
      <c r="I2467" s="10">
        <f t="shared" ref="I2467:I2491" si="704">I2466</f>
        <v>464.51612903225805</v>
      </c>
      <c r="J2467" s="16" t="s">
        <v>16</v>
      </c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0"/>
        <v>46085</v>
      </c>
      <c r="E2468" s="15"/>
      <c r="F2468" s="15"/>
      <c r="G2468" s="15">
        <f t="shared" si="701"/>
        <v>0</v>
      </c>
      <c r="H2468" s="16" t="s">
        <v>238</v>
      </c>
      <c r="I2468" s="10">
        <f t="shared" si="704"/>
        <v>464.51612903225805</v>
      </c>
      <c r="J2468" s="16" t="s">
        <v>16</v>
      </c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0"/>
        <v>46086</v>
      </c>
      <c r="E2469" s="15"/>
      <c r="F2469" s="15"/>
      <c r="G2469" s="15">
        <f t="shared" si="701"/>
        <v>0</v>
      </c>
      <c r="H2469" s="16" t="s">
        <v>238</v>
      </c>
      <c r="I2469" s="10">
        <f t="shared" si="704"/>
        <v>464.51612903225805</v>
      </c>
      <c r="J2469" s="16" t="s">
        <v>16</v>
      </c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0"/>
        <v>46087</v>
      </c>
      <c r="E2470" s="15"/>
      <c r="F2470" s="15"/>
      <c r="G2470" s="15">
        <f t="shared" si="701"/>
        <v>0</v>
      </c>
      <c r="H2470" s="16" t="s">
        <v>238</v>
      </c>
      <c r="I2470" s="10">
        <f t="shared" si="704"/>
        <v>464.51612903225805</v>
      </c>
      <c r="J2470" s="16" t="s">
        <v>16</v>
      </c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0"/>
        <v>46088</v>
      </c>
      <c r="E2471" s="15"/>
      <c r="F2471" s="15"/>
      <c r="G2471" s="15">
        <f t="shared" si="701"/>
        <v>0</v>
      </c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0"/>
        <v>46089</v>
      </c>
      <c r="E2472" s="15"/>
      <c r="F2472" s="15"/>
      <c r="G2472" s="15">
        <f t="shared" si="701"/>
        <v>0</v>
      </c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0"/>
        <v>46090</v>
      </c>
      <c r="E2473" s="15"/>
      <c r="F2473" s="15"/>
      <c r="G2473" s="15">
        <f t="shared" si="701"/>
        <v>0</v>
      </c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0"/>
        <v>46091</v>
      </c>
      <c r="E2474" s="15"/>
      <c r="F2474" s="15"/>
      <c r="G2474" s="15">
        <f t="shared" si="701"/>
        <v>0</v>
      </c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0"/>
        <v>46092</v>
      </c>
      <c r="E2475" s="15"/>
      <c r="F2475" s="15"/>
      <c r="G2475" s="15">
        <f t="shared" si="701"/>
        <v>0</v>
      </c>
      <c r="H2475" s="16" t="s">
        <v>238</v>
      </c>
      <c r="I2475" s="10">
        <f t="shared" si="704"/>
        <v>464.51612903225805</v>
      </c>
      <c r="J2475" s="16" t="s">
        <v>16</v>
      </c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0"/>
        <v>46093</v>
      </c>
      <c r="E2476" s="15"/>
      <c r="F2476" s="15"/>
      <c r="G2476" s="15">
        <f t="shared" si="701"/>
        <v>0</v>
      </c>
      <c r="H2476" s="16" t="s">
        <v>238</v>
      </c>
      <c r="I2476" s="10">
        <f t="shared" si="704"/>
        <v>464.51612903225805</v>
      </c>
      <c r="J2476" s="16" t="s">
        <v>16</v>
      </c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0"/>
        <v>46094</v>
      </c>
      <c r="E2477" s="15"/>
      <c r="F2477" s="15"/>
      <c r="G2477" s="15">
        <f t="shared" si="701"/>
        <v>0</v>
      </c>
      <c r="H2477" s="16" t="s">
        <v>278</v>
      </c>
      <c r="I2477" s="10">
        <f t="shared" si="704"/>
        <v>464.51612903225805</v>
      </c>
      <c r="J2477" s="16" t="s">
        <v>16</v>
      </c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0"/>
        <v>46095</v>
      </c>
      <c r="E2478" s="15"/>
      <c r="F2478" s="15"/>
      <c r="G2478" s="15">
        <f t="shared" si="701"/>
        <v>0</v>
      </c>
      <c r="H2478" s="16" t="s">
        <v>278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0"/>
        <v>46096</v>
      </c>
      <c r="E2479" s="15">
        <v>967</v>
      </c>
      <c r="F2479" s="15">
        <v>968</v>
      </c>
      <c r="G2479" s="15">
        <f>F2479-E2479</f>
        <v>1</v>
      </c>
      <c r="H2479" s="16" t="s">
        <v>278</v>
      </c>
      <c r="I2479" s="10">
        <f t="shared" si="704"/>
        <v>464.51612903225805</v>
      </c>
      <c r="J2479" s="16"/>
      <c r="K2479" s="15">
        <v>1</v>
      </c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0"/>
        <v>46097</v>
      </c>
      <c r="E2480" s="15"/>
      <c r="F2480" s="15"/>
      <c r="G2480" s="15">
        <f t="shared" ref="G2480:G2495" si="706">F2480-E2480</f>
        <v>0</v>
      </c>
      <c r="H2480" s="16" t="s">
        <v>278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0"/>
        <v>46098</v>
      </c>
      <c r="E2481" s="15"/>
      <c r="F2481" s="15"/>
      <c r="G2481" s="15">
        <f t="shared" si="706"/>
        <v>0</v>
      </c>
      <c r="H2481" s="16" t="s">
        <v>278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0"/>
        <v>46099</v>
      </c>
      <c r="E2482" s="15"/>
      <c r="F2482" s="15"/>
      <c r="G2482" s="15">
        <f t="shared" si="706"/>
        <v>0</v>
      </c>
      <c r="H2482" s="16" t="s">
        <v>278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0"/>
        <v>46100</v>
      </c>
      <c r="E2483" s="15"/>
      <c r="F2483" s="15"/>
      <c r="G2483" s="15">
        <f t="shared" si="706"/>
        <v>0</v>
      </c>
      <c r="H2483" s="16" t="s">
        <v>278</v>
      </c>
      <c r="I2483" s="10">
        <f t="shared" si="704"/>
        <v>464.51612903225805</v>
      </c>
      <c r="J2483" s="16" t="s">
        <v>16</v>
      </c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0"/>
        <v>46101</v>
      </c>
      <c r="E2484" s="15"/>
      <c r="F2484" s="15"/>
      <c r="G2484" s="15">
        <f t="shared" si="706"/>
        <v>0</v>
      </c>
      <c r="H2484" s="16" t="s">
        <v>278</v>
      </c>
      <c r="I2484" s="10">
        <f t="shared" si="704"/>
        <v>464.51612903225805</v>
      </c>
      <c r="J2484" s="16" t="s">
        <v>16</v>
      </c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0"/>
        <v>46102</v>
      </c>
      <c r="E2485" s="15"/>
      <c r="F2485" s="15"/>
      <c r="G2485" s="15">
        <f t="shared" si="706"/>
        <v>0</v>
      </c>
      <c r="H2485" s="16" t="s">
        <v>278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0"/>
        <v>46103</v>
      </c>
      <c r="E2486" s="15"/>
      <c r="F2486" s="15"/>
      <c r="G2486" s="15">
        <f t="shared" si="706"/>
        <v>0</v>
      </c>
      <c r="H2486" s="16" t="s">
        <v>278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0"/>
        <v>46104</v>
      </c>
      <c r="E2487" s="15"/>
      <c r="F2487" s="15"/>
      <c r="G2487" s="15">
        <f t="shared" si="706"/>
        <v>0</v>
      </c>
      <c r="H2487" s="16" t="s">
        <v>278</v>
      </c>
      <c r="I2487" s="10">
        <f t="shared" si="704"/>
        <v>464.51612903225805</v>
      </c>
      <c r="J2487" s="16" t="s">
        <v>16</v>
      </c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0"/>
        <v>46105</v>
      </c>
      <c r="E2488" s="15"/>
      <c r="F2488" s="15"/>
      <c r="G2488" s="15">
        <f t="shared" si="706"/>
        <v>0</v>
      </c>
      <c r="H2488" s="16" t="s">
        <v>278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0"/>
        <v>46106</v>
      </c>
      <c r="E2489" s="15"/>
      <c r="F2489" s="15"/>
      <c r="G2489" s="15">
        <f t="shared" si="706"/>
        <v>0</v>
      </c>
      <c r="H2489" s="16" t="s">
        <v>278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0"/>
        <v>46107</v>
      </c>
      <c r="E2490" s="15"/>
      <c r="F2490" s="15"/>
      <c r="G2490" s="15">
        <f t="shared" si="706"/>
        <v>0</v>
      </c>
      <c r="H2490" s="16" t="s">
        <v>278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0"/>
        <v>46108</v>
      </c>
      <c r="E2491" s="15"/>
      <c r="F2491" s="15"/>
      <c r="G2491" s="15">
        <f t="shared" si="706"/>
        <v>0</v>
      </c>
      <c r="H2491" s="16" t="s">
        <v>278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si="706"/>
        <v>0</v>
      </c>
      <c r="H2492" s="16" t="s">
        <v>278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8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09">D2425</f>
        <v>46110</v>
      </c>
      <c r="E2493" s="15"/>
      <c r="F2493" s="15"/>
      <c r="G2493" s="15">
        <f t="shared" si="706"/>
        <v>0</v>
      </c>
      <c r="H2493" s="16" t="s">
        <v>278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8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09"/>
        <v>46111</v>
      </c>
      <c r="E2494" s="15"/>
      <c r="F2494" s="15"/>
      <c r="G2494" s="15">
        <f t="shared" si="706"/>
        <v>0</v>
      </c>
      <c r="H2494" s="16" t="s">
        <v>278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8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09"/>
        <v>46112</v>
      </c>
      <c r="E2495" s="15"/>
      <c r="F2495" s="15"/>
      <c r="G2495" s="15">
        <f t="shared" si="706"/>
        <v>0</v>
      </c>
      <c r="H2495" s="16" t="s">
        <v>278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0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1">C$2497</f>
        <v xml:space="preserve">ROLO KIT PATA LIUGONG CHASSIS RR063835 ANO 2024 </v>
      </c>
      <c r="D2500" s="8">
        <f t="shared" si="710"/>
        <v>46083</v>
      </c>
      <c r="E2500" s="15"/>
      <c r="F2500" s="15"/>
      <c r="G2500" s="15">
        <f t="shared" ref="G2500:G2529" si="712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3">SUM(R2500+Q2500+I2500)</f>
        <v>464.51612903225805</v>
      </c>
    </row>
    <row r="2501" spans="2:19" outlineLevel="1">
      <c r="B2501" s="13" t="s">
        <v>168</v>
      </c>
      <c r="C2501" s="7" t="str">
        <f t="shared" si="711"/>
        <v xml:space="preserve">ROLO KIT PATA LIUGONG CHASSIS RR063835 ANO 2024 </v>
      </c>
      <c r="D2501" s="8">
        <f t="shared" si="710"/>
        <v>46084</v>
      </c>
      <c r="E2501" s="15"/>
      <c r="F2501" s="15"/>
      <c r="G2501" s="15">
        <f t="shared" si="712"/>
        <v>0</v>
      </c>
      <c r="H2501" s="16" t="s">
        <v>6</v>
      </c>
      <c r="I2501" s="10">
        <f t="shared" ref="I2501:I2525" si="714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3"/>
        <v>464.51612903225805</v>
      </c>
    </row>
    <row r="2502" spans="2:19" outlineLevel="1">
      <c r="B2502" s="13" t="s">
        <v>168</v>
      </c>
      <c r="C2502" s="7" t="str">
        <f t="shared" si="711"/>
        <v xml:space="preserve">ROLO KIT PATA LIUGONG CHASSIS RR063835 ANO 2024 </v>
      </c>
      <c r="D2502" s="8">
        <f t="shared" si="710"/>
        <v>46085</v>
      </c>
      <c r="E2502" s="15"/>
      <c r="F2502" s="15"/>
      <c r="G2502" s="15">
        <f t="shared" si="712"/>
        <v>0</v>
      </c>
      <c r="H2502" s="16" t="s">
        <v>6</v>
      </c>
      <c r="I2502" s="10">
        <f t="shared" si="714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3"/>
        <v>464.51612903225805</v>
      </c>
    </row>
    <row r="2503" spans="2:19" outlineLevel="1">
      <c r="B2503" s="13" t="s">
        <v>168</v>
      </c>
      <c r="C2503" s="7" t="str">
        <f t="shared" si="711"/>
        <v xml:space="preserve">ROLO KIT PATA LIUGONG CHASSIS RR063835 ANO 2024 </v>
      </c>
      <c r="D2503" s="8">
        <f t="shared" si="710"/>
        <v>46086</v>
      </c>
      <c r="E2503" s="15"/>
      <c r="F2503" s="15"/>
      <c r="G2503" s="15">
        <f t="shared" si="712"/>
        <v>0</v>
      </c>
      <c r="H2503" s="16" t="s">
        <v>6</v>
      </c>
      <c r="I2503" s="10">
        <f t="shared" si="714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3"/>
        <v>464.51612903225805</v>
      </c>
    </row>
    <row r="2504" spans="2:19" outlineLevel="1">
      <c r="B2504" s="13" t="s">
        <v>168</v>
      </c>
      <c r="C2504" s="7" t="str">
        <f t="shared" si="711"/>
        <v xml:space="preserve">ROLO KIT PATA LIUGONG CHASSIS RR063835 ANO 2024 </v>
      </c>
      <c r="D2504" s="8">
        <f t="shared" si="710"/>
        <v>46087</v>
      </c>
      <c r="E2504" s="15"/>
      <c r="F2504" s="15"/>
      <c r="G2504" s="15">
        <f t="shared" si="712"/>
        <v>0</v>
      </c>
      <c r="H2504" s="16" t="s">
        <v>6</v>
      </c>
      <c r="I2504" s="10">
        <f t="shared" si="714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3"/>
        <v>464.51612903225805</v>
      </c>
    </row>
    <row r="2505" spans="2:19" outlineLevel="1">
      <c r="B2505" s="13" t="s">
        <v>168</v>
      </c>
      <c r="C2505" s="7" t="str">
        <f t="shared" si="711"/>
        <v xml:space="preserve">ROLO KIT PATA LIUGONG CHASSIS RR063835 ANO 2024 </v>
      </c>
      <c r="D2505" s="8">
        <f t="shared" si="710"/>
        <v>46088</v>
      </c>
      <c r="E2505" s="15"/>
      <c r="F2505" s="15"/>
      <c r="G2505" s="15">
        <f t="shared" si="712"/>
        <v>0</v>
      </c>
      <c r="H2505" s="16" t="s">
        <v>6</v>
      </c>
      <c r="I2505" s="10">
        <f t="shared" si="714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3"/>
        <v>464.51612903225805</v>
      </c>
    </row>
    <row r="2506" spans="2:19" outlineLevel="1">
      <c r="B2506" s="13" t="s">
        <v>168</v>
      </c>
      <c r="C2506" s="7" t="str">
        <f t="shared" si="711"/>
        <v xml:space="preserve">ROLO KIT PATA LIUGONG CHASSIS RR063835 ANO 2024 </v>
      </c>
      <c r="D2506" s="8">
        <f t="shared" si="710"/>
        <v>46089</v>
      </c>
      <c r="E2506" s="15"/>
      <c r="F2506" s="15"/>
      <c r="G2506" s="15">
        <f t="shared" si="712"/>
        <v>0</v>
      </c>
      <c r="H2506" s="16" t="s">
        <v>6</v>
      </c>
      <c r="I2506" s="10">
        <f t="shared" si="714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3"/>
        <v>464.51612903225805</v>
      </c>
    </row>
    <row r="2507" spans="2:19" outlineLevel="1">
      <c r="B2507" s="13" t="s">
        <v>168</v>
      </c>
      <c r="C2507" s="7" t="str">
        <f t="shared" si="711"/>
        <v xml:space="preserve">ROLO KIT PATA LIUGONG CHASSIS RR063835 ANO 2024 </v>
      </c>
      <c r="D2507" s="8">
        <f t="shared" si="710"/>
        <v>46090</v>
      </c>
      <c r="E2507" s="15"/>
      <c r="F2507" s="15"/>
      <c r="G2507" s="15">
        <f t="shared" si="712"/>
        <v>0</v>
      </c>
      <c r="H2507" s="16" t="s">
        <v>6</v>
      </c>
      <c r="I2507" s="10">
        <f t="shared" si="714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3"/>
        <v>464.51612903225805</v>
      </c>
    </row>
    <row r="2508" spans="2:19" outlineLevel="1">
      <c r="B2508" s="13" t="s">
        <v>168</v>
      </c>
      <c r="C2508" s="7" t="str">
        <f t="shared" si="711"/>
        <v xml:space="preserve">ROLO KIT PATA LIUGONG CHASSIS RR063835 ANO 2024 </v>
      </c>
      <c r="D2508" s="8">
        <f t="shared" si="710"/>
        <v>46091</v>
      </c>
      <c r="E2508" s="15"/>
      <c r="F2508" s="15"/>
      <c r="G2508" s="15">
        <f t="shared" si="712"/>
        <v>0</v>
      </c>
      <c r="H2508" s="16" t="s">
        <v>6</v>
      </c>
      <c r="I2508" s="10">
        <f t="shared" si="714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5">O2507</f>
        <v>0</v>
      </c>
      <c r="P2508" s="9"/>
      <c r="Q2508" s="9"/>
      <c r="R2508" s="85">
        <v>0</v>
      </c>
      <c r="S2508" s="10">
        <f t="shared" si="713"/>
        <v>464.51612903225805</v>
      </c>
    </row>
    <row r="2509" spans="2:19" outlineLevel="1">
      <c r="B2509" s="13" t="s">
        <v>168</v>
      </c>
      <c r="C2509" s="7" t="str">
        <f t="shared" si="711"/>
        <v xml:space="preserve">ROLO KIT PATA LIUGONG CHASSIS RR063835 ANO 2024 </v>
      </c>
      <c r="D2509" s="8">
        <f t="shared" si="710"/>
        <v>46092</v>
      </c>
      <c r="E2509" s="15"/>
      <c r="F2509" s="15"/>
      <c r="G2509" s="15">
        <f t="shared" si="712"/>
        <v>0</v>
      </c>
      <c r="H2509" s="16" t="s">
        <v>6</v>
      </c>
      <c r="I2509" s="10">
        <f t="shared" si="714"/>
        <v>464.51612903225805</v>
      </c>
      <c r="J2509" s="16" t="s">
        <v>201</v>
      </c>
      <c r="K2509" s="15"/>
      <c r="L2509" s="15"/>
      <c r="M2509" s="17"/>
      <c r="N2509" s="9"/>
      <c r="O2509" s="18">
        <f t="shared" si="715"/>
        <v>0</v>
      </c>
      <c r="P2509" s="9"/>
      <c r="Q2509" s="9"/>
      <c r="R2509" s="85">
        <v>0</v>
      </c>
      <c r="S2509" s="10">
        <f t="shared" si="713"/>
        <v>464.51612903225805</v>
      </c>
    </row>
    <row r="2510" spans="2:19" outlineLevel="1">
      <c r="B2510" s="13" t="s">
        <v>168</v>
      </c>
      <c r="C2510" s="7" t="str">
        <f t="shared" si="711"/>
        <v xml:space="preserve">ROLO KIT PATA LIUGONG CHASSIS RR063835 ANO 2024 </v>
      </c>
      <c r="D2510" s="8">
        <f t="shared" si="710"/>
        <v>46093</v>
      </c>
      <c r="E2510" s="15"/>
      <c r="F2510" s="15"/>
      <c r="G2510" s="15">
        <f t="shared" si="712"/>
        <v>0</v>
      </c>
      <c r="H2510" s="16" t="s">
        <v>6</v>
      </c>
      <c r="I2510" s="10">
        <f t="shared" si="714"/>
        <v>464.51612903225805</v>
      </c>
      <c r="J2510" s="16" t="s">
        <v>201</v>
      </c>
      <c r="K2510" s="15"/>
      <c r="L2510" s="15"/>
      <c r="M2510" s="17"/>
      <c r="N2510" s="9"/>
      <c r="O2510" s="18">
        <f t="shared" si="715"/>
        <v>0</v>
      </c>
      <c r="P2510" s="9"/>
      <c r="Q2510" s="9"/>
      <c r="R2510" s="85">
        <v>0</v>
      </c>
      <c r="S2510" s="10">
        <f t="shared" si="713"/>
        <v>464.51612903225805</v>
      </c>
    </row>
    <row r="2511" spans="2:19" outlineLevel="1">
      <c r="B2511" s="13" t="s">
        <v>168</v>
      </c>
      <c r="C2511" s="7" t="str">
        <f t="shared" si="711"/>
        <v xml:space="preserve">ROLO KIT PATA LIUGONG CHASSIS RR063835 ANO 2024 </v>
      </c>
      <c r="D2511" s="8">
        <f t="shared" si="710"/>
        <v>46094</v>
      </c>
      <c r="E2511" s="15"/>
      <c r="F2511" s="15"/>
      <c r="G2511" s="15">
        <f t="shared" si="712"/>
        <v>0</v>
      </c>
      <c r="H2511" s="16" t="s">
        <v>6</v>
      </c>
      <c r="I2511" s="10">
        <f t="shared" si="714"/>
        <v>464.51612903225805</v>
      </c>
      <c r="J2511" s="16" t="s">
        <v>201</v>
      </c>
      <c r="K2511" s="15"/>
      <c r="L2511" s="15"/>
      <c r="M2511" s="17"/>
      <c r="N2511" s="9"/>
      <c r="O2511" s="18">
        <f t="shared" si="715"/>
        <v>0</v>
      </c>
      <c r="P2511" s="9"/>
      <c r="Q2511" s="9"/>
      <c r="R2511" s="85">
        <v>0</v>
      </c>
      <c r="S2511" s="10">
        <f t="shared" si="713"/>
        <v>464.51612903225805</v>
      </c>
    </row>
    <row r="2512" spans="2:19" outlineLevel="1">
      <c r="B2512" s="13" t="s">
        <v>168</v>
      </c>
      <c r="C2512" s="7" t="str">
        <f t="shared" si="711"/>
        <v xml:space="preserve">ROLO KIT PATA LIUGONG CHASSIS RR063835 ANO 2024 </v>
      </c>
      <c r="D2512" s="8">
        <f t="shared" si="710"/>
        <v>46095</v>
      </c>
      <c r="E2512" s="15"/>
      <c r="F2512" s="15"/>
      <c r="G2512" s="15">
        <f t="shared" si="712"/>
        <v>0</v>
      </c>
      <c r="H2512" s="16" t="s">
        <v>6</v>
      </c>
      <c r="I2512" s="10">
        <f t="shared" si="714"/>
        <v>464.51612903225805</v>
      </c>
      <c r="J2512" s="16" t="s">
        <v>201</v>
      </c>
      <c r="K2512" s="15"/>
      <c r="L2512" s="15"/>
      <c r="M2512" s="17"/>
      <c r="N2512" s="9"/>
      <c r="O2512" s="18">
        <f t="shared" si="715"/>
        <v>0</v>
      </c>
      <c r="P2512" s="9"/>
      <c r="Q2512" s="9"/>
      <c r="R2512" s="85">
        <v>0</v>
      </c>
      <c r="S2512" s="10">
        <f t="shared" si="713"/>
        <v>464.51612903225805</v>
      </c>
    </row>
    <row r="2513" spans="2:19" outlineLevel="1">
      <c r="B2513" s="13" t="s">
        <v>168</v>
      </c>
      <c r="C2513" s="7" t="str">
        <f t="shared" si="711"/>
        <v xml:space="preserve">ROLO KIT PATA LIUGONG CHASSIS RR063835 ANO 2024 </v>
      </c>
      <c r="D2513" s="8">
        <f t="shared" si="710"/>
        <v>46096</v>
      </c>
      <c r="E2513" s="15"/>
      <c r="F2513" s="15"/>
      <c r="G2513" s="15">
        <f t="shared" si="712"/>
        <v>0</v>
      </c>
      <c r="H2513" s="16" t="s">
        <v>6</v>
      </c>
      <c r="I2513" s="10">
        <f t="shared" si="714"/>
        <v>464.51612903225805</v>
      </c>
      <c r="J2513" s="16" t="s">
        <v>201</v>
      </c>
      <c r="K2513" s="15"/>
      <c r="L2513" s="15"/>
      <c r="M2513" s="17"/>
      <c r="N2513" s="9"/>
      <c r="O2513" s="18">
        <f t="shared" si="715"/>
        <v>0</v>
      </c>
      <c r="P2513" s="9"/>
      <c r="Q2513" s="9"/>
      <c r="R2513" s="85">
        <v>0</v>
      </c>
      <c r="S2513" s="10">
        <f t="shared" si="713"/>
        <v>464.51612903225805</v>
      </c>
    </row>
    <row r="2514" spans="2:19" outlineLevel="1">
      <c r="B2514" s="13" t="s">
        <v>168</v>
      </c>
      <c r="C2514" s="7" t="str">
        <f t="shared" si="711"/>
        <v xml:space="preserve">ROLO KIT PATA LIUGONG CHASSIS RR063835 ANO 2024 </v>
      </c>
      <c r="D2514" s="8">
        <f t="shared" si="710"/>
        <v>46097</v>
      </c>
      <c r="E2514" s="15"/>
      <c r="F2514" s="15"/>
      <c r="G2514" s="15">
        <f t="shared" si="712"/>
        <v>0</v>
      </c>
      <c r="H2514" s="16" t="s">
        <v>6</v>
      </c>
      <c r="I2514" s="10">
        <f t="shared" si="714"/>
        <v>464.51612903225805</v>
      </c>
      <c r="J2514" s="16" t="s">
        <v>201</v>
      </c>
      <c r="K2514" s="15"/>
      <c r="L2514" s="15"/>
      <c r="M2514" s="17"/>
      <c r="N2514" s="9"/>
      <c r="O2514" s="18">
        <f t="shared" si="715"/>
        <v>0</v>
      </c>
      <c r="P2514" s="9"/>
      <c r="Q2514" s="9"/>
      <c r="R2514" s="85">
        <v>0</v>
      </c>
      <c r="S2514" s="10">
        <f t="shared" si="713"/>
        <v>464.51612903225805</v>
      </c>
    </row>
    <row r="2515" spans="2:19" outlineLevel="1">
      <c r="B2515" s="13" t="s">
        <v>168</v>
      </c>
      <c r="C2515" s="7" t="str">
        <f t="shared" si="711"/>
        <v xml:space="preserve">ROLO KIT PATA LIUGONG CHASSIS RR063835 ANO 2024 </v>
      </c>
      <c r="D2515" s="8">
        <f t="shared" si="710"/>
        <v>46098</v>
      </c>
      <c r="E2515" s="15"/>
      <c r="F2515" s="15"/>
      <c r="G2515" s="15">
        <f t="shared" si="712"/>
        <v>0</v>
      </c>
      <c r="H2515" s="16" t="s">
        <v>6</v>
      </c>
      <c r="I2515" s="10">
        <f t="shared" si="714"/>
        <v>464.51612903225805</v>
      </c>
      <c r="J2515" s="16" t="s">
        <v>201</v>
      </c>
      <c r="K2515" s="15"/>
      <c r="L2515" s="15"/>
      <c r="M2515" s="17"/>
      <c r="N2515" s="9"/>
      <c r="O2515" s="18">
        <f t="shared" si="715"/>
        <v>0</v>
      </c>
      <c r="P2515" s="9"/>
      <c r="Q2515" s="9"/>
      <c r="R2515" s="85">
        <v>0</v>
      </c>
      <c r="S2515" s="10">
        <f t="shared" si="713"/>
        <v>464.51612903225805</v>
      </c>
    </row>
    <row r="2516" spans="2:19" outlineLevel="1">
      <c r="B2516" s="13" t="s">
        <v>168</v>
      </c>
      <c r="C2516" s="7" t="str">
        <f t="shared" si="711"/>
        <v xml:space="preserve">ROLO KIT PATA LIUGONG CHASSIS RR063835 ANO 2024 </v>
      </c>
      <c r="D2516" s="8">
        <f t="shared" si="710"/>
        <v>46099</v>
      </c>
      <c r="E2516" s="15"/>
      <c r="F2516" s="15"/>
      <c r="G2516" s="15">
        <f t="shared" si="712"/>
        <v>0</v>
      </c>
      <c r="H2516" s="16" t="s">
        <v>6</v>
      </c>
      <c r="I2516" s="10">
        <f t="shared" si="714"/>
        <v>464.51612903225805</v>
      </c>
      <c r="J2516" s="16" t="s">
        <v>201</v>
      </c>
      <c r="K2516" s="15"/>
      <c r="L2516" s="15"/>
      <c r="M2516" s="17"/>
      <c r="N2516" s="9"/>
      <c r="O2516" s="18">
        <f t="shared" si="715"/>
        <v>0</v>
      </c>
      <c r="P2516" s="9"/>
      <c r="Q2516" s="9"/>
      <c r="R2516" s="85">
        <v>0</v>
      </c>
      <c r="S2516" s="10">
        <f t="shared" si="713"/>
        <v>464.51612903225805</v>
      </c>
    </row>
    <row r="2517" spans="2:19" outlineLevel="1">
      <c r="B2517" s="13" t="s">
        <v>168</v>
      </c>
      <c r="C2517" s="7" t="str">
        <f t="shared" si="711"/>
        <v xml:space="preserve">ROLO KIT PATA LIUGONG CHASSIS RR063835 ANO 2024 </v>
      </c>
      <c r="D2517" s="8">
        <f t="shared" si="710"/>
        <v>46100</v>
      </c>
      <c r="E2517" s="15"/>
      <c r="F2517" s="15"/>
      <c r="G2517" s="15">
        <f t="shared" si="712"/>
        <v>0</v>
      </c>
      <c r="H2517" s="16" t="s">
        <v>6</v>
      </c>
      <c r="I2517" s="10">
        <f t="shared" si="714"/>
        <v>464.51612903225805</v>
      </c>
      <c r="J2517" s="16" t="s">
        <v>201</v>
      </c>
      <c r="K2517" s="15"/>
      <c r="L2517" s="15"/>
      <c r="M2517" s="17"/>
      <c r="N2517" s="9"/>
      <c r="O2517" s="18">
        <f t="shared" si="715"/>
        <v>0</v>
      </c>
      <c r="P2517" s="9"/>
      <c r="Q2517" s="9"/>
      <c r="R2517" s="85">
        <v>0</v>
      </c>
      <c r="S2517" s="10">
        <f t="shared" si="713"/>
        <v>464.51612903225805</v>
      </c>
    </row>
    <row r="2518" spans="2:19" outlineLevel="1">
      <c r="B2518" s="13" t="s">
        <v>168</v>
      </c>
      <c r="C2518" s="7" t="str">
        <f t="shared" si="711"/>
        <v xml:space="preserve">ROLO KIT PATA LIUGONG CHASSIS RR063835 ANO 2024 </v>
      </c>
      <c r="D2518" s="8">
        <f t="shared" si="710"/>
        <v>46101</v>
      </c>
      <c r="E2518" s="15"/>
      <c r="F2518" s="15"/>
      <c r="G2518" s="15">
        <f t="shared" si="712"/>
        <v>0</v>
      </c>
      <c r="H2518" s="16" t="s">
        <v>6</v>
      </c>
      <c r="I2518" s="10">
        <f t="shared" si="714"/>
        <v>464.51612903225805</v>
      </c>
      <c r="J2518" s="16" t="s">
        <v>201</v>
      </c>
      <c r="K2518" s="15"/>
      <c r="L2518" s="15"/>
      <c r="M2518" s="17"/>
      <c r="N2518" s="9"/>
      <c r="O2518" s="18">
        <f t="shared" si="715"/>
        <v>0</v>
      </c>
      <c r="P2518" s="9"/>
      <c r="Q2518" s="9"/>
      <c r="R2518" s="85">
        <v>0</v>
      </c>
      <c r="S2518" s="10">
        <f t="shared" si="713"/>
        <v>464.51612903225805</v>
      </c>
    </row>
    <row r="2519" spans="2:19" outlineLevel="1">
      <c r="B2519" s="13" t="s">
        <v>168</v>
      </c>
      <c r="C2519" s="7" t="str">
        <f t="shared" si="711"/>
        <v xml:space="preserve">ROLO KIT PATA LIUGONG CHASSIS RR063835 ANO 2024 </v>
      </c>
      <c r="D2519" s="8">
        <f t="shared" si="710"/>
        <v>46102</v>
      </c>
      <c r="E2519" s="15"/>
      <c r="F2519" s="15"/>
      <c r="G2519" s="15">
        <f t="shared" si="712"/>
        <v>0</v>
      </c>
      <c r="H2519" s="16" t="s">
        <v>6</v>
      </c>
      <c r="I2519" s="10">
        <f t="shared" si="714"/>
        <v>464.51612903225805</v>
      </c>
      <c r="J2519" s="16" t="s">
        <v>201</v>
      </c>
      <c r="K2519" s="15"/>
      <c r="L2519" s="15"/>
      <c r="M2519" s="17"/>
      <c r="N2519" s="9"/>
      <c r="O2519" s="18">
        <f t="shared" si="715"/>
        <v>0</v>
      </c>
      <c r="P2519" s="9"/>
      <c r="Q2519" s="9"/>
      <c r="R2519" s="85">
        <v>0</v>
      </c>
      <c r="S2519" s="10">
        <f t="shared" si="713"/>
        <v>464.51612903225805</v>
      </c>
    </row>
    <row r="2520" spans="2:19" outlineLevel="1">
      <c r="B2520" s="13" t="s">
        <v>168</v>
      </c>
      <c r="C2520" s="7" t="str">
        <f t="shared" si="711"/>
        <v xml:space="preserve">ROLO KIT PATA LIUGONG CHASSIS RR063835 ANO 2024 </v>
      </c>
      <c r="D2520" s="8">
        <f t="shared" si="710"/>
        <v>46103</v>
      </c>
      <c r="E2520" s="15"/>
      <c r="F2520" s="15"/>
      <c r="G2520" s="15">
        <f t="shared" si="712"/>
        <v>0</v>
      </c>
      <c r="H2520" s="16" t="s">
        <v>6</v>
      </c>
      <c r="I2520" s="10">
        <f t="shared" si="714"/>
        <v>464.51612903225805</v>
      </c>
      <c r="J2520" s="16" t="s">
        <v>201</v>
      </c>
      <c r="K2520" s="15"/>
      <c r="L2520" s="15"/>
      <c r="M2520" s="17"/>
      <c r="N2520" s="9"/>
      <c r="O2520" s="18">
        <f t="shared" si="715"/>
        <v>0</v>
      </c>
      <c r="P2520" s="9"/>
      <c r="Q2520" s="9"/>
      <c r="R2520" s="85">
        <v>0</v>
      </c>
      <c r="S2520" s="10">
        <f t="shared" si="713"/>
        <v>464.51612903225805</v>
      </c>
    </row>
    <row r="2521" spans="2:19" outlineLevel="1">
      <c r="B2521" s="13" t="s">
        <v>168</v>
      </c>
      <c r="C2521" s="7" t="str">
        <f t="shared" si="711"/>
        <v xml:space="preserve">ROLO KIT PATA LIUGONG CHASSIS RR063835 ANO 2024 </v>
      </c>
      <c r="D2521" s="8">
        <f t="shared" si="710"/>
        <v>46104</v>
      </c>
      <c r="E2521" s="15"/>
      <c r="F2521" s="15"/>
      <c r="G2521" s="15">
        <f t="shared" si="712"/>
        <v>0</v>
      </c>
      <c r="H2521" s="16" t="s">
        <v>6</v>
      </c>
      <c r="I2521" s="10">
        <f t="shared" si="714"/>
        <v>464.51612903225805</v>
      </c>
      <c r="J2521" s="16" t="s">
        <v>201</v>
      </c>
      <c r="K2521" s="15"/>
      <c r="L2521" s="15"/>
      <c r="M2521" s="17"/>
      <c r="N2521" s="9"/>
      <c r="O2521" s="18">
        <f t="shared" si="715"/>
        <v>0</v>
      </c>
      <c r="P2521" s="9"/>
      <c r="Q2521" s="9"/>
      <c r="R2521" s="85">
        <v>0</v>
      </c>
      <c r="S2521" s="10">
        <f t="shared" si="713"/>
        <v>464.51612903225805</v>
      </c>
    </row>
    <row r="2522" spans="2:19" outlineLevel="1">
      <c r="B2522" s="13" t="s">
        <v>168</v>
      </c>
      <c r="C2522" s="7" t="str">
        <f t="shared" si="711"/>
        <v xml:space="preserve">ROLO KIT PATA LIUGONG CHASSIS RR063835 ANO 2024 </v>
      </c>
      <c r="D2522" s="8">
        <f t="shared" si="710"/>
        <v>46105</v>
      </c>
      <c r="E2522" s="15"/>
      <c r="F2522" s="15"/>
      <c r="G2522" s="15">
        <f t="shared" si="712"/>
        <v>0</v>
      </c>
      <c r="H2522" s="16" t="s">
        <v>6</v>
      </c>
      <c r="I2522" s="10">
        <f t="shared" si="714"/>
        <v>464.51612903225805</v>
      </c>
      <c r="J2522" s="16" t="s">
        <v>201</v>
      </c>
      <c r="K2522" s="15"/>
      <c r="L2522" s="15"/>
      <c r="M2522" s="17"/>
      <c r="N2522" s="9"/>
      <c r="O2522" s="18">
        <f t="shared" si="715"/>
        <v>0</v>
      </c>
      <c r="P2522" s="9"/>
      <c r="Q2522" s="9"/>
      <c r="R2522" s="85">
        <v>0</v>
      </c>
      <c r="S2522" s="10">
        <f t="shared" si="713"/>
        <v>464.51612903225805</v>
      </c>
    </row>
    <row r="2523" spans="2:19" outlineLevel="1">
      <c r="B2523" s="13" t="s">
        <v>168</v>
      </c>
      <c r="C2523" s="7" t="str">
        <f t="shared" si="711"/>
        <v xml:space="preserve">ROLO KIT PATA LIUGONG CHASSIS RR063835 ANO 2024 </v>
      </c>
      <c r="D2523" s="8">
        <f t="shared" si="710"/>
        <v>46106</v>
      </c>
      <c r="E2523" s="15"/>
      <c r="F2523" s="15"/>
      <c r="G2523" s="15">
        <f t="shared" si="712"/>
        <v>0</v>
      </c>
      <c r="H2523" s="16" t="s">
        <v>6</v>
      </c>
      <c r="I2523" s="10">
        <f t="shared" si="714"/>
        <v>464.51612903225805</v>
      </c>
      <c r="J2523" s="16" t="s">
        <v>201</v>
      </c>
      <c r="K2523" s="15"/>
      <c r="L2523" s="15"/>
      <c r="M2523" s="17"/>
      <c r="N2523" s="9"/>
      <c r="O2523" s="18">
        <f t="shared" si="715"/>
        <v>0</v>
      </c>
      <c r="P2523" s="9"/>
      <c r="Q2523" s="9"/>
      <c r="R2523" s="85">
        <v>0</v>
      </c>
      <c r="S2523" s="10">
        <f t="shared" si="713"/>
        <v>464.51612903225805</v>
      </c>
    </row>
    <row r="2524" spans="2:19" outlineLevel="1">
      <c r="B2524" s="13" t="s">
        <v>168</v>
      </c>
      <c r="C2524" s="7" t="str">
        <f t="shared" si="711"/>
        <v xml:space="preserve">ROLO KIT PATA LIUGONG CHASSIS RR063835 ANO 2024 </v>
      </c>
      <c r="D2524" s="8">
        <f t="shared" si="710"/>
        <v>46107</v>
      </c>
      <c r="E2524" s="15"/>
      <c r="F2524" s="15"/>
      <c r="G2524" s="15">
        <f t="shared" si="712"/>
        <v>0</v>
      </c>
      <c r="H2524" s="16" t="s">
        <v>6</v>
      </c>
      <c r="I2524" s="10">
        <f t="shared" si="714"/>
        <v>464.51612903225805</v>
      </c>
      <c r="J2524" s="16" t="s">
        <v>201</v>
      </c>
      <c r="K2524" s="15"/>
      <c r="L2524" s="15"/>
      <c r="M2524" s="17"/>
      <c r="N2524" s="9"/>
      <c r="O2524" s="18">
        <f t="shared" si="715"/>
        <v>0</v>
      </c>
      <c r="P2524" s="9"/>
      <c r="Q2524" s="9"/>
      <c r="R2524" s="85">
        <v>0</v>
      </c>
      <c r="S2524" s="10">
        <f t="shared" si="713"/>
        <v>464.51612903225805</v>
      </c>
    </row>
    <row r="2525" spans="2:19" outlineLevel="1">
      <c r="B2525" s="13" t="s">
        <v>168</v>
      </c>
      <c r="C2525" s="7" t="str">
        <f t="shared" si="711"/>
        <v xml:space="preserve">ROLO KIT PATA LIUGONG CHASSIS RR063835 ANO 2024 </v>
      </c>
      <c r="D2525" s="8">
        <f t="shared" si="710"/>
        <v>46108</v>
      </c>
      <c r="E2525" s="15"/>
      <c r="F2525" s="15"/>
      <c r="G2525" s="15">
        <f t="shared" si="712"/>
        <v>0</v>
      </c>
      <c r="H2525" s="16" t="s">
        <v>6</v>
      </c>
      <c r="I2525" s="10">
        <f t="shared" si="714"/>
        <v>464.51612903225805</v>
      </c>
      <c r="J2525" s="16" t="s">
        <v>201</v>
      </c>
      <c r="K2525" s="15"/>
      <c r="L2525" s="15"/>
      <c r="M2525" s="17"/>
      <c r="N2525" s="9"/>
      <c r="O2525" s="18">
        <f t="shared" si="715"/>
        <v>0</v>
      </c>
      <c r="P2525" s="9"/>
      <c r="Q2525" s="9"/>
      <c r="R2525" s="85">
        <v>0</v>
      </c>
      <c r="S2525" s="10">
        <f t="shared" si="713"/>
        <v>464.51612903225805</v>
      </c>
    </row>
    <row r="2526" spans="2:19" outlineLevel="1">
      <c r="B2526" s="13" t="s">
        <v>168</v>
      </c>
      <c r="C2526" s="7" t="str">
        <f t="shared" si="711"/>
        <v xml:space="preserve">ROLO KIT PATA LIUGONG CHASSIS RR063835 ANO 2024 </v>
      </c>
      <c r="D2526" s="8">
        <f t="shared" ref="D2526" si="716">D2458</f>
        <v>46109</v>
      </c>
      <c r="E2526" s="15"/>
      <c r="F2526" s="15"/>
      <c r="G2526" s="15">
        <f t="shared" ref="G2526:G2528" si="717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8">SUM(R2526+Q2526+I2526)</f>
        <v>464.51612903225805</v>
      </c>
    </row>
    <row r="2527" spans="2:19" outlineLevel="1">
      <c r="B2527" s="13" t="s">
        <v>168</v>
      </c>
      <c r="C2527" s="7" t="str">
        <f t="shared" si="711"/>
        <v xml:space="preserve">ROLO KIT PATA LIUGONG CHASSIS RR063835 ANO 2024 </v>
      </c>
      <c r="D2527" s="8">
        <f t="shared" ref="D2527:D2529" si="719">D2459</f>
        <v>46110</v>
      </c>
      <c r="E2527" s="15"/>
      <c r="F2527" s="15"/>
      <c r="G2527" s="15">
        <f t="shared" si="717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8"/>
        <v>464.51612903225805</v>
      </c>
    </row>
    <row r="2528" spans="2:19" outlineLevel="1">
      <c r="B2528" s="13" t="s">
        <v>168</v>
      </c>
      <c r="C2528" s="7" t="str">
        <f t="shared" si="711"/>
        <v xml:space="preserve">ROLO KIT PATA LIUGONG CHASSIS RR063835 ANO 2024 </v>
      </c>
      <c r="D2528" s="8">
        <f t="shared" si="719"/>
        <v>46111</v>
      </c>
      <c r="E2528" s="15"/>
      <c r="F2528" s="15"/>
      <c r="G2528" s="15">
        <f t="shared" si="717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8"/>
        <v>464.51612903225805</v>
      </c>
    </row>
    <row r="2529" spans="2:19" outlineLevel="1">
      <c r="B2529" s="13" t="s">
        <v>168</v>
      </c>
      <c r="C2529" s="7" t="str">
        <f t="shared" si="711"/>
        <v xml:space="preserve">ROLO KIT PATA LIUGONG CHASSIS RR063835 ANO 2024 </v>
      </c>
      <c r="D2529" s="8">
        <f t="shared" si="719"/>
        <v>46112</v>
      </c>
      <c r="E2529" s="15"/>
      <c r="F2529" s="15"/>
      <c r="G2529" s="15">
        <f t="shared" si="712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3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264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0">D2465</f>
        <v>46082</v>
      </c>
      <c r="E2533" s="15"/>
      <c r="F2533" s="15"/>
      <c r="G2533" s="15">
        <f>F2533-E2533</f>
        <v>0</v>
      </c>
      <c r="H2533" s="16" t="s">
        <v>261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1">C$2531</f>
        <v>VIBRO VOGELE SUPER 1303 CHASSIS 23110044</v>
      </c>
      <c r="D2534" s="8">
        <f t="shared" si="720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261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2">SUM(R2534+Q2534+I2534)</f>
        <v>464.51612903225805</v>
      </c>
    </row>
    <row r="2535" spans="2:19" outlineLevel="1">
      <c r="B2535" s="13" t="s">
        <v>170</v>
      </c>
      <c r="C2535" s="7" t="str">
        <f t="shared" si="721"/>
        <v>VIBRO VOGELE SUPER 1303 CHASSIS 23110044</v>
      </c>
      <c r="D2535" s="8">
        <f t="shared" si="720"/>
        <v>46084</v>
      </c>
      <c r="E2535" s="15"/>
      <c r="F2535" s="15"/>
      <c r="G2535" s="15">
        <f t="shared" ref="G2535:G2563" si="723">F2535-E2535</f>
        <v>0</v>
      </c>
      <c r="H2535" s="16" t="s">
        <v>261</v>
      </c>
      <c r="I2535" s="10">
        <f t="shared" ref="I2535:I2559" si="724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2"/>
        <v>464.51612903225805</v>
      </c>
    </row>
    <row r="2536" spans="2:19" outlineLevel="1">
      <c r="B2536" s="13" t="s">
        <v>170</v>
      </c>
      <c r="C2536" s="7" t="str">
        <f t="shared" si="721"/>
        <v>VIBRO VOGELE SUPER 1303 CHASSIS 23110044</v>
      </c>
      <c r="D2536" s="8">
        <f t="shared" si="720"/>
        <v>46085</v>
      </c>
      <c r="E2536" s="15">
        <v>1253.7</v>
      </c>
      <c r="F2536" s="15">
        <v>1258.4000000000001</v>
      </c>
      <c r="G2536" s="15">
        <f t="shared" si="723"/>
        <v>4.7000000000000455</v>
      </c>
      <c r="H2536" s="16" t="s">
        <v>261</v>
      </c>
      <c r="I2536" s="10">
        <f t="shared" si="724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2"/>
        <v>464.51612903225805</v>
      </c>
    </row>
    <row r="2537" spans="2:19" outlineLevel="1">
      <c r="B2537" s="13" t="s">
        <v>170</v>
      </c>
      <c r="C2537" s="7" t="str">
        <f t="shared" si="721"/>
        <v>VIBRO VOGELE SUPER 1303 CHASSIS 23110044</v>
      </c>
      <c r="D2537" s="8">
        <f t="shared" si="720"/>
        <v>46086</v>
      </c>
      <c r="E2537" s="15">
        <v>1258.4000000000001</v>
      </c>
      <c r="F2537" s="15">
        <v>1262.9000000000001</v>
      </c>
      <c r="G2537" s="15">
        <f t="shared" si="723"/>
        <v>4.5</v>
      </c>
      <c r="H2537" s="16" t="s">
        <v>261</v>
      </c>
      <c r="I2537" s="10">
        <f t="shared" si="724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2"/>
        <v>464.51612903225805</v>
      </c>
    </row>
    <row r="2538" spans="2:19" outlineLevel="1">
      <c r="B2538" s="13" t="s">
        <v>170</v>
      </c>
      <c r="C2538" s="7" t="str">
        <f t="shared" si="721"/>
        <v>VIBRO VOGELE SUPER 1303 CHASSIS 23110044</v>
      </c>
      <c r="D2538" s="8">
        <f t="shared" si="720"/>
        <v>46087</v>
      </c>
      <c r="E2538" s="15">
        <v>1262.9000000000001</v>
      </c>
      <c r="F2538" s="15">
        <v>1266.4000000000001</v>
      </c>
      <c r="G2538" s="15">
        <f t="shared" si="723"/>
        <v>3.5</v>
      </c>
      <c r="H2538" s="16" t="s">
        <v>261</v>
      </c>
      <c r="I2538" s="10">
        <f t="shared" si="724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2"/>
        <v>464.51612903225805</v>
      </c>
    </row>
    <row r="2539" spans="2:19" outlineLevel="1">
      <c r="B2539" s="13" t="s">
        <v>170</v>
      </c>
      <c r="C2539" s="7" t="str">
        <f t="shared" si="721"/>
        <v>VIBRO VOGELE SUPER 1303 CHASSIS 23110044</v>
      </c>
      <c r="D2539" s="8">
        <f t="shared" si="720"/>
        <v>46088</v>
      </c>
      <c r="E2539" s="15"/>
      <c r="F2539" s="15"/>
      <c r="G2539" s="15">
        <f t="shared" si="723"/>
        <v>0</v>
      </c>
      <c r="H2539" s="16" t="s">
        <v>261</v>
      </c>
      <c r="I2539" s="10">
        <f t="shared" si="724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2"/>
        <v>464.51612903225805</v>
      </c>
    </row>
    <row r="2540" spans="2:19" outlineLevel="1">
      <c r="B2540" s="13" t="s">
        <v>170</v>
      </c>
      <c r="C2540" s="7" t="str">
        <f t="shared" si="721"/>
        <v>VIBRO VOGELE SUPER 1303 CHASSIS 23110044</v>
      </c>
      <c r="D2540" s="8">
        <f t="shared" si="720"/>
        <v>46089</v>
      </c>
      <c r="E2540" s="15"/>
      <c r="F2540" s="15"/>
      <c r="G2540" s="15">
        <f t="shared" si="723"/>
        <v>0</v>
      </c>
      <c r="H2540" s="16" t="s">
        <v>261</v>
      </c>
      <c r="I2540" s="10">
        <f t="shared" si="724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2"/>
        <v>464.51612903225805</v>
      </c>
    </row>
    <row r="2541" spans="2:19" outlineLevel="1">
      <c r="B2541" s="13" t="s">
        <v>170</v>
      </c>
      <c r="C2541" s="7" t="str">
        <f t="shared" si="721"/>
        <v>VIBRO VOGELE SUPER 1303 CHASSIS 23110044</v>
      </c>
      <c r="D2541" s="8">
        <f t="shared" si="720"/>
        <v>46090</v>
      </c>
      <c r="E2541" s="15"/>
      <c r="F2541" s="15"/>
      <c r="G2541" s="15">
        <f t="shared" si="723"/>
        <v>0</v>
      </c>
      <c r="H2541" s="16" t="s">
        <v>261</v>
      </c>
      <c r="I2541" s="10">
        <f t="shared" si="724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2"/>
        <v>464.51612903225805</v>
      </c>
    </row>
    <row r="2542" spans="2:19" outlineLevel="1">
      <c r="B2542" s="13" t="s">
        <v>170</v>
      </c>
      <c r="C2542" s="7" t="str">
        <f t="shared" si="721"/>
        <v>VIBRO VOGELE SUPER 1303 CHASSIS 23110044</v>
      </c>
      <c r="D2542" s="8">
        <f t="shared" si="720"/>
        <v>46091</v>
      </c>
      <c r="E2542" s="15"/>
      <c r="F2542" s="15"/>
      <c r="G2542" s="15">
        <f t="shared" si="723"/>
        <v>0</v>
      </c>
      <c r="H2542" s="16" t="s">
        <v>261</v>
      </c>
      <c r="I2542" s="10">
        <f t="shared" si="724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2"/>
        <v>464.51612903225805</v>
      </c>
    </row>
    <row r="2543" spans="2:19" outlineLevel="1">
      <c r="B2543" s="13" t="s">
        <v>170</v>
      </c>
      <c r="C2543" s="7" t="str">
        <f t="shared" si="721"/>
        <v>VIBRO VOGELE SUPER 1303 CHASSIS 23110044</v>
      </c>
      <c r="D2543" s="8">
        <f t="shared" si="720"/>
        <v>46092</v>
      </c>
      <c r="E2543" s="15"/>
      <c r="F2543" s="15"/>
      <c r="G2543" s="15">
        <f t="shared" si="723"/>
        <v>0</v>
      </c>
      <c r="H2543" s="16" t="s">
        <v>261</v>
      </c>
      <c r="I2543" s="10">
        <f t="shared" si="724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2"/>
        <v>464.51612903225805</v>
      </c>
    </row>
    <row r="2544" spans="2:19" outlineLevel="1">
      <c r="B2544" s="13" t="s">
        <v>170</v>
      </c>
      <c r="C2544" s="7" t="str">
        <f t="shared" si="721"/>
        <v>VIBRO VOGELE SUPER 1303 CHASSIS 23110044</v>
      </c>
      <c r="D2544" s="8">
        <f t="shared" si="720"/>
        <v>46093</v>
      </c>
      <c r="E2544" s="15"/>
      <c r="F2544" s="15"/>
      <c r="G2544" s="15">
        <f t="shared" si="723"/>
        <v>0</v>
      </c>
      <c r="H2544" s="16" t="s">
        <v>261</v>
      </c>
      <c r="I2544" s="10">
        <f t="shared" si="724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2"/>
        <v>464.51612903225805</v>
      </c>
    </row>
    <row r="2545" spans="2:19" outlineLevel="1">
      <c r="B2545" s="13" t="s">
        <v>170</v>
      </c>
      <c r="C2545" s="7" t="str">
        <f t="shared" si="721"/>
        <v>VIBRO VOGELE SUPER 1303 CHASSIS 23110044</v>
      </c>
      <c r="D2545" s="8">
        <f t="shared" si="720"/>
        <v>46094</v>
      </c>
      <c r="E2545" s="15"/>
      <c r="F2545" s="15"/>
      <c r="G2545" s="15">
        <f t="shared" si="723"/>
        <v>0</v>
      </c>
      <c r="H2545" s="16" t="s">
        <v>261</v>
      </c>
      <c r="I2545" s="10">
        <f t="shared" si="724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2"/>
        <v>464.51612903225805</v>
      </c>
    </row>
    <row r="2546" spans="2:19" outlineLevel="1">
      <c r="B2546" s="13" t="s">
        <v>170</v>
      </c>
      <c r="C2546" s="7" t="str">
        <f t="shared" si="721"/>
        <v>VIBRO VOGELE SUPER 1303 CHASSIS 23110044</v>
      </c>
      <c r="D2546" s="8">
        <f t="shared" si="720"/>
        <v>46095</v>
      </c>
      <c r="E2546" s="15"/>
      <c r="F2546" s="15"/>
      <c r="G2546" s="15">
        <f t="shared" si="723"/>
        <v>0</v>
      </c>
      <c r="H2546" s="16" t="s">
        <v>261</v>
      </c>
      <c r="I2546" s="10">
        <f t="shared" si="724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2"/>
        <v>464.51612903225805</v>
      </c>
    </row>
    <row r="2547" spans="2:19" outlineLevel="1">
      <c r="B2547" s="13" t="s">
        <v>170</v>
      </c>
      <c r="C2547" s="7" t="str">
        <f t="shared" si="721"/>
        <v>VIBRO VOGELE SUPER 1303 CHASSIS 23110044</v>
      </c>
      <c r="D2547" s="8">
        <f t="shared" si="720"/>
        <v>46096</v>
      </c>
      <c r="E2547" s="15"/>
      <c r="F2547" s="15"/>
      <c r="G2547" s="15">
        <f t="shared" si="723"/>
        <v>0</v>
      </c>
      <c r="H2547" s="16" t="s">
        <v>261</v>
      </c>
      <c r="I2547" s="10">
        <f t="shared" si="724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2"/>
        <v>464.51612903225805</v>
      </c>
    </row>
    <row r="2548" spans="2:19" outlineLevel="1">
      <c r="B2548" s="13" t="s">
        <v>170</v>
      </c>
      <c r="C2548" s="7" t="str">
        <f t="shared" si="721"/>
        <v>VIBRO VOGELE SUPER 1303 CHASSIS 23110044</v>
      </c>
      <c r="D2548" s="8">
        <f t="shared" si="720"/>
        <v>46097</v>
      </c>
      <c r="E2548" s="15"/>
      <c r="F2548" s="15"/>
      <c r="G2548" s="15">
        <f t="shared" si="723"/>
        <v>0</v>
      </c>
      <c r="H2548" s="16" t="s">
        <v>261</v>
      </c>
      <c r="I2548" s="10">
        <f t="shared" si="724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2"/>
        <v>464.51612903225805</v>
      </c>
    </row>
    <row r="2549" spans="2:19" outlineLevel="1">
      <c r="B2549" s="13" t="s">
        <v>170</v>
      </c>
      <c r="C2549" s="7" t="str">
        <f t="shared" si="721"/>
        <v>VIBRO VOGELE SUPER 1303 CHASSIS 23110044</v>
      </c>
      <c r="D2549" s="8">
        <f t="shared" si="720"/>
        <v>46098</v>
      </c>
      <c r="E2549" s="15"/>
      <c r="F2549" s="15"/>
      <c r="G2549" s="15">
        <f>F2549-E2549</f>
        <v>0</v>
      </c>
      <c r="H2549" s="16" t="s">
        <v>261</v>
      </c>
      <c r="I2549" s="10">
        <f t="shared" si="724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2"/>
        <v>464.51612903225805</v>
      </c>
    </row>
    <row r="2550" spans="2:19" outlineLevel="1">
      <c r="B2550" s="13" t="s">
        <v>170</v>
      </c>
      <c r="C2550" s="7" t="str">
        <f t="shared" si="721"/>
        <v>VIBRO VOGELE SUPER 1303 CHASSIS 23110044</v>
      </c>
      <c r="D2550" s="8">
        <f t="shared" si="720"/>
        <v>46099</v>
      </c>
      <c r="E2550" s="15"/>
      <c r="F2550" s="15"/>
      <c r="G2550" s="15">
        <f t="shared" si="723"/>
        <v>0</v>
      </c>
      <c r="H2550" s="16" t="s">
        <v>261</v>
      </c>
      <c r="I2550" s="10">
        <f t="shared" si="724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2"/>
        <v>464.51612903225805</v>
      </c>
    </row>
    <row r="2551" spans="2:19" outlineLevel="1">
      <c r="B2551" s="13" t="s">
        <v>170</v>
      </c>
      <c r="C2551" s="7" t="str">
        <f t="shared" si="721"/>
        <v>VIBRO VOGELE SUPER 1303 CHASSIS 23110044</v>
      </c>
      <c r="D2551" s="8">
        <f t="shared" si="720"/>
        <v>46100</v>
      </c>
      <c r="E2551" s="15"/>
      <c r="F2551" s="15"/>
      <c r="G2551" s="15">
        <f t="shared" si="723"/>
        <v>0</v>
      </c>
      <c r="H2551" s="16" t="s">
        <v>261</v>
      </c>
      <c r="I2551" s="10">
        <f t="shared" si="724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2"/>
        <v>464.51612903225805</v>
      </c>
    </row>
    <row r="2552" spans="2:19" outlineLevel="1">
      <c r="B2552" s="13" t="s">
        <v>170</v>
      </c>
      <c r="C2552" s="7" t="str">
        <f t="shared" si="721"/>
        <v>VIBRO VOGELE SUPER 1303 CHASSIS 23110044</v>
      </c>
      <c r="D2552" s="8">
        <f t="shared" si="720"/>
        <v>46101</v>
      </c>
      <c r="E2552" s="15"/>
      <c r="F2552" s="15"/>
      <c r="G2552" s="15">
        <f t="shared" si="723"/>
        <v>0</v>
      </c>
      <c r="H2552" s="16" t="s">
        <v>261</v>
      </c>
      <c r="I2552" s="10">
        <f t="shared" si="724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5">O2551</f>
        <v>0</v>
      </c>
      <c r="P2552" s="9"/>
      <c r="Q2552" s="9"/>
      <c r="R2552" s="72"/>
      <c r="S2552" s="10">
        <f t="shared" si="722"/>
        <v>464.51612903225805</v>
      </c>
    </row>
    <row r="2553" spans="2:19" outlineLevel="1">
      <c r="B2553" s="13" t="s">
        <v>170</v>
      </c>
      <c r="C2553" s="7" t="str">
        <f t="shared" si="721"/>
        <v>VIBRO VOGELE SUPER 1303 CHASSIS 23110044</v>
      </c>
      <c r="D2553" s="8">
        <f t="shared" si="720"/>
        <v>46102</v>
      </c>
      <c r="E2553" s="15"/>
      <c r="F2553" s="15"/>
      <c r="G2553" s="15">
        <f t="shared" si="723"/>
        <v>0</v>
      </c>
      <c r="H2553" s="16" t="s">
        <v>261</v>
      </c>
      <c r="I2553" s="10">
        <f t="shared" si="724"/>
        <v>464.51612903225805</v>
      </c>
      <c r="J2553" s="16" t="s">
        <v>16</v>
      </c>
      <c r="K2553" s="15"/>
      <c r="L2553" s="15"/>
      <c r="M2553" s="17"/>
      <c r="N2553" s="9"/>
      <c r="O2553" s="18">
        <f t="shared" si="725"/>
        <v>0</v>
      </c>
      <c r="P2553" s="9"/>
      <c r="Q2553" s="9"/>
      <c r="R2553" s="72"/>
      <c r="S2553" s="10">
        <f t="shared" si="722"/>
        <v>464.51612903225805</v>
      </c>
    </row>
    <row r="2554" spans="2:19" outlineLevel="1">
      <c r="B2554" s="13" t="s">
        <v>170</v>
      </c>
      <c r="C2554" s="7" t="str">
        <f t="shared" si="721"/>
        <v>VIBRO VOGELE SUPER 1303 CHASSIS 23110044</v>
      </c>
      <c r="D2554" s="8">
        <f t="shared" si="720"/>
        <v>46103</v>
      </c>
      <c r="E2554" s="15"/>
      <c r="F2554" s="15"/>
      <c r="G2554" s="15">
        <f t="shared" si="723"/>
        <v>0</v>
      </c>
      <c r="H2554" s="16" t="s">
        <v>261</v>
      </c>
      <c r="I2554" s="10">
        <f t="shared" si="724"/>
        <v>464.51612903225805</v>
      </c>
      <c r="J2554" s="16" t="s">
        <v>16</v>
      </c>
      <c r="K2554" s="15"/>
      <c r="L2554" s="15"/>
      <c r="M2554" s="17"/>
      <c r="N2554" s="9"/>
      <c r="O2554" s="18">
        <f t="shared" si="725"/>
        <v>0</v>
      </c>
      <c r="P2554" s="9"/>
      <c r="Q2554" s="9"/>
      <c r="R2554" s="72"/>
      <c r="S2554" s="10">
        <f t="shared" si="722"/>
        <v>464.51612903225805</v>
      </c>
    </row>
    <row r="2555" spans="2:19" outlineLevel="1">
      <c r="B2555" s="13" t="s">
        <v>170</v>
      </c>
      <c r="C2555" s="7" t="str">
        <f t="shared" si="721"/>
        <v>VIBRO VOGELE SUPER 1303 CHASSIS 23110044</v>
      </c>
      <c r="D2555" s="8">
        <f t="shared" si="720"/>
        <v>46104</v>
      </c>
      <c r="E2555" s="15"/>
      <c r="F2555" s="15"/>
      <c r="G2555" s="15">
        <f t="shared" si="723"/>
        <v>0</v>
      </c>
      <c r="H2555" s="16" t="s">
        <v>261</v>
      </c>
      <c r="I2555" s="10">
        <f t="shared" si="724"/>
        <v>464.51612903225805</v>
      </c>
      <c r="J2555" s="16" t="s">
        <v>16</v>
      </c>
      <c r="K2555" s="15"/>
      <c r="L2555" s="15"/>
      <c r="M2555" s="17"/>
      <c r="N2555" s="9"/>
      <c r="O2555" s="18">
        <f t="shared" si="725"/>
        <v>0</v>
      </c>
      <c r="P2555" s="9"/>
      <c r="Q2555" s="9"/>
      <c r="R2555" s="72"/>
      <c r="S2555" s="10">
        <f t="shared" si="722"/>
        <v>464.51612903225805</v>
      </c>
    </row>
    <row r="2556" spans="2:19" outlineLevel="1">
      <c r="B2556" s="13" t="s">
        <v>170</v>
      </c>
      <c r="C2556" s="7" t="str">
        <f t="shared" si="721"/>
        <v>VIBRO VOGELE SUPER 1303 CHASSIS 23110044</v>
      </c>
      <c r="D2556" s="8">
        <f t="shared" si="720"/>
        <v>46105</v>
      </c>
      <c r="E2556" s="15"/>
      <c r="F2556" s="15"/>
      <c r="G2556" s="15">
        <f t="shared" si="723"/>
        <v>0</v>
      </c>
      <c r="H2556" s="16" t="s">
        <v>261</v>
      </c>
      <c r="I2556" s="10">
        <f t="shared" si="724"/>
        <v>464.51612903225805</v>
      </c>
      <c r="J2556" s="16" t="s">
        <v>16</v>
      </c>
      <c r="K2556" s="15"/>
      <c r="L2556" s="15"/>
      <c r="M2556" s="17"/>
      <c r="N2556" s="9"/>
      <c r="O2556" s="18">
        <f t="shared" si="725"/>
        <v>0</v>
      </c>
      <c r="P2556" s="9"/>
      <c r="Q2556" s="9"/>
      <c r="R2556" s="72"/>
      <c r="S2556" s="10">
        <f t="shared" si="722"/>
        <v>464.51612903225805</v>
      </c>
    </row>
    <row r="2557" spans="2:19" outlineLevel="1">
      <c r="B2557" s="13" t="s">
        <v>170</v>
      </c>
      <c r="C2557" s="7" t="str">
        <f t="shared" si="721"/>
        <v>VIBRO VOGELE SUPER 1303 CHASSIS 23110044</v>
      </c>
      <c r="D2557" s="8">
        <f t="shared" si="720"/>
        <v>46106</v>
      </c>
      <c r="E2557" s="15"/>
      <c r="F2557" s="15"/>
      <c r="G2557" s="15">
        <f t="shared" si="723"/>
        <v>0</v>
      </c>
      <c r="H2557" s="16" t="s">
        <v>261</v>
      </c>
      <c r="I2557" s="10">
        <f t="shared" si="724"/>
        <v>464.51612903225805</v>
      </c>
      <c r="J2557" s="16" t="s">
        <v>16</v>
      </c>
      <c r="K2557" s="15"/>
      <c r="L2557" s="15"/>
      <c r="M2557" s="17"/>
      <c r="N2557" s="9"/>
      <c r="O2557" s="18">
        <f t="shared" si="725"/>
        <v>0</v>
      </c>
      <c r="P2557" s="9"/>
      <c r="Q2557" s="9"/>
      <c r="R2557" s="72"/>
      <c r="S2557" s="10">
        <f t="shared" si="722"/>
        <v>464.51612903225805</v>
      </c>
    </row>
    <row r="2558" spans="2:19" outlineLevel="1">
      <c r="B2558" s="13" t="s">
        <v>170</v>
      </c>
      <c r="C2558" s="7" t="str">
        <f t="shared" si="721"/>
        <v>VIBRO VOGELE SUPER 1303 CHASSIS 23110044</v>
      </c>
      <c r="D2558" s="8">
        <f t="shared" si="720"/>
        <v>46107</v>
      </c>
      <c r="E2558" s="15"/>
      <c r="F2558" s="15"/>
      <c r="G2558" s="15">
        <f t="shared" si="723"/>
        <v>0</v>
      </c>
      <c r="H2558" s="16" t="s">
        <v>261</v>
      </c>
      <c r="I2558" s="10">
        <f t="shared" si="724"/>
        <v>464.51612903225805</v>
      </c>
      <c r="J2558" s="16" t="s">
        <v>16</v>
      </c>
      <c r="K2558" s="15"/>
      <c r="L2558" s="15"/>
      <c r="M2558" s="17"/>
      <c r="N2558" s="9"/>
      <c r="O2558" s="18">
        <f t="shared" si="725"/>
        <v>0</v>
      </c>
      <c r="P2558" s="9"/>
      <c r="Q2558" s="9"/>
      <c r="R2558" s="72"/>
      <c r="S2558" s="10">
        <f t="shared" si="722"/>
        <v>464.51612903225805</v>
      </c>
    </row>
    <row r="2559" spans="2:19" outlineLevel="1">
      <c r="B2559" s="13" t="s">
        <v>170</v>
      </c>
      <c r="C2559" s="7" t="str">
        <f t="shared" si="721"/>
        <v>VIBRO VOGELE SUPER 1303 CHASSIS 23110044</v>
      </c>
      <c r="D2559" s="8">
        <f t="shared" si="720"/>
        <v>46108</v>
      </c>
      <c r="E2559" s="15"/>
      <c r="F2559" s="15"/>
      <c r="G2559" s="15">
        <f t="shared" si="723"/>
        <v>0</v>
      </c>
      <c r="H2559" s="16" t="s">
        <v>261</v>
      </c>
      <c r="I2559" s="10">
        <f t="shared" si="724"/>
        <v>464.51612903225805</v>
      </c>
      <c r="J2559" s="16" t="s">
        <v>16</v>
      </c>
      <c r="K2559" s="15"/>
      <c r="L2559" s="15"/>
      <c r="M2559" s="17"/>
      <c r="N2559" s="9"/>
      <c r="O2559" s="18">
        <f t="shared" si="725"/>
        <v>0</v>
      </c>
      <c r="P2559" s="9"/>
      <c r="Q2559" s="9"/>
      <c r="R2559" s="72"/>
      <c r="S2559" s="10">
        <f t="shared" si="722"/>
        <v>464.51612903225805</v>
      </c>
    </row>
    <row r="2560" spans="2:19" outlineLevel="1">
      <c r="B2560" s="13" t="s">
        <v>170</v>
      </c>
      <c r="C2560" s="7" t="str">
        <f t="shared" si="721"/>
        <v>VIBRO VOGELE SUPER 1303 CHASSIS 23110044</v>
      </c>
      <c r="D2560" s="8">
        <f t="shared" ref="D2560" si="726">D2492</f>
        <v>46109</v>
      </c>
      <c r="E2560" s="15"/>
      <c r="F2560" s="15"/>
      <c r="G2560" s="15">
        <f t="shared" si="723"/>
        <v>0</v>
      </c>
      <c r="H2560" s="16" t="s">
        <v>261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7">SUM(R2560+Q2560+I2560)</f>
        <v>464.51612903225805</v>
      </c>
    </row>
    <row r="2561" spans="2:19" outlineLevel="1">
      <c r="B2561" s="13" t="s">
        <v>170</v>
      </c>
      <c r="C2561" s="7" t="str">
        <f t="shared" si="721"/>
        <v>VIBRO VOGELE SUPER 1303 CHASSIS 23110044</v>
      </c>
      <c r="D2561" s="8">
        <f t="shared" ref="D2561:D2563" si="728">D2493</f>
        <v>46110</v>
      </c>
      <c r="E2561" s="15"/>
      <c r="F2561" s="15"/>
      <c r="G2561" s="15">
        <f t="shared" si="723"/>
        <v>0</v>
      </c>
      <c r="H2561" s="16" t="s">
        <v>261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7"/>
        <v>464.51612903225805</v>
      </c>
    </row>
    <row r="2562" spans="2:19" outlineLevel="1">
      <c r="B2562" s="13" t="s">
        <v>170</v>
      </c>
      <c r="C2562" s="7" t="str">
        <f t="shared" si="721"/>
        <v>VIBRO VOGELE SUPER 1303 CHASSIS 23110044</v>
      </c>
      <c r="D2562" s="8">
        <f t="shared" si="728"/>
        <v>46111</v>
      </c>
      <c r="E2562" s="15"/>
      <c r="F2562" s="15"/>
      <c r="G2562" s="15">
        <f t="shared" si="723"/>
        <v>0</v>
      </c>
      <c r="H2562" s="16" t="s">
        <v>261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7"/>
        <v>464.51612903225805</v>
      </c>
    </row>
    <row r="2563" spans="2:19" outlineLevel="1">
      <c r="B2563" s="13" t="s">
        <v>170</v>
      </c>
      <c r="C2563" s="7" t="str">
        <f t="shared" si="721"/>
        <v>VIBRO VOGELE SUPER 1303 CHASSIS 23110044</v>
      </c>
      <c r="D2563" s="8">
        <f t="shared" si="728"/>
        <v>46112</v>
      </c>
      <c r="E2563" s="15"/>
      <c r="F2563" s="15"/>
      <c r="G2563" s="15">
        <f t="shared" si="723"/>
        <v>0</v>
      </c>
      <c r="H2563" s="16" t="s">
        <v>261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2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252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29">D2499</f>
        <v>46082</v>
      </c>
      <c r="E2567" s="15"/>
      <c r="F2567" s="15"/>
      <c r="G2567" s="15"/>
      <c r="H2567" s="16" t="s">
        <v>261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0">C$2565</f>
        <v>ROLO COMPACTADOR HAMM HD90 CHASSIS A05138</v>
      </c>
      <c r="D2568" s="8">
        <f t="shared" si="729"/>
        <v>46083</v>
      </c>
      <c r="E2568" s="15">
        <v>1316.7</v>
      </c>
      <c r="F2568" s="15">
        <v>1320.5</v>
      </c>
      <c r="G2568" s="15"/>
      <c r="H2568" s="16" t="s">
        <v>261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1">SUM(R2568+Q2568+I2568)</f>
        <v>464.51612903225805</v>
      </c>
    </row>
    <row r="2569" spans="2:19" outlineLevel="1">
      <c r="B2569" s="13" t="s">
        <v>172</v>
      </c>
      <c r="C2569" s="7" t="str">
        <f t="shared" si="730"/>
        <v>ROLO COMPACTADOR HAMM HD90 CHASSIS A05138</v>
      </c>
      <c r="D2569" s="8">
        <f t="shared" si="729"/>
        <v>46084</v>
      </c>
      <c r="E2569" s="15">
        <v>1320.5</v>
      </c>
      <c r="F2569" s="15">
        <v>1323.9</v>
      </c>
      <c r="G2569" s="15"/>
      <c r="H2569" s="16" t="s">
        <v>261</v>
      </c>
      <c r="I2569" s="10">
        <f t="shared" ref="I2569:I2593" si="732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1"/>
        <v>464.51612903225805</v>
      </c>
    </row>
    <row r="2570" spans="2:19" outlineLevel="1">
      <c r="B2570" s="13" t="s">
        <v>172</v>
      </c>
      <c r="C2570" s="7" t="str">
        <f t="shared" si="730"/>
        <v>ROLO COMPACTADOR HAMM HD90 CHASSIS A05138</v>
      </c>
      <c r="D2570" s="8">
        <f t="shared" si="729"/>
        <v>46085</v>
      </c>
      <c r="E2570" s="15">
        <v>1323.9</v>
      </c>
      <c r="F2570" s="15">
        <v>1325.2</v>
      </c>
      <c r="G2570" s="15"/>
      <c r="H2570" s="16" t="s">
        <v>261</v>
      </c>
      <c r="I2570" s="10">
        <f t="shared" si="732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1"/>
        <v>464.51612903225805</v>
      </c>
    </row>
    <row r="2571" spans="2:19" outlineLevel="1">
      <c r="B2571" s="13" t="s">
        <v>172</v>
      </c>
      <c r="C2571" s="7" t="str">
        <f t="shared" si="730"/>
        <v>ROLO COMPACTADOR HAMM HD90 CHASSIS A05138</v>
      </c>
      <c r="D2571" s="8">
        <f t="shared" si="729"/>
        <v>46086</v>
      </c>
      <c r="E2571" s="15">
        <v>1325.2</v>
      </c>
      <c r="F2571" s="15">
        <v>1330.6</v>
      </c>
      <c r="G2571" s="15"/>
      <c r="H2571" s="16" t="s">
        <v>261</v>
      </c>
      <c r="I2571" s="10">
        <f t="shared" si="732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1"/>
        <v>464.51612903225805</v>
      </c>
    </row>
    <row r="2572" spans="2:19" outlineLevel="1">
      <c r="B2572" s="13" t="s">
        <v>172</v>
      </c>
      <c r="C2572" s="7" t="str">
        <f t="shared" si="730"/>
        <v>ROLO COMPACTADOR HAMM HD90 CHASSIS A05138</v>
      </c>
      <c r="D2572" s="8">
        <f t="shared" si="729"/>
        <v>46087</v>
      </c>
      <c r="E2572" s="15">
        <v>1330.6</v>
      </c>
      <c r="F2572" s="15">
        <v>1334</v>
      </c>
      <c r="G2572" s="15"/>
      <c r="H2572" s="16" t="s">
        <v>261</v>
      </c>
      <c r="I2572" s="10">
        <f t="shared" si="732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1"/>
        <v>464.51612903225805</v>
      </c>
    </row>
    <row r="2573" spans="2:19" outlineLevel="1">
      <c r="B2573" s="13" t="s">
        <v>172</v>
      </c>
      <c r="C2573" s="7" t="str">
        <f t="shared" si="730"/>
        <v>ROLO COMPACTADOR HAMM HD90 CHASSIS A05138</v>
      </c>
      <c r="D2573" s="8">
        <f t="shared" si="729"/>
        <v>46088</v>
      </c>
      <c r="E2573" s="15">
        <v>1334.1</v>
      </c>
      <c r="F2573" s="15">
        <v>1338.8</v>
      </c>
      <c r="G2573" s="15"/>
      <c r="H2573" s="16" t="s">
        <v>261</v>
      </c>
      <c r="I2573" s="10">
        <f t="shared" si="732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1"/>
        <v>464.51612903225805</v>
      </c>
    </row>
    <row r="2574" spans="2:19" outlineLevel="1">
      <c r="B2574" s="13" t="s">
        <v>172</v>
      </c>
      <c r="C2574" s="7" t="str">
        <f t="shared" si="730"/>
        <v>ROLO COMPACTADOR HAMM HD90 CHASSIS A05138</v>
      </c>
      <c r="D2574" s="8">
        <f t="shared" si="729"/>
        <v>46089</v>
      </c>
      <c r="E2574" s="15"/>
      <c r="F2574" s="15"/>
      <c r="G2574" s="15">
        <f t="shared" ref="G2574:G2597" si="733">F2574-E2574</f>
        <v>0</v>
      </c>
      <c r="H2574" s="16" t="s">
        <v>261</v>
      </c>
      <c r="I2574" s="10">
        <f t="shared" si="732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1"/>
        <v>464.51612903225805</v>
      </c>
    </row>
    <row r="2575" spans="2:19" outlineLevel="1">
      <c r="B2575" s="13" t="s">
        <v>172</v>
      </c>
      <c r="C2575" s="7" t="str">
        <f t="shared" si="730"/>
        <v>ROLO COMPACTADOR HAMM HD90 CHASSIS A05138</v>
      </c>
      <c r="D2575" s="8">
        <f t="shared" si="729"/>
        <v>46090</v>
      </c>
      <c r="E2575" s="15">
        <v>1338.8</v>
      </c>
      <c r="F2575" s="15">
        <v>1343.2</v>
      </c>
      <c r="G2575" s="15">
        <f t="shared" si="733"/>
        <v>4.4000000000000909</v>
      </c>
      <c r="H2575" s="16" t="s">
        <v>261</v>
      </c>
      <c r="I2575" s="10">
        <f t="shared" si="732"/>
        <v>464.51612903225805</v>
      </c>
      <c r="J2575" s="16"/>
      <c r="K2575" s="15">
        <v>1</v>
      </c>
      <c r="L2575" s="15"/>
      <c r="M2575" s="17"/>
      <c r="N2575" s="9"/>
      <c r="O2575" s="9"/>
      <c r="P2575" s="9"/>
      <c r="Q2575" s="9"/>
      <c r="R2575" s="9"/>
      <c r="S2575" s="10">
        <f t="shared" si="731"/>
        <v>464.51612903225805</v>
      </c>
    </row>
    <row r="2576" spans="2:19" outlineLevel="1">
      <c r="B2576" s="13" t="s">
        <v>172</v>
      </c>
      <c r="C2576" s="7" t="str">
        <f t="shared" si="730"/>
        <v>ROLO COMPACTADOR HAMM HD90 CHASSIS A05138</v>
      </c>
      <c r="D2576" s="8">
        <f t="shared" si="729"/>
        <v>46091</v>
      </c>
      <c r="E2576" s="15"/>
      <c r="F2576" s="15"/>
      <c r="G2576" s="15">
        <f t="shared" si="733"/>
        <v>0</v>
      </c>
      <c r="H2576" s="16" t="s">
        <v>261</v>
      </c>
      <c r="I2576" s="10">
        <f t="shared" si="732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1"/>
        <v>464.51612903225805</v>
      </c>
    </row>
    <row r="2577" spans="2:19" outlineLevel="1">
      <c r="B2577" s="13" t="s">
        <v>172</v>
      </c>
      <c r="C2577" s="7" t="str">
        <f t="shared" si="730"/>
        <v>ROLO COMPACTADOR HAMM HD90 CHASSIS A05138</v>
      </c>
      <c r="D2577" s="8">
        <f t="shared" si="729"/>
        <v>46092</v>
      </c>
      <c r="E2577" s="15"/>
      <c r="F2577" s="15"/>
      <c r="G2577" s="15">
        <f t="shared" si="733"/>
        <v>0</v>
      </c>
      <c r="H2577" s="16" t="s">
        <v>261</v>
      </c>
      <c r="I2577" s="10">
        <f t="shared" si="732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1"/>
        <v>464.51612903225805</v>
      </c>
    </row>
    <row r="2578" spans="2:19" outlineLevel="1">
      <c r="B2578" s="13" t="s">
        <v>172</v>
      </c>
      <c r="C2578" s="7" t="str">
        <f t="shared" si="730"/>
        <v>ROLO COMPACTADOR HAMM HD90 CHASSIS A05138</v>
      </c>
      <c r="D2578" s="8">
        <f t="shared" si="729"/>
        <v>46093</v>
      </c>
      <c r="E2578" s="15"/>
      <c r="F2578" s="15"/>
      <c r="G2578" s="15">
        <f t="shared" si="733"/>
        <v>0</v>
      </c>
      <c r="H2578" s="16" t="s">
        <v>261</v>
      </c>
      <c r="I2578" s="10">
        <f t="shared" si="732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1"/>
        <v>464.51612903225805</v>
      </c>
    </row>
    <row r="2579" spans="2:19" outlineLevel="1">
      <c r="B2579" s="13" t="s">
        <v>172</v>
      </c>
      <c r="C2579" s="7" t="str">
        <f t="shared" si="730"/>
        <v>ROLO COMPACTADOR HAMM HD90 CHASSIS A05138</v>
      </c>
      <c r="D2579" s="8">
        <f t="shared" si="729"/>
        <v>46094</v>
      </c>
      <c r="E2579" s="15"/>
      <c r="F2579" s="15"/>
      <c r="G2579" s="15">
        <f t="shared" si="733"/>
        <v>0</v>
      </c>
      <c r="H2579" s="16" t="s">
        <v>261</v>
      </c>
      <c r="I2579" s="10">
        <f t="shared" si="732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4">O2578</f>
        <v>0</v>
      </c>
      <c r="P2579" s="9"/>
      <c r="Q2579" s="9"/>
      <c r="R2579" s="9"/>
      <c r="S2579" s="10">
        <f t="shared" si="731"/>
        <v>464.51612903225805</v>
      </c>
    </row>
    <row r="2580" spans="2:19" outlineLevel="1">
      <c r="B2580" s="13" t="s">
        <v>172</v>
      </c>
      <c r="C2580" s="7" t="str">
        <f t="shared" si="730"/>
        <v>ROLO COMPACTADOR HAMM HD90 CHASSIS A05138</v>
      </c>
      <c r="D2580" s="8">
        <f t="shared" si="729"/>
        <v>46095</v>
      </c>
      <c r="E2580" s="15"/>
      <c r="F2580" s="15"/>
      <c r="G2580" s="15">
        <f t="shared" si="733"/>
        <v>0</v>
      </c>
      <c r="H2580" s="16" t="s">
        <v>261</v>
      </c>
      <c r="I2580" s="10">
        <f t="shared" si="732"/>
        <v>464.51612903225805</v>
      </c>
      <c r="J2580" s="16" t="s">
        <v>16</v>
      </c>
      <c r="K2580" s="15"/>
      <c r="L2580" s="15"/>
      <c r="M2580" s="17"/>
      <c r="N2580" s="9"/>
      <c r="O2580" s="18">
        <f t="shared" si="734"/>
        <v>0</v>
      </c>
      <c r="P2580" s="9"/>
      <c r="Q2580" s="9"/>
      <c r="R2580" s="9"/>
      <c r="S2580" s="10">
        <f t="shared" si="731"/>
        <v>464.51612903225805</v>
      </c>
    </row>
    <row r="2581" spans="2:19" outlineLevel="1">
      <c r="B2581" s="13" t="s">
        <v>172</v>
      </c>
      <c r="C2581" s="7" t="str">
        <f t="shared" si="730"/>
        <v>ROLO COMPACTADOR HAMM HD90 CHASSIS A05138</v>
      </c>
      <c r="D2581" s="8">
        <f t="shared" si="729"/>
        <v>46096</v>
      </c>
      <c r="E2581" s="15"/>
      <c r="F2581" s="15"/>
      <c r="G2581" s="15">
        <f t="shared" si="733"/>
        <v>0</v>
      </c>
      <c r="H2581" s="16" t="s">
        <v>261</v>
      </c>
      <c r="I2581" s="10">
        <f t="shared" si="732"/>
        <v>464.51612903225805</v>
      </c>
      <c r="J2581" s="16" t="s">
        <v>16</v>
      </c>
      <c r="K2581" s="15"/>
      <c r="L2581" s="15"/>
      <c r="M2581" s="17"/>
      <c r="N2581" s="9"/>
      <c r="O2581" s="18">
        <f t="shared" si="734"/>
        <v>0</v>
      </c>
      <c r="P2581" s="9"/>
      <c r="Q2581" s="9"/>
      <c r="R2581" s="9"/>
      <c r="S2581" s="10">
        <f t="shared" si="731"/>
        <v>464.51612903225805</v>
      </c>
    </row>
    <row r="2582" spans="2:19" outlineLevel="1">
      <c r="B2582" s="13" t="s">
        <v>172</v>
      </c>
      <c r="C2582" s="7" t="str">
        <f t="shared" si="730"/>
        <v>ROLO COMPACTADOR HAMM HD90 CHASSIS A05138</v>
      </c>
      <c r="D2582" s="8">
        <f t="shared" si="729"/>
        <v>46097</v>
      </c>
      <c r="E2582" s="15"/>
      <c r="F2582" s="15"/>
      <c r="G2582" s="15">
        <f t="shared" si="733"/>
        <v>0</v>
      </c>
      <c r="H2582" s="16" t="s">
        <v>261</v>
      </c>
      <c r="I2582" s="10">
        <f t="shared" si="732"/>
        <v>464.51612903225805</v>
      </c>
      <c r="J2582" s="16" t="s">
        <v>16</v>
      </c>
      <c r="K2582" s="15"/>
      <c r="L2582" s="15"/>
      <c r="M2582" s="17"/>
      <c r="N2582" s="9"/>
      <c r="O2582" s="18">
        <f t="shared" si="734"/>
        <v>0</v>
      </c>
      <c r="P2582" s="9"/>
      <c r="Q2582" s="9"/>
      <c r="R2582" s="9"/>
      <c r="S2582" s="10">
        <f t="shared" si="731"/>
        <v>464.51612903225805</v>
      </c>
    </row>
    <row r="2583" spans="2:19" outlineLevel="1">
      <c r="B2583" s="13" t="s">
        <v>172</v>
      </c>
      <c r="C2583" s="7" t="str">
        <f t="shared" si="730"/>
        <v>ROLO COMPACTADOR HAMM HD90 CHASSIS A05138</v>
      </c>
      <c r="D2583" s="8">
        <f t="shared" si="729"/>
        <v>46098</v>
      </c>
      <c r="E2583" s="15"/>
      <c r="F2583" s="15"/>
      <c r="G2583" s="15">
        <f t="shared" si="733"/>
        <v>0</v>
      </c>
      <c r="H2583" s="16" t="s">
        <v>261</v>
      </c>
      <c r="I2583" s="10">
        <f t="shared" si="732"/>
        <v>464.51612903225805</v>
      </c>
      <c r="J2583" s="16" t="s">
        <v>16</v>
      </c>
      <c r="K2583" s="15"/>
      <c r="L2583" s="15"/>
      <c r="M2583" s="17"/>
      <c r="N2583" s="9"/>
      <c r="O2583" s="18">
        <f t="shared" si="734"/>
        <v>0</v>
      </c>
      <c r="P2583" s="9"/>
      <c r="Q2583" s="9"/>
      <c r="R2583" s="9"/>
      <c r="S2583" s="10">
        <f t="shared" si="731"/>
        <v>464.51612903225805</v>
      </c>
    </row>
    <row r="2584" spans="2:19" outlineLevel="1">
      <c r="B2584" s="13" t="s">
        <v>172</v>
      </c>
      <c r="C2584" s="7" t="str">
        <f t="shared" si="730"/>
        <v>ROLO COMPACTADOR HAMM HD90 CHASSIS A05138</v>
      </c>
      <c r="D2584" s="8">
        <f t="shared" si="729"/>
        <v>46099</v>
      </c>
      <c r="E2584" s="15"/>
      <c r="F2584" s="15"/>
      <c r="G2584" s="15">
        <f t="shared" si="733"/>
        <v>0</v>
      </c>
      <c r="H2584" s="16" t="s">
        <v>261</v>
      </c>
      <c r="I2584" s="10">
        <f t="shared" si="732"/>
        <v>464.51612903225805</v>
      </c>
      <c r="J2584" s="16" t="s">
        <v>16</v>
      </c>
      <c r="K2584" s="15"/>
      <c r="L2584" s="15"/>
      <c r="M2584" s="17"/>
      <c r="N2584" s="9"/>
      <c r="O2584" s="18">
        <f t="shared" si="734"/>
        <v>0</v>
      </c>
      <c r="P2584" s="9"/>
      <c r="Q2584" s="9"/>
      <c r="R2584" s="9"/>
      <c r="S2584" s="10">
        <f t="shared" si="731"/>
        <v>464.51612903225805</v>
      </c>
    </row>
    <row r="2585" spans="2:19" outlineLevel="1">
      <c r="B2585" s="13" t="s">
        <v>172</v>
      </c>
      <c r="C2585" s="7" t="str">
        <f t="shared" si="730"/>
        <v>ROLO COMPACTADOR HAMM HD90 CHASSIS A05138</v>
      </c>
      <c r="D2585" s="8">
        <f t="shared" si="729"/>
        <v>46100</v>
      </c>
      <c r="E2585" s="15"/>
      <c r="F2585" s="15"/>
      <c r="G2585" s="15">
        <f t="shared" si="733"/>
        <v>0</v>
      </c>
      <c r="H2585" s="16" t="s">
        <v>261</v>
      </c>
      <c r="I2585" s="10">
        <f t="shared" si="732"/>
        <v>464.51612903225805</v>
      </c>
      <c r="J2585" s="16" t="s">
        <v>16</v>
      </c>
      <c r="K2585" s="15"/>
      <c r="L2585" s="15"/>
      <c r="M2585" s="17"/>
      <c r="N2585" s="9"/>
      <c r="O2585" s="18">
        <f t="shared" si="734"/>
        <v>0</v>
      </c>
      <c r="P2585" s="9"/>
      <c r="Q2585" s="9"/>
      <c r="R2585" s="9"/>
      <c r="S2585" s="10">
        <f t="shared" si="731"/>
        <v>464.51612903225805</v>
      </c>
    </row>
    <row r="2586" spans="2:19" outlineLevel="1">
      <c r="B2586" s="13" t="s">
        <v>172</v>
      </c>
      <c r="C2586" s="7" t="str">
        <f t="shared" si="730"/>
        <v>ROLO COMPACTADOR HAMM HD90 CHASSIS A05138</v>
      </c>
      <c r="D2586" s="8">
        <f t="shared" si="729"/>
        <v>46101</v>
      </c>
      <c r="E2586" s="15"/>
      <c r="F2586" s="15"/>
      <c r="G2586" s="15">
        <f t="shared" si="733"/>
        <v>0</v>
      </c>
      <c r="H2586" s="16" t="s">
        <v>261</v>
      </c>
      <c r="I2586" s="10">
        <f t="shared" si="732"/>
        <v>464.51612903225805</v>
      </c>
      <c r="J2586" s="16" t="s">
        <v>16</v>
      </c>
      <c r="K2586" s="15"/>
      <c r="L2586" s="15"/>
      <c r="M2586" s="17"/>
      <c r="N2586" s="9"/>
      <c r="O2586" s="18">
        <f t="shared" si="734"/>
        <v>0</v>
      </c>
      <c r="P2586" s="9"/>
      <c r="Q2586" s="9"/>
      <c r="R2586" s="9"/>
      <c r="S2586" s="10">
        <f t="shared" si="731"/>
        <v>464.51612903225805</v>
      </c>
    </row>
    <row r="2587" spans="2:19" outlineLevel="1">
      <c r="B2587" s="13" t="s">
        <v>172</v>
      </c>
      <c r="C2587" s="7" t="str">
        <f t="shared" si="730"/>
        <v>ROLO COMPACTADOR HAMM HD90 CHASSIS A05138</v>
      </c>
      <c r="D2587" s="8">
        <f t="shared" si="729"/>
        <v>46102</v>
      </c>
      <c r="E2587" s="15"/>
      <c r="F2587" s="15"/>
      <c r="G2587" s="15">
        <f t="shared" si="733"/>
        <v>0</v>
      </c>
      <c r="H2587" s="16" t="s">
        <v>261</v>
      </c>
      <c r="I2587" s="10">
        <f t="shared" si="732"/>
        <v>464.51612903225805</v>
      </c>
      <c r="J2587" s="16" t="s">
        <v>16</v>
      </c>
      <c r="K2587" s="15"/>
      <c r="L2587" s="15"/>
      <c r="M2587" s="17"/>
      <c r="N2587" s="9"/>
      <c r="O2587" s="18">
        <f t="shared" si="734"/>
        <v>0</v>
      </c>
      <c r="P2587" s="9"/>
      <c r="Q2587" s="9"/>
      <c r="R2587" s="9"/>
      <c r="S2587" s="10">
        <f t="shared" si="731"/>
        <v>464.51612903225805</v>
      </c>
    </row>
    <row r="2588" spans="2:19" outlineLevel="1">
      <c r="B2588" s="13" t="s">
        <v>172</v>
      </c>
      <c r="C2588" s="7" t="str">
        <f t="shared" si="730"/>
        <v>ROLO COMPACTADOR HAMM HD90 CHASSIS A05138</v>
      </c>
      <c r="D2588" s="8">
        <f t="shared" si="729"/>
        <v>46103</v>
      </c>
      <c r="E2588" s="15"/>
      <c r="F2588" s="15"/>
      <c r="G2588" s="15">
        <f t="shared" si="733"/>
        <v>0</v>
      </c>
      <c r="H2588" s="16" t="s">
        <v>261</v>
      </c>
      <c r="I2588" s="10">
        <f t="shared" si="732"/>
        <v>464.51612903225805</v>
      </c>
      <c r="J2588" s="16" t="s">
        <v>16</v>
      </c>
      <c r="K2588" s="15"/>
      <c r="L2588" s="15"/>
      <c r="M2588" s="17"/>
      <c r="N2588" s="9"/>
      <c r="O2588" s="18">
        <f t="shared" si="734"/>
        <v>0</v>
      </c>
      <c r="P2588" s="9"/>
      <c r="Q2588" s="9"/>
      <c r="R2588" s="9"/>
      <c r="S2588" s="10">
        <f t="shared" si="731"/>
        <v>464.51612903225805</v>
      </c>
    </row>
    <row r="2589" spans="2:19" outlineLevel="1">
      <c r="B2589" s="13" t="s">
        <v>172</v>
      </c>
      <c r="C2589" s="7" t="str">
        <f t="shared" si="730"/>
        <v>ROLO COMPACTADOR HAMM HD90 CHASSIS A05138</v>
      </c>
      <c r="D2589" s="8">
        <f t="shared" si="729"/>
        <v>46104</v>
      </c>
      <c r="E2589" s="15"/>
      <c r="F2589" s="15"/>
      <c r="G2589" s="15">
        <f t="shared" si="733"/>
        <v>0</v>
      </c>
      <c r="H2589" s="16" t="s">
        <v>261</v>
      </c>
      <c r="I2589" s="10">
        <f t="shared" si="732"/>
        <v>464.51612903225805</v>
      </c>
      <c r="J2589" s="16" t="s">
        <v>16</v>
      </c>
      <c r="K2589" s="15"/>
      <c r="L2589" s="15"/>
      <c r="M2589" s="17"/>
      <c r="N2589" s="9"/>
      <c r="O2589" s="18">
        <f t="shared" si="734"/>
        <v>0</v>
      </c>
      <c r="P2589" s="9"/>
      <c r="Q2589" s="9"/>
      <c r="R2589" s="9"/>
      <c r="S2589" s="10">
        <f t="shared" si="731"/>
        <v>464.51612903225805</v>
      </c>
    </row>
    <row r="2590" spans="2:19" outlineLevel="1">
      <c r="B2590" s="13" t="s">
        <v>172</v>
      </c>
      <c r="C2590" s="7" t="str">
        <f t="shared" si="730"/>
        <v>ROLO COMPACTADOR HAMM HD90 CHASSIS A05138</v>
      </c>
      <c r="D2590" s="8">
        <f t="shared" si="729"/>
        <v>46105</v>
      </c>
      <c r="E2590" s="15"/>
      <c r="F2590" s="15"/>
      <c r="G2590" s="15">
        <f t="shared" si="733"/>
        <v>0</v>
      </c>
      <c r="H2590" s="16" t="s">
        <v>261</v>
      </c>
      <c r="I2590" s="10">
        <f t="shared" si="732"/>
        <v>464.51612903225805</v>
      </c>
      <c r="J2590" s="16" t="s">
        <v>16</v>
      </c>
      <c r="K2590" s="15"/>
      <c r="L2590" s="15"/>
      <c r="M2590" s="17"/>
      <c r="N2590" s="9"/>
      <c r="O2590" s="18">
        <f t="shared" si="734"/>
        <v>0</v>
      </c>
      <c r="P2590" s="9"/>
      <c r="Q2590" s="9"/>
      <c r="R2590" s="9"/>
      <c r="S2590" s="10">
        <f t="shared" si="731"/>
        <v>464.51612903225805</v>
      </c>
    </row>
    <row r="2591" spans="2:19" outlineLevel="1">
      <c r="B2591" s="13" t="s">
        <v>172</v>
      </c>
      <c r="C2591" s="7" t="str">
        <f t="shared" si="730"/>
        <v>ROLO COMPACTADOR HAMM HD90 CHASSIS A05138</v>
      </c>
      <c r="D2591" s="8">
        <f t="shared" si="729"/>
        <v>46106</v>
      </c>
      <c r="E2591" s="15"/>
      <c r="F2591" s="15"/>
      <c r="G2591" s="15">
        <f t="shared" si="733"/>
        <v>0</v>
      </c>
      <c r="H2591" s="16" t="s">
        <v>261</v>
      </c>
      <c r="I2591" s="10">
        <f t="shared" si="732"/>
        <v>464.51612903225805</v>
      </c>
      <c r="J2591" s="16" t="s">
        <v>16</v>
      </c>
      <c r="K2591" s="15"/>
      <c r="L2591" s="15"/>
      <c r="M2591" s="17"/>
      <c r="N2591" s="9"/>
      <c r="O2591" s="18">
        <f t="shared" si="734"/>
        <v>0</v>
      </c>
      <c r="P2591" s="9"/>
      <c r="Q2591" s="9"/>
      <c r="R2591" s="9"/>
      <c r="S2591" s="10">
        <f t="shared" si="731"/>
        <v>464.51612903225805</v>
      </c>
    </row>
    <row r="2592" spans="2:19" outlineLevel="1">
      <c r="B2592" s="13" t="s">
        <v>172</v>
      </c>
      <c r="C2592" s="7" t="str">
        <f t="shared" si="730"/>
        <v>ROLO COMPACTADOR HAMM HD90 CHASSIS A05138</v>
      </c>
      <c r="D2592" s="8">
        <f t="shared" si="729"/>
        <v>46107</v>
      </c>
      <c r="E2592" s="15"/>
      <c r="F2592" s="15"/>
      <c r="G2592" s="15">
        <f t="shared" si="733"/>
        <v>0</v>
      </c>
      <c r="H2592" s="16" t="s">
        <v>261</v>
      </c>
      <c r="I2592" s="10">
        <f t="shared" si="732"/>
        <v>464.51612903225805</v>
      </c>
      <c r="J2592" s="16" t="s">
        <v>16</v>
      </c>
      <c r="K2592" s="15"/>
      <c r="L2592" s="15"/>
      <c r="M2592" s="17"/>
      <c r="N2592" s="9"/>
      <c r="O2592" s="18">
        <f t="shared" si="734"/>
        <v>0</v>
      </c>
      <c r="P2592" s="9"/>
      <c r="Q2592" s="9"/>
      <c r="R2592" s="9"/>
      <c r="S2592" s="10">
        <f t="shared" si="731"/>
        <v>464.51612903225805</v>
      </c>
    </row>
    <row r="2593" spans="2:19" outlineLevel="1">
      <c r="B2593" s="13" t="s">
        <v>172</v>
      </c>
      <c r="C2593" s="7" t="str">
        <f t="shared" si="730"/>
        <v>ROLO COMPACTADOR HAMM HD90 CHASSIS A05138</v>
      </c>
      <c r="D2593" s="8">
        <f t="shared" si="729"/>
        <v>46108</v>
      </c>
      <c r="E2593" s="15"/>
      <c r="F2593" s="15"/>
      <c r="G2593" s="15">
        <f t="shared" si="733"/>
        <v>0</v>
      </c>
      <c r="H2593" s="16" t="s">
        <v>261</v>
      </c>
      <c r="I2593" s="10">
        <f t="shared" si="732"/>
        <v>464.51612903225805</v>
      </c>
      <c r="J2593" s="16" t="s">
        <v>16</v>
      </c>
      <c r="K2593" s="15"/>
      <c r="L2593" s="15"/>
      <c r="M2593" s="17"/>
      <c r="N2593" s="9"/>
      <c r="O2593" s="18">
        <f t="shared" si="734"/>
        <v>0</v>
      </c>
      <c r="P2593" s="9"/>
      <c r="Q2593" s="9"/>
      <c r="R2593" s="9"/>
      <c r="S2593" s="10">
        <f t="shared" si="731"/>
        <v>464.51612903225805</v>
      </c>
    </row>
    <row r="2594" spans="2:19" outlineLevel="1">
      <c r="B2594" s="13" t="s">
        <v>172</v>
      </c>
      <c r="C2594" s="7" t="str">
        <f t="shared" si="730"/>
        <v>ROLO COMPACTADOR HAMM HD90 CHASSIS A05138</v>
      </c>
      <c r="D2594" s="8">
        <f t="shared" ref="D2594" si="735">D2526</f>
        <v>46109</v>
      </c>
      <c r="E2594" s="15"/>
      <c r="F2594" s="15"/>
      <c r="G2594" s="15">
        <f t="shared" ref="G2594:G2596" si="736">F2594-E2594</f>
        <v>0</v>
      </c>
      <c r="H2594" s="16" t="s">
        <v>261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7">SUM(R2594+Q2594+I2594)</f>
        <v>464.51612903225805</v>
      </c>
    </row>
    <row r="2595" spans="2:19" outlineLevel="1">
      <c r="B2595" s="13" t="s">
        <v>172</v>
      </c>
      <c r="C2595" s="7" t="str">
        <f t="shared" si="730"/>
        <v>ROLO COMPACTADOR HAMM HD90 CHASSIS A05138</v>
      </c>
      <c r="D2595" s="8">
        <f t="shared" ref="D2595:D2597" si="738">D2527</f>
        <v>46110</v>
      </c>
      <c r="E2595" s="15"/>
      <c r="F2595" s="15"/>
      <c r="G2595" s="15">
        <f t="shared" si="736"/>
        <v>0</v>
      </c>
      <c r="H2595" s="16" t="s">
        <v>261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7"/>
        <v>464.51612903225805</v>
      </c>
    </row>
    <row r="2596" spans="2:19" outlineLevel="1">
      <c r="B2596" s="13" t="s">
        <v>172</v>
      </c>
      <c r="C2596" s="7" t="str">
        <f t="shared" si="730"/>
        <v>ROLO COMPACTADOR HAMM HD90 CHASSIS A05138</v>
      </c>
      <c r="D2596" s="8">
        <f t="shared" si="738"/>
        <v>46111</v>
      </c>
      <c r="E2596" s="15"/>
      <c r="F2596" s="15"/>
      <c r="G2596" s="15">
        <f t="shared" si="736"/>
        <v>0</v>
      </c>
      <c r="H2596" s="16" t="s">
        <v>261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7"/>
        <v>464.51612903225805</v>
      </c>
    </row>
    <row r="2597" spans="2:19" outlineLevel="1">
      <c r="B2597" s="13" t="s">
        <v>172</v>
      </c>
      <c r="C2597" s="7" t="str">
        <f t="shared" si="730"/>
        <v>ROLO COMPACTADOR HAMM HD90 CHASSIS A05138</v>
      </c>
      <c r="D2597" s="8">
        <f t="shared" si="738"/>
        <v>46112</v>
      </c>
      <c r="E2597" s="15"/>
      <c r="F2597" s="15"/>
      <c r="G2597" s="15">
        <f t="shared" si="733"/>
        <v>0</v>
      </c>
      <c r="H2597" s="16" t="s">
        <v>261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1"/>
        <v>464.51612903225805</v>
      </c>
    </row>
    <row r="2598" spans="2:19">
      <c r="D2598" s="1"/>
    </row>
    <row r="2599" spans="2:19">
      <c r="B2599" s="11" t="s">
        <v>174</v>
      </c>
      <c r="C2599" s="3" t="s">
        <v>279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39">D2533</f>
        <v>46082</v>
      </c>
      <c r="E2601" s="15"/>
      <c r="F2601" s="15"/>
      <c r="G2601" s="15">
        <f>F2601-E2601</f>
        <v>0</v>
      </c>
      <c r="H2601" s="16" t="s">
        <v>278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0">SUM(R2601+Q2601+I2601)</f>
        <v>645.16129032258061</v>
      </c>
    </row>
    <row r="2602" spans="2:19" outlineLevel="1">
      <c r="B2602" s="13" t="s">
        <v>174</v>
      </c>
      <c r="C2602" s="7" t="str">
        <f t="shared" ref="C2602:C2631" si="741">C$2599</f>
        <v>ESPARGIDOR MERCEDES ATEGO 1719 PLACA OLX-8A75 ANO 2012</v>
      </c>
      <c r="D2602" s="8">
        <f t="shared" si="739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278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0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39"/>
        <v>46084</v>
      </c>
      <c r="E2603" s="15">
        <v>52815</v>
      </c>
      <c r="F2603" s="15">
        <v>52897</v>
      </c>
      <c r="G2603" s="15">
        <f t="shared" ref="G2603:G2631" si="742">F2603-E2603</f>
        <v>82</v>
      </c>
      <c r="H2603" s="16" t="s">
        <v>278</v>
      </c>
      <c r="I2603" s="10">
        <f t="shared" ref="I2603:I2627" si="743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0"/>
        <v>645.16129032258061</v>
      </c>
    </row>
    <row r="2604" spans="2:19" outlineLevel="1">
      <c r="B2604" s="13" t="s">
        <v>174</v>
      </c>
      <c r="C2604" s="7" t="str">
        <f t="shared" si="741"/>
        <v>ESPARGIDOR MERCEDES ATEGO 1719 PLACA OLX-8A75 ANO 2012</v>
      </c>
      <c r="D2604" s="8">
        <f t="shared" si="739"/>
        <v>46085</v>
      </c>
      <c r="E2604" s="15">
        <v>52897</v>
      </c>
      <c r="F2604" s="15">
        <v>52968</v>
      </c>
      <c r="G2604" s="15">
        <f t="shared" si="742"/>
        <v>71</v>
      </c>
      <c r="H2604" s="16" t="s">
        <v>278</v>
      </c>
      <c r="I2604" s="10">
        <f t="shared" si="743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0"/>
        <v>645.16129032258061</v>
      </c>
    </row>
    <row r="2605" spans="2:19" outlineLevel="1">
      <c r="B2605" s="13" t="s">
        <v>174</v>
      </c>
      <c r="C2605" s="7" t="str">
        <f t="shared" si="741"/>
        <v>ESPARGIDOR MERCEDES ATEGO 1719 PLACA OLX-8A75 ANO 2012</v>
      </c>
      <c r="D2605" s="8">
        <f t="shared" si="739"/>
        <v>46086</v>
      </c>
      <c r="E2605" s="15">
        <v>52968</v>
      </c>
      <c r="F2605" s="15">
        <v>53013</v>
      </c>
      <c r="G2605" s="15">
        <f t="shared" si="742"/>
        <v>45</v>
      </c>
      <c r="H2605" s="16" t="s">
        <v>278</v>
      </c>
      <c r="I2605" s="10">
        <f t="shared" si="743"/>
        <v>645.16129032258061</v>
      </c>
      <c r="J2605" s="16"/>
      <c r="K2605" s="15">
        <v>1</v>
      </c>
      <c r="L2605" s="15"/>
      <c r="M2605" s="17"/>
      <c r="N2605" s="9"/>
      <c r="O2605" s="9"/>
      <c r="P2605" s="9"/>
      <c r="Q2605" s="9"/>
      <c r="R2605" s="9"/>
      <c r="S2605" s="10">
        <f t="shared" si="740"/>
        <v>645.16129032258061</v>
      </c>
    </row>
    <row r="2606" spans="2:19" outlineLevel="1">
      <c r="B2606" s="13" t="s">
        <v>174</v>
      </c>
      <c r="C2606" s="7" t="str">
        <f t="shared" si="741"/>
        <v>ESPARGIDOR MERCEDES ATEGO 1719 PLACA OLX-8A75 ANO 2012</v>
      </c>
      <c r="D2606" s="8">
        <f t="shared" si="739"/>
        <v>46087</v>
      </c>
      <c r="E2606" s="15">
        <v>53013</v>
      </c>
      <c r="F2606" s="15">
        <v>53119</v>
      </c>
      <c r="G2606" s="15">
        <f t="shared" si="742"/>
        <v>106</v>
      </c>
      <c r="H2606" s="16" t="s">
        <v>278</v>
      </c>
      <c r="I2606" s="10">
        <f t="shared" si="743"/>
        <v>645.16129032258061</v>
      </c>
      <c r="J2606" s="16"/>
      <c r="K2606" s="15">
        <v>1</v>
      </c>
      <c r="L2606" s="15"/>
      <c r="M2606" s="17"/>
      <c r="N2606" s="9"/>
      <c r="O2606" s="18"/>
      <c r="P2606" s="9"/>
      <c r="Q2606" s="9"/>
      <c r="R2606" s="9"/>
      <c r="S2606" s="10">
        <f t="shared" si="740"/>
        <v>645.16129032258061</v>
      </c>
    </row>
    <row r="2607" spans="2:19" outlineLevel="1">
      <c r="B2607" s="13" t="s">
        <v>174</v>
      </c>
      <c r="C2607" s="7" t="str">
        <f t="shared" si="741"/>
        <v>ESPARGIDOR MERCEDES ATEGO 1719 PLACA OLX-8A75 ANO 2012</v>
      </c>
      <c r="D2607" s="8">
        <f t="shared" si="739"/>
        <v>46088</v>
      </c>
      <c r="E2607" s="15"/>
      <c r="F2607" s="15"/>
      <c r="G2607" s="15">
        <f t="shared" si="742"/>
        <v>0</v>
      </c>
      <c r="H2607" s="16" t="s">
        <v>278</v>
      </c>
      <c r="I2607" s="10">
        <f t="shared" si="743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0"/>
        <v>645.16129032258061</v>
      </c>
    </row>
    <row r="2608" spans="2:19" outlineLevel="1">
      <c r="B2608" s="13" t="s">
        <v>174</v>
      </c>
      <c r="C2608" s="7" t="str">
        <f t="shared" si="741"/>
        <v>ESPARGIDOR MERCEDES ATEGO 1719 PLACA OLX-8A75 ANO 2012</v>
      </c>
      <c r="D2608" s="8">
        <f t="shared" si="739"/>
        <v>46089</v>
      </c>
      <c r="E2608" s="15"/>
      <c r="F2608" s="15"/>
      <c r="G2608" s="15">
        <f t="shared" si="742"/>
        <v>0</v>
      </c>
      <c r="H2608" s="16" t="s">
        <v>278</v>
      </c>
      <c r="I2608" s="10">
        <f t="shared" si="743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0"/>
        <v>645.16129032258061</v>
      </c>
    </row>
    <row r="2609" spans="2:19" outlineLevel="1">
      <c r="B2609" s="13" t="s">
        <v>174</v>
      </c>
      <c r="C2609" s="7" t="str">
        <f t="shared" si="741"/>
        <v>ESPARGIDOR MERCEDES ATEGO 1719 PLACA OLX-8A75 ANO 2012</v>
      </c>
      <c r="D2609" s="8">
        <f t="shared" si="739"/>
        <v>46090</v>
      </c>
      <c r="E2609" s="15">
        <v>53119</v>
      </c>
      <c r="F2609" s="15">
        <v>53262</v>
      </c>
      <c r="G2609" s="15">
        <f t="shared" si="742"/>
        <v>143</v>
      </c>
      <c r="H2609" s="16" t="s">
        <v>278</v>
      </c>
      <c r="I2609" s="10">
        <f t="shared" si="743"/>
        <v>645.16129032258061</v>
      </c>
      <c r="J2609" s="16"/>
      <c r="K2609" s="15">
        <v>1</v>
      </c>
      <c r="L2609" s="15"/>
      <c r="M2609" s="17"/>
      <c r="N2609" s="9"/>
      <c r="O2609" s="18"/>
      <c r="P2609" s="9"/>
      <c r="Q2609" s="9"/>
      <c r="R2609" s="9"/>
      <c r="S2609" s="10">
        <f t="shared" si="740"/>
        <v>645.16129032258061</v>
      </c>
    </row>
    <row r="2610" spans="2:19" outlineLevel="1">
      <c r="B2610" s="13" t="s">
        <v>174</v>
      </c>
      <c r="C2610" s="7" t="str">
        <f t="shared" si="741"/>
        <v>ESPARGIDOR MERCEDES ATEGO 1719 PLACA OLX-8A75 ANO 2012</v>
      </c>
      <c r="D2610" s="8">
        <f t="shared" si="739"/>
        <v>46091</v>
      </c>
      <c r="E2610" s="15">
        <v>53262</v>
      </c>
      <c r="F2610" s="15">
        <v>53387</v>
      </c>
      <c r="G2610" s="15">
        <f t="shared" si="742"/>
        <v>125</v>
      </c>
      <c r="H2610" s="16" t="s">
        <v>278</v>
      </c>
      <c r="I2610" s="10">
        <f t="shared" si="743"/>
        <v>645.16129032258061</v>
      </c>
      <c r="J2610" s="16"/>
      <c r="K2610" s="15">
        <v>1</v>
      </c>
      <c r="L2610" s="15"/>
      <c r="M2610" s="17"/>
      <c r="N2610" s="9"/>
      <c r="O2610" s="18"/>
      <c r="P2610" s="9"/>
      <c r="Q2610" s="9"/>
      <c r="R2610" s="9"/>
      <c r="S2610" s="10">
        <f t="shared" si="740"/>
        <v>645.16129032258061</v>
      </c>
    </row>
    <row r="2611" spans="2:19" outlineLevel="1">
      <c r="B2611" s="13" t="s">
        <v>174</v>
      </c>
      <c r="C2611" s="7" t="str">
        <f t="shared" si="741"/>
        <v>ESPARGIDOR MERCEDES ATEGO 1719 PLACA OLX-8A75 ANO 2012</v>
      </c>
      <c r="D2611" s="8">
        <f t="shared" si="739"/>
        <v>46092</v>
      </c>
      <c r="E2611" s="15"/>
      <c r="F2611" s="15"/>
      <c r="G2611" s="15">
        <f t="shared" si="742"/>
        <v>0</v>
      </c>
      <c r="H2611" s="16" t="s">
        <v>278</v>
      </c>
      <c r="I2611" s="10">
        <f t="shared" si="743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0"/>
        <v>645.16129032258061</v>
      </c>
    </row>
    <row r="2612" spans="2:19" outlineLevel="1">
      <c r="B2612" s="13" t="s">
        <v>174</v>
      </c>
      <c r="C2612" s="7" t="str">
        <f t="shared" si="741"/>
        <v>ESPARGIDOR MERCEDES ATEGO 1719 PLACA OLX-8A75 ANO 2012</v>
      </c>
      <c r="D2612" s="8">
        <f t="shared" si="739"/>
        <v>46093</v>
      </c>
      <c r="E2612" s="15"/>
      <c r="F2612" s="15"/>
      <c r="G2612" s="15">
        <f t="shared" si="742"/>
        <v>0</v>
      </c>
      <c r="H2612" s="16" t="s">
        <v>278</v>
      </c>
      <c r="I2612" s="10">
        <f t="shared" si="743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4">O2611</f>
        <v>0</v>
      </c>
      <c r="P2612" s="9"/>
      <c r="Q2612" s="9"/>
      <c r="R2612" s="9"/>
      <c r="S2612" s="10">
        <f t="shared" si="740"/>
        <v>645.16129032258061</v>
      </c>
    </row>
    <row r="2613" spans="2:19" outlineLevel="1">
      <c r="B2613" s="13" t="s">
        <v>174</v>
      </c>
      <c r="C2613" s="7" t="str">
        <f t="shared" si="741"/>
        <v>ESPARGIDOR MERCEDES ATEGO 1719 PLACA OLX-8A75 ANO 2012</v>
      </c>
      <c r="D2613" s="8">
        <f t="shared" si="739"/>
        <v>46094</v>
      </c>
      <c r="E2613" s="15"/>
      <c r="F2613" s="15"/>
      <c r="G2613" s="15">
        <f t="shared" si="742"/>
        <v>0</v>
      </c>
      <c r="H2613" s="16" t="s">
        <v>278</v>
      </c>
      <c r="I2613" s="10">
        <f t="shared" si="743"/>
        <v>645.16129032258061</v>
      </c>
      <c r="J2613" s="16" t="s">
        <v>16</v>
      </c>
      <c r="K2613" s="15"/>
      <c r="L2613" s="15"/>
      <c r="M2613" s="17"/>
      <c r="N2613" s="9"/>
      <c r="O2613" s="18">
        <f t="shared" si="744"/>
        <v>0</v>
      </c>
      <c r="P2613" s="9"/>
      <c r="Q2613" s="9"/>
      <c r="R2613" s="9"/>
      <c r="S2613" s="10">
        <f t="shared" si="740"/>
        <v>645.16129032258061</v>
      </c>
    </row>
    <row r="2614" spans="2:19" outlineLevel="1">
      <c r="B2614" s="13" t="s">
        <v>174</v>
      </c>
      <c r="C2614" s="7" t="str">
        <f t="shared" si="741"/>
        <v>ESPARGIDOR MERCEDES ATEGO 1719 PLACA OLX-8A75 ANO 2012</v>
      </c>
      <c r="D2614" s="8">
        <f t="shared" si="739"/>
        <v>46095</v>
      </c>
      <c r="E2614" s="15"/>
      <c r="F2614" s="15"/>
      <c r="G2614" s="15">
        <f t="shared" si="742"/>
        <v>0</v>
      </c>
      <c r="H2614" s="16" t="s">
        <v>278</v>
      </c>
      <c r="I2614" s="10">
        <f t="shared" si="743"/>
        <v>645.16129032258061</v>
      </c>
      <c r="J2614" s="16" t="s">
        <v>16</v>
      </c>
      <c r="K2614" s="15"/>
      <c r="L2614" s="15"/>
      <c r="M2614" s="17"/>
      <c r="N2614" s="9"/>
      <c r="O2614" s="18">
        <f t="shared" si="744"/>
        <v>0</v>
      </c>
      <c r="P2614" s="9"/>
      <c r="Q2614" s="9"/>
      <c r="R2614" s="9"/>
      <c r="S2614" s="10">
        <f t="shared" si="740"/>
        <v>645.16129032258061</v>
      </c>
    </row>
    <row r="2615" spans="2:19" outlineLevel="1">
      <c r="B2615" s="13" t="s">
        <v>174</v>
      </c>
      <c r="C2615" s="7" t="str">
        <f t="shared" si="741"/>
        <v>ESPARGIDOR MERCEDES ATEGO 1719 PLACA OLX-8A75 ANO 2012</v>
      </c>
      <c r="D2615" s="8">
        <f t="shared" si="739"/>
        <v>46096</v>
      </c>
      <c r="E2615" s="15"/>
      <c r="F2615" s="15"/>
      <c r="G2615" s="15">
        <f t="shared" si="742"/>
        <v>0</v>
      </c>
      <c r="H2615" s="16" t="s">
        <v>278</v>
      </c>
      <c r="I2615" s="10">
        <f t="shared" si="743"/>
        <v>645.16129032258061</v>
      </c>
      <c r="J2615" s="16" t="s">
        <v>16</v>
      </c>
      <c r="K2615" s="15"/>
      <c r="L2615" s="15"/>
      <c r="M2615" s="17"/>
      <c r="N2615" s="9"/>
      <c r="O2615" s="18">
        <f t="shared" si="744"/>
        <v>0</v>
      </c>
      <c r="P2615" s="9"/>
      <c r="Q2615" s="9"/>
      <c r="R2615" s="9"/>
      <c r="S2615" s="10">
        <f t="shared" si="740"/>
        <v>645.16129032258061</v>
      </c>
    </row>
    <row r="2616" spans="2:19" outlineLevel="1">
      <c r="B2616" s="13" t="s">
        <v>174</v>
      </c>
      <c r="C2616" s="7" t="str">
        <f t="shared" si="741"/>
        <v>ESPARGIDOR MERCEDES ATEGO 1719 PLACA OLX-8A75 ANO 2012</v>
      </c>
      <c r="D2616" s="8">
        <f t="shared" si="739"/>
        <v>46097</v>
      </c>
      <c r="E2616" s="15"/>
      <c r="F2616" s="15"/>
      <c r="G2616" s="15">
        <f t="shared" si="742"/>
        <v>0</v>
      </c>
      <c r="H2616" s="16" t="s">
        <v>278</v>
      </c>
      <c r="I2616" s="10">
        <f t="shared" si="743"/>
        <v>645.16129032258061</v>
      </c>
      <c r="J2616" s="16" t="s">
        <v>16</v>
      </c>
      <c r="K2616" s="15"/>
      <c r="L2616" s="15"/>
      <c r="M2616" s="17"/>
      <c r="N2616" s="9"/>
      <c r="O2616" s="18">
        <f t="shared" si="744"/>
        <v>0</v>
      </c>
      <c r="P2616" s="9"/>
      <c r="Q2616" s="9"/>
      <c r="R2616" s="9"/>
      <c r="S2616" s="10">
        <f t="shared" si="740"/>
        <v>645.16129032258061</v>
      </c>
    </row>
    <row r="2617" spans="2:19" outlineLevel="1">
      <c r="B2617" s="13" t="s">
        <v>174</v>
      </c>
      <c r="C2617" s="7" t="str">
        <f t="shared" si="741"/>
        <v>ESPARGIDOR MERCEDES ATEGO 1719 PLACA OLX-8A75 ANO 2012</v>
      </c>
      <c r="D2617" s="8">
        <f t="shared" si="739"/>
        <v>46098</v>
      </c>
      <c r="E2617" s="15"/>
      <c r="F2617" s="15"/>
      <c r="G2617" s="15">
        <f t="shared" si="742"/>
        <v>0</v>
      </c>
      <c r="H2617" s="16" t="s">
        <v>278</v>
      </c>
      <c r="I2617" s="10">
        <f t="shared" si="743"/>
        <v>645.16129032258061</v>
      </c>
      <c r="J2617" s="16" t="s">
        <v>16</v>
      </c>
      <c r="K2617" s="15"/>
      <c r="L2617" s="15"/>
      <c r="M2617" s="17"/>
      <c r="N2617" s="9"/>
      <c r="O2617" s="18">
        <f t="shared" si="744"/>
        <v>0</v>
      </c>
      <c r="P2617" s="9"/>
      <c r="Q2617" s="9"/>
      <c r="R2617" s="9"/>
      <c r="S2617" s="10">
        <f t="shared" si="740"/>
        <v>645.16129032258061</v>
      </c>
    </row>
    <row r="2618" spans="2:19" outlineLevel="1">
      <c r="B2618" s="13" t="s">
        <v>174</v>
      </c>
      <c r="C2618" s="7" t="str">
        <f t="shared" si="741"/>
        <v>ESPARGIDOR MERCEDES ATEGO 1719 PLACA OLX-8A75 ANO 2012</v>
      </c>
      <c r="D2618" s="8">
        <f t="shared" si="739"/>
        <v>46099</v>
      </c>
      <c r="E2618" s="15"/>
      <c r="F2618" s="15"/>
      <c r="G2618" s="15">
        <f t="shared" si="742"/>
        <v>0</v>
      </c>
      <c r="H2618" s="16" t="s">
        <v>278</v>
      </c>
      <c r="I2618" s="10">
        <f t="shared" si="743"/>
        <v>645.16129032258061</v>
      </c>
      <c r="J2618" s="16" t="s">
        <v>16</v>
      </c>
      <c r="K2618" s="15"/>
      <c r="L2618" s="15"/>
      <c r="M2618" s="17"/>
      <c r="N2618" s="9"/>
      <c r="O2618" s="18">
        <f t="shared" si="744"/>
        <v>0</v>
      </c>
      <c r="P2618" s="9"/>
      <c r="Q2618" s="9"/>
      <c r="R2618" s="9"/>
      <c r="S2618" s="10">
        <f t="shared" si="740"/>
        <v>645.16129032258061</v>
      </c>
    </row>
    <row r="2619" spans="2:19" outlineLevel="1">
      <c r="B2619" s="13" t="s">
        <v>174</v>
      </c>
      <c r="C2619" s="7" t="str">
        <f t="shared" si="741"/>
        <v>ESPARGIDOR MERCEDES ATEGO 1719 PLACA OLX-8A75 ANO 2012</v>
      </c>
      <c r="D2619" s="8">
        <f t="shared" si="739"/>
        <v>46100</v>
      </c>
      <c r="E2619" s="15"/>
      <c r="F2619" s="15"/>
      <c r="G2619" s="15">
        <f t="shared" si="742"/>
        <v>0</v>
      </c>
      <c r="H2619" s="16" t="s">
        <v>278</v>
      </c>
      <c r="I2619" s="10">
        <f t="shared" si="743"/>
        <v>645.16129032258061</v>
      </c>
      <c r="J2619" s="16" t="s">
        <v>16</v>
      </c>
      <c r="K2619" s="15"/>
      <c r="L2619" s="15"/>
      <c r="M2619" s="17"/>
      <c r="N2619" s="9"/>
      <c r="O2619" s="18">
        <f t="shared" si="744"/>
        <v>0</v>
      </c>
      <c r="P2619" s="9"/>
      <c r="Q2619" s="9"/>
      <c r="R2619" s="9"/>
      <c r="S2619" s="10">
        <f t="shared" si="740"/>
        <v>645.16129032258061</v>
      </c>
    </row>
    <row r="2620" spans="2:19" outlineLevel="1">
      <c r="B2620" s="13" t="s">
        <v>174</v>
      </c>
      <c r="C2620" s="7" t="str">
        <f t="shared" si="741"/>
        <v>ESPARGIDOR MERCEDES ATEGO 1719 PLACA OLX-8A75 ANO 2012</v>
      </c>
      <c r="D2620" s="8">
        <f t="shared" si="739"/>
        <v>46101</v>
      </c>
      <c r="E2620" s="15"/>
      <c r="F2620" s="15"/>
      <c r="G2620" s="15">
        <f t="shared" si="742"/>
        <v>0</v>
      </c>
      <c r="H2620" s="16" t="s">
        <v>278</v>
      </c>
      <c r="I2620" s="10">
        <f t="shared" si="743"/>
        <v>645.16129032258061</v>
      </c>
      <c r="J2620" s="16" t="s">
        <v>16</v>
      </c>
      <c r="K2620" s="15"/>
      <c r="L2620" s="15"/>
      <c r="M2620" s="17"/>
      <c r="N2620" s="9"/>
      <c r="O2620" s="18">
        <f t="shared" si="744"/>
        <v>0</v>
      </c>
      <c r="P2620" s="9"/>
      <c r="Q2620" s="9"/>
      <c r="R2620" s="9"/>
      <c r="S2620" s="10">
        <f t="shared" si="740"/>
        <v>645.16129032258061</v>
      </c>
    </row>
    <row r="2621" spans="2:19" outlineLevel="1">
      <c r="B2621" s="13" t="s">
        <v>174</v>
      </c>
      <c r="C2621" s="7" t="str">
        <f t="shared" si="741"/>
        <v>ESPARGIDOR MERCEDES ATEGO 1719 PLACA OLX-8A75 ANO 2012</v>
      </c>
      <c r="D2621" s="8">
        <f t="shared" si="739"/>
        <v>46102</v>
      </c>
      <c r="E2621" s="15"/>
      <c r="F2621" s="15"/>
      <c r="G2621" s="15">
        <f t="shared" si="742"/>
        <v>0</v>
      </c>
      <c r="H2621" s="16" t="s">
        <v>278</v>
      </c>
      <c r="I2621" s="10">
        <f t="shared" si="743"/>
        <v>645.16129032258061</v>
      </c>
      <c r="J2621" s="16" t="s">
        <v>16</v>
      </c>
      <c r="K2621" s="15"/>
      <c r="L2621" s="15"/>
      <c r="M2621" s="17"/>
      <c r="N2621" s="9"/>
      <c r="O2621" s="18">
        <f t="shared" si="744"/>
        <v>0</v>
      </c>
      <c r="P2621" s="9"/>
      <c r="Q2621" s="9"/>
      <c r="R2621" s="9"/>
      <c r="S2621" s="10">
        <f t="shared" si="740"/>
        <v>645.16129032258061</v>
      </c>
    </row>
    <row r="2622" spans="2:19" outlineLevel="1">
      <c r="B2622" s="13" t="s">
        <v>174</v>
      </c>
      <c r="C2622" s="7" t="str">
        <f t="shared" si="741"/>
        <v>ESPARGIDOR MERCEDES ATEGO 1719 PLACA OLX-8A75 ANO 2012</v>
      </c>
      <c r="D2622" s="8">
        <f t="shared" si="739"/>
        <v>46103</v>
      </c>
      <c r="E2622" s="15"/>
      <c r="F2622" s="15"/>
      <c r="G2622" s="15">
        <f t="shared" si="742"/>
        <v>0</v>
      </c>
      <c r="H2622" s="16" t="s">
        <v>278</v>
      </c>
      <c r="I2622" s="10">
        <f t="shared" si="743"/>
        <v>645.16129032258061</v>
      </c>
      <c r="J2622" s="16" t="s">
        <v>16</v>
      </c>
      <c r="K2622" s="15"/>
      <c r="L2622" s="15"/>
      <c r="M2622" s="17"/>
      <c r="N2622" s="9"/>
      <c r="O2622" s="18">
        <f t="shared" si="744"/>
        <v>0</v>
      </c>
      <c r="P2622" s="9"/>
      <c r="Q2622" s="9"/>
      <c r="R2622" s="9"/>
      <c r="S2622" s="10">
        <f t="shared" si="740"/>
        <v>645.16129032258061</v>
      </c>
    </row>
    <row r="2623" spans="2:19" outlineLevel="1">
      <c r="B2623" s="13" t="s">
        <v>174</v>
      </c>
      <c r="C2623" s="7" t="str">
        <f t="shared" si="741"/>
        <v>ESPARGIDOR MERCEDES ATEGO 1719 PLACA OLX-8A75 ANO 2012</v>
      </c>
      <c r="D2623" s="8">
        <f t="shared" si="739"/>
        <v>46104</v>
      </c>
      <c r="E2623" s="15"/>
      <c r="F2623" s="15"/>
      <c r="G2623" s="15">
        <f t="shared" si="742"/>
        <v>0</v>
      </c>
      <c r="H2623" s="16" t="s">
        <v>278</v>
      </c>
      <c r="I2623" s="10">
        <f t="shared" si="743"/>
        <v>645.16129032258061</v>
      </c>
      <c r="J2623" s="16" t="s">
        <v>16</v>
      </c>
      <c r="K2623" s="15"/>
      <c r="L2623" s="15"/>
      <c r="M2623" s="17"/>
      <c r="N2623" s="9"/>
      <c r="O2623" s="18">
        <f t="shared" si="744"/>
        <v>0</v>
      </c>
      <c r="P2623" s="9"/>
      <c r="Q2623" s="9"/>
      <c r="R2623" s="9"/>
      <c r="S2623" s="10">
        <f t="shared" si="740"/>
        <v>645.16129032258061</v>
      </c>
    </row>
    <row r="2624" spans="2:19" outlineLevel="1">
      <c r="B2624" s="13" t="s">
        <v>174</v>
      </c>
      <c r="C2624" s="7" t="str">
        <f t="shared" si="741"/>
        <v>ESPARGIDOR MERCEDES ATEGO 1719 PLACA OLX-8A75 ANO 2012</v>
      </c>
      <c r="D2624" s="8">
        <f t="shared" si="739"/>
        <v>46105</v>
      </c>
      <c r="E2624" s="15"/>
      <c r="F2624" s="15"/>
      <c r="G2624" s="15">
        <f t="shared" si="742"/>
        <v>0</v>
      </c>
      <c r="H2624" s="16" t="s">
        <v>278</v>
      </c>
      <c r="I2624" s="10">
        <f t="shared" si="743"/>
        <v>645.16129032258061</v>
      </c>
      <c r="J2624" s="16" t="s">
        <v>16</v>
      </c>
      <c r="K2624" s="15"/>
      <c r="L2624" s="15"/>
      <c r="M2624" s="17"/>
      <c r="N2624" s="9"/>
      <c r="O2624" s="18">
        <f t="shared" si="744"/>
        <v>0</v>
      </c>
      <c r="P2624" s="9"/>
      <c r="Q2624" s="9"/>
      <c r="R2624" s="9"/>
      <c r="S2624" s="10">
        <f t="shared" si="740"/>
        <v>645.16129032258061</v>
      </c>
    </row>
    <row r="2625" spans="2:19" outlineLevel="1">
      <c r="B2625" s="13" t="s">
        <v>174</v>
      </c>
      <c r="C2625" s="7" t="str">
        <f t="shared" si="741"/>
        <v>ESPARGIDOR MERCEDES ATEGO 1719 PLACA OLX-8A75 ANO 2012</v>
      </c>
      <c r="D2625" s="8">
        <f t="shared" si="739"/>
        <v>46106</v>
      </c>
      <c r="E2625" s="15"/>
      <c r="F2625" s="15"/>
      <c r="G2625" s="15">
        <f t="shared" si="742"/>
        <v>0</v>
      </c>
      <c r="H2625" s="16" t="s">
        <v>278</v>
      </c>
      <c r="I2625" s="10">
        <f t="shared" si="743"/>
        <v>645.16129032258061</v>
      </c>
      <c r="J2625" s="16" t="s">
        <v>16</v>
      </c>
      <c r="K2625" s="15"/>
      <c r="L2625" s="15"/>
      <c r="M2625" s="17"/>
      <c r="N2625" s="9"/>
      <c r="O2625" s="18">
        <f t="shared" si="744"/>
        <v>0</v>
      </c>
      <c r="P2625" s="9"/>
      <c r="Q2625" s="9"/>
      <c r="R2625" s="9"/>
      <c r="S2625" s="10">
        <f t="shared" si="740"/>
        <v>645.16129032258061</v>
      </c>
    </row>
    <row r="2626" spans="2:19" outlineLevel="1">
      <c r="B2626" s="13" t="s">
        <v>174</v>
      </c>
      <c r="C2626" s="7" t="str">
        <f t="shared" si="741"/>
        <v>ESPARGIDOR MERCEDES ATEGO 1719 PLACA OLX-8A75 ANO 2012</v>
      </c>
      <c r="D2626" s="8">
        <f t="shared" si="739"/>
        <v>46107</v>
      </c>
      <c r="E2626" s="15"/>
      <c r="F2626" s="15"/>
      <c r="G2626" s="15">
        <f t="shared" si="742"/>
        <v>0</v>
      </c>
      <c r="H2626" s="16" t="s">
        <v>278</v>
      </c>
      <c r="I2626" s="10">
        <f t="shared" si="743"/>
        <v>645.16129032258061</v>
      </c>
      <c r="J2626" s="16" t="s">
        <v>16</v>
      </c>
      <c r="K2626" s="15"/>
      <c r="L2626" s="15"/>
      <c r="M2626" s="17"/>
      <c r="N2626" s="9"/>
      <c r="O2626" s="18">
        <f t="shared" si="744"/>
        <v>0</v>
      </c>
      <c r="P2626" s="9"/>
      <c r="Q2626" s="9"/>
      <c r="R2626" s="9"/>
      <c r="S2626" s="10">
        <f t="shared" si="740"/>
        <v>645.16129032258061</v>
      </c>
    </row>
    <row r="2627" spans="2:19" outlineLevel="1">
      <c r="B2627" s="13" t="s">
        <v>174</v>
      </c>
      <c r="C2627" s="7" t="str">
        <f t="shared" si="741"/>
        <v>ESPARGIDOR MERCEDES ATEGO 1719 PLACA OLX-8A75 ANO 2012</v>
      </c>
      <c r="D2627" s="8">
        <f t="shared" si="739"/>
        <v>46108</v>
      </c>
      <c r="E2627" s="15"/>
      <c r="F2627" s="15"/>
      <c r="G2627" s="15">
        <f t="shared" si="742"/>
        <v>0</v>
      </c>
      <c r="H2627" s="16" t="s">
        <v>278</v>
      </c>
      <c r="I2627" s="10">
        <f t="shared" si="743"/>
        <v>645.16129032258061</v>
      </c>
      <c r="J2627" s="16" t="s">
        <v>16</v>
      </c>
      <c r="K2627" s="15"/>
      <c r="L2627" s="15"/>
      <c r="M2627" s="17"/>
      <c r="N2627" s="9"/>
      <c r="O2627" s="18">
        <f t="shared" si="744"/>
        <v>0</v>
      </c>
      <c r="P2627" s="9"/>
      <c r="Q2627" s="9"/>
      <c r="R2627" s="9"/>
      <c r="S2627" s="10">
        <f t="shared" si="740"/>
        <v>645.16129032258061</v>
      </c>
    </row>
    <row r="2628" spans="2:19" outlineLevel="1">
      <c r="B2628" s="13" t="s">
        <v>174</v>
      </c>
      <c r="C2628" s="7" t="str">
        <f t="shared" si="741"/>
        <v>ESPARGIDOR MERCEDES ATEGO 1719 PLACA OLX-8A75 ANO 2012</v>
      </c>
      <c r="D2628" s="8">
        <f t="shared" ref="D2628" si="745">D2560</f>
        <v>46109</v>
      </c>
      <c r="E2628" s="15"/>
      <c r="F2628" s="15"/>
      <c r="G2628" s="15">
        <f t="shared" si="742"/>
        <v>0</v>
      </c>
      <c r="H2628" s="16" t="s">
        <v>278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6">SUM(R2628+Q2628+I2628)</f>
        <v>645.16129032258061</v>
      </c>
    </row>
    <row r="2629" spans="2:19" outlineLevel="1">
      <c r="B2629" s="13" t="s">
        <v>174</v>
      </c>
      <c r="C2629" s="7" t="str">
        <f t="shared" si="741"/>
        <v>ESPARGIDOR MERCEDES ATEGO 1719 PLACA OLX-8A75 ANO 2012</v>
      </c>
      <c r="D2629" s="8">
        <f t="shared" ref="D2629:D2631" si="747">D2561</f>
        <v>46110</v>
      </c>
      <c r="E2629" s="15"/>
      <c r="F2629" s="15"/>
      <c r="G2629" s="15">
        <f t="shared" si="742"/>
        <v>0</v>
      </c>
      <c r="H2629" s="16" t="s">
        <v>278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6"/>
        <v>645.16129032258061</v>
      </c>
    </row>
    <row r="2630" spans="2:19" outlineLevel="1">
      <c r="B2630" s="13" t="s">
        <v>174</v>
      </c>
      <c r="C2630" s="7" t="str">
        <f t="shared" si="741"/>
        <v>ESPARGIDOR MERCEDES ATEGO 1719 PLACA OLX-8A75 ANO 2012</v>
      </c>
      <c r="D2630" s="8">
        <f t="shared" si="747"/>
        <v>46111</v>
      </c>
      <c r="E2630" s="15"/>
      <c r="F2630" s="15"/>
      <c r="G2630" s="15">
        <f t="shared" si="742"/>
        <v>0</v>
      </c>
      <c r="H2630" s="16" t="s">
        <v>278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6"/>
        <v>645.16129032258061</v>
      </c>
    </row>
    <row r="2631" spans="2:19" outlineLevel="1">
      <c r="B2631" s="13" t="s">
        <v>174</v>
      </c>
      <c r="C2631" s="7" t="str">
        <f t="shared" si="741"/>
        <v>ESPARGIDOR MERCEDES ATEGO 1719 PLACA OLX-8A75 ANO 2012</v>
      </c>
      <c r="D2631" s="8">
        <f t="shared" si="747"/>
        <v>46112</v>
      </c>
      <c r="E2631" s="15"/>
      <c r="F2631" s="15"/>
      <c r="G2631" s="15">
        <f t="shared" si="742"/>
        <v>0</v>
      </c>
      <c r="H2631" s="16" t="s">
        <v>278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0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254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8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49">C$2633</f>
        <v>ESPARGIDOR BM 1518 LK ANO 1988 PLACA GNU5976</v>
      </c>
      <c r="D2636" s="8">
        <f t="shared" si="748"/>
        <v>46083</v>
      </c>
      <c r="E2636" s="15"/>
      <c r="F2636" s="15"/>
      <c r="G2636" s="15">
        <f t="shared" ref="G2636:G2638" si="750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1">SUM(R2636+Q2636+I2636)</f>
        <v>645.16129032258061</v>
      </c>
    </row>
    <row r="2637" spans="2:19" outlineLevel="1">
      <c r="B2637" s="13" t="s">
        <v>175</v>
      </c>
      <c r="C2637" s="7" t="str">
        <f t="shared" si="749"/>
        <v>ESPARGIDOR BM 1518 LK ANO 1988 PLACA GNU5976</v>
      </c>
      <c r="D2637" s="8">
        <f t="shared" si="748"/>
        <v>46084</v>
      </c>
      <c r="E2637" s="15"/>
      <c r="F2637" s="15"/>
      <c r="G2637" s="15">
        <f t="shared" si="750"/>
        <v>0</v>
      </c>
      <c r="H2637" s="16" t="s">
        <v>6</v>
      </c>
      <c r="I2637" s="10">
        <f t="shared" ref="I2637:I2661" si="752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1"/>
        <v>645.16129032258061</v>
      </c>
    </row>
    <row r="2638" spans="2:19" outlineLevel="1">
      <c r="B2638" s="13" t="s">
        <v>175</v>
      </c>
      <c r="C2638" s="7" t="str">
        <f t="shared" si="749"/>
        <v>ESPARGIDOR BM 1518 LK ANO 1988 PLACA GNU5976</v>
      </c>
      <c r="D2638" s="8">
        <f t="shared" si="748"/>
        <v>46085</v>
      </c>
      <c r="E2638" s="15"/>
      <c r="F2638" s="15"/>
      <c r="G2638" s="15">
        <f t="shared" si="750"/>
        <v>0</v>
      </c>
      <c r="H2638" s="16" t="s">
        <v>6</v>
      </c>
      <c r="I2638" s="10">
        <f t="shared" si="752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1"/>
        <v>645.16129032258061</v>
      </c>
    </row>
    <row r="2639" spans="2:19" outlineLevel="1">
      <c r="B2639" s="13" t="s">
        <v>175</v>
      </c>
      <c r="C2639" s="7" t="str">
        <f t="shared" si="749"/>
        <v>ESPARGIDOR BM 1518 LK ANO 1988 PLACA GNU5976</v>
      </c>
      <c r="D2639" s="8">
        <f t="shared" si="748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2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1"/>
        <v>645.16129032258061</v>
      </c>
    </row>
    <row r="2640" spans="2:19" outlineLevel="1">
      <c r="B2640" s="13" t="s">
        <v>175</v>
      </c>
      <c r="C2640" s="7" t="str">
        <f t="shared" si="749"/>
        <v>ESPARGIDOR BM 1518 LK ANO 1988 PLACA GNU5976</v>
      </c>
      <c r="D2640" s="8">
        <f t="shared" si="748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2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1"/>
        <v>645.16129032258061</v>
      </c>
    </row>
    <row r="2641" spans="2:19" outlineLevel="1">
      <c r="B2641" s="13" t="s">
        <v>175</v>
      </c>
      <c r="C2641" s="7" t="str">
        <f t="shared" si="749"/>
        <v>ESPARGIDOR BM 1518 LK ANO 1988 PLACA GNU5976</v>
      </c>
      <c r="D2641" s="8">
        <f t="shared" si="748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2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1"/>
        <v>645.16129032258061</v>
      </c>
    </row>
    <row r="2642" spans="2:19" outlineLevel="1">
      <c r="B2642" s="13" t="s">
        <v>175</v>
      </c>
      <c r="C2642" s="7" t="str">
        <f t="shared" si="749"/>
        <v>ESPARGIDOR BM 1518 LK ANO 1988 PLACA GNU5976</v>
      </c>
      <c r="D2642" s="8">
        <f t="shared" si="748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2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1"/>
        <v>645.16129032258061</v>
      </c>
    </row>
    <row r="2643" spans="2:19" outlineLevel="1">
      <c r="B2643" s="13" t="s">
        <v>175</v>
      </c>
      <c r="C2643" s="7" t="str">
        <f t="shared" si="749"/>
        <v>ESPARGIDOR BM 1518 LK ANO 1988 PLACA GNU5976</v>
      </c>
      <c r="D2643" s="8">
        <f t="shared" si="748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2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1"/>
        <v>645.16129032258061</v>
      </c>
    </row>
    <row r="2644" spans="2:19" outlineLevel="1">
      <c r="B2644" s="13" t="s">
        <v>175</v>
      </c>
      <c r="C2644" s="7" t="str">
        <f t="shared" si="749"/>
        <v>ESPARGIDOR BM 1518 LK ANO 1988 PLACA GNU5976</v>
      </c>
      <c r="D2644" s="8">
        <f t="shared" si="748"/>
        <v>46091</v>
      </c>
      <c r="E2644" s="15"/>
      <c r="F2644" s="15"/>
      <c r="G2644" s="15">
        <f t="shared" ref="G2644:G2665" si="753">F2644-E2644</f>
        <v>0</v>
      </c>
      <c r="H2644" s="16" t="s">
        <v>6</v>
      </c>
      <c r="I2644" s="10">
        <f t="shared" si="752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4">O2643</f>
        <v>0</v>
      </c>
      <c r="P2644" s="9"/>
      <c r="Q2644" s="9"/>
      <c r="R2644" s="72"/>
      <c r="S2644" s="10">
        <f t="shared" si="751"/>
        <v>645.16129032258061</v>
      </c>
    </row>
    <row r="2645" spans="2:19" outlineLevel="1">
      <c r="B2645" s="13" t="s">
        <v>175</v>
      </c>
      <c r="C2645" s="7" t="str">
        <f t="shared" si="749"/>
        <v>ESPARGIDOR BM 1518 LK ANO 1988 PLACA GNU5976</v>
      </c>
      <c r="D2645" s="8">
        <f t="shared" si="748"/>
        <v>46092</v>
      </c>
      <c r="E2645" s="15"/>
      <c r="F2645" s="15"/>
      <c r="G2645" s="15">
        <f t="shared" si="753"/>
        <v>0</v>
      </c>
      <c r="H2645" s="16" t="s">
        <v>6</v>
      </c>
      <c r="I2645" s="10">
        <f t="shared" si="752"/>
        <v>645.16129032258061</v>
      </c>
      <c r="J2645" s="16" t="s">
        <v>201</v>
      </c>
      <c r="K2645" s="15"/>
      <c r="L2645" s="15"/>
      <c r="M2645" s="17"/>
      <c r="N2645" s="9"/>
      <c r="O2645" s="18">
        <f t="shared" si="754"/>
        <v>0</v>
      </c>
      <c r="P2645" s="9"/>
      <c r="Q2645" s="9"/>
      <c r="R2645" s="72"/>
      <c r="S2645" s="10">
        <f t="shared" si="751"/>
        <v>645.16129032258061</v>
      </c>
    </row>
    <row r="2646" spans="2:19" outlineLevel="1">
      <c r="B2646" s="13" t="s">
        <v>175</v>
      </c>
      <c r="C2646" s="7" t="str">
        <f t="shared" si="749"/>
        <v>ESPARGIDOR BM 1518 LK ANO 1988 PLACA GNU5976</v>
      </c>
      <c r="D2646" s="8">
        <f t="shared" si="748"/>
        <v>46093</v>
      </c>
      <c r="E2646" s="15"/>
      <c r="F2646" s="15"/>
      <c r="G2646" s="15">
        <f t="shared" si="753"/>
        <v>0</v>
      </c>
      <c r="H2646" s="16" t="s">
        <v>6</v>
      </c>
      <c r="I2646" s="10">
        <f t="shared" si="752"/>
        <v>645.16129032258061</v>
      </c>
      <c r="J2646" s="16" t="s">
        <v>201</v>
      </c>
      <c r="K2646" s="15"/>
      <c r="L2646" s="15"/>
      <c r="M2646" s="17"/>
      <c r="N2646" s="9"/>
      <c r="O2646" s="18">
        <f t="shared" si="754"/>
        <v>0</v>
      </c>
      <c r="P2646" s="9"/>
      <c r="Q2646" s="9"/>
      <c r="R2646" s="72"/>
      <c r="S2646" s="10">
        <f t="shared" si="751"/>
        <v>645.16129032258061</v>
      </c>
    </row>
    <row r="2647" spans="2:19" outlineLevel="1">
      <c r="B2647" s="13" t="s">
        <v>175</v>
      </c>
      <c r="C2647" s="7" t="str">
        <f t="shared" si="749"/>
        <v>ESPARGIDOR BM 1518 LK ANO 1988 PLACA GNU5976</v>
      </c>
      <c r="D2647" s="8">
        <f t="shared" si="748"/>
        <v>46094</v>
      </c>
      <c r="E2647" s="15"/>
      <c r="F2647" s="15"/>
      <c r="G2647" s="15">
        <f t="shared" si="753"/>
        <v>0</v>
      </c>
      <c r="H2647" s="16" t="s">
        <v>6</v>
      </c>
      <c r="I2647" s="10">
        <f t="shared" si="752"/>
        <v>645.16129032258061</v>
      </c>
      <c r="J2647" s="16" t="s">
        <v>201</v>
      </c>
      <c r="K2647" s="15"/>
      <c r="L2647" s="15"/>
      <c r="M2647" s="17"/>
      <c r="N2647" s="9"/>
      <c r="O2647" s="18">
        <f t="shared" si="754"/>
        <v>0</v>
      </c>
      <c r="P2647" s="9"/>
      <c r="Q2647" s="9"/>
      <c r="R2647" s="72"/>
      <c r="S2647" s="10">
        <f t="shared" si="751"/>
        <v>645.16129032258061</v>
      </c>
    </row>
    <row r="2648" spans="2:19" outlineLevel="1">
      <c r="B2648" s="13" t="s">
        <v>175</v>
      </c>
      <c r="C2648" s="7" t="str">
        <f t="shared" si="749"/>
        <v>ESPARGIDOR BM 1518 LK ANO 1988 PLACA GNU5976</v>
      </c>
      <c r="D2648" s="8">
        <f t="shared" si="748"/>
        <v>46095</v>
      </c>
      <c r="E2648" s="15"/>
      <c r="F2648" s="15"/>
      <c r="G2648" s="15">
        <f t="shared" si="753"/>
        <v>0</v>
      </c>
      <c r="H2648" s="16" t="s">
        <v>6</v>
      </c>
      <c r="I2648" s="10">
        <f t="shared" si="752"/>
        <v>645.16129032258061</v>
      </c>
      <c r="J2648" s="16" t="s">
        <v>201</v>
      </c>
      <c r="K2648" s="15"/>
      <c r="L2648" s="15"/>
      <c r="M2648" s="17"/>
      <c r="N2648" s="9"/>
      <c r="O2648" s="18">
        <f t="shared" si="754"/>
        <v>0</v>
      </c>
      <c r="P2648" s="9"/>
      <c r="Q2648" s="9"/>
      <c r="R2648" s="72"/>
      <c r="S2648" s="10">
        <f t="shared" si="751"/>
        <v>645.16129032258061</v>
      </c>
    </row>
    <row r="2649" spans="2:19" outlineLevel="1">
      <c r="B2649" s="13" t="s">
        <v>175</v>
      </c>
      <c r="C2649" s="7" t="str">
        <f t="shared" si="749"/>
        <v>ESPARGIDOR BM 1518 LK ANO 1988 PLACA GNU5976</v>
      </c>
      <c r="D2649" s="8">
        <f t="shared" si="748"/>
        <v>46096</v>
      </c>
      <c r="E2649" s="15"/>
      <c r="F2649" s="15"/>
      <c r="G2649" s="15">
        <f t="shared" si="753"/>
        <v>0</v>
      </c>
      <c r="H2649" s="16" t="s">
        <v>6</v>
      </c>
      <c r="I2649" s="10">
        <f t="shared" si="752"/>
        <v>645.16129032258061</v>
      </c>
      <c r="J2649" s="16" t="s">
        <v>201</v>
      </c>
      <c r="K2649" s="15"/>
      <c r="L2649" s="15"/>
      <c r="M2649" s="17"/>
      <c r="N2649" s="9"/>
      <c r="O2649" s="18">
        <f t="shared" si="754"/>
        <v>0</v>
      </c>
      <c r="P2649" s="9"/>
      <c r="Q2649" s="9"/>
      <c r="R2649" s="72"/>
      <c r="S2649" s="10">
        <f t="shared" si="751"/>
        <v>645.16129032258061</v>
      </c>
    </row>
    <row r="2650" spans="2:19" outlineLevel="1">
      <c r="B2650" s="13" t="s">
        <v>175</v>
      </c>
      <c r="C2650" s="7" t="str">
        <f t="shared" si="749"/>
        <v>ESPARGIDOR BM 1518 LK ANO 1988 PLACA GNU5976</v>
      </c>
      <c r="D2650" s="8">
        <f t="shared" si="748"/>
        <v>46097</v>
      </c>
      <c r="E2650" s="15"/>
      <c r="F2650" s="15"/>
      <c r="G2650" s="15">
        <f t="shared" si="753"/>
        <v>0</v>
      </c>
      <c r="H2650" s="16" t="s">
        <v>6</v>
      </c>
      <c r="I2650" s="10">
        <f t="shared" si="752"/>
        <v>645.16129032258061</v>
      </c>
      <c r="J2650" s="16" t="s">
        <v>201</v>
      </c>
      <c r="K2650" s="15"/>
      <c r="L2650" s="15"/>
      <c r="M2650" s="17"/>
      <c r="N2650" s="9"/>
      <c r="O2650" s="18">
        <f t="shared" si="754"/>
        <v>0</v>
      </c>
      <c r="P2650" s="9"/>
      <c r="Q2650" s="9"/>
      <c r="R2650" s="72"/>
      <c r="S2650" s="10">
        <f t="shared" si="751"/>
        <v>645.16129032258061</v>
      </c>
    </row>
    <row r="2651" spans="2:19" outlineLevel="1">
      <c r="B2651" s="13" t="s">
        <v>175</v>
      </c>
      <c r="C2651" s="7" t="str">
        <f t="shared" si="749"/>
        <v>ESPARGIDOR BM 1518 LK ANO 1988 PLACA GNU5976</v>
      </c>
      <c r="D2651" s="8">
        <f t="shared" si="748"/>
        <v>46098</v>
      </c>
      <c r="E2651" s="15"/>
      <c r="F2651" s="15"/>
      <c r="G2651" s="15">
        <f t="shared" si="753"/>
        <v>0</v>
      </c>
      <c r="H2651" s="16" t="s">
        <v>6</v>
      </c>
      <c r="I2651" s="10">
        <f t="shared" si="752"/>
        <v>645.16129032258061</v>
      </c>
      <c r="J2651" s="16" t="s">
        <v>201</v>
      </c>
      <c r="K2651" s="15"/>
      <c r="L2651" s="15"/>
      <c r="M2651" s="17"/>
      <c r="N2651" s="9"/>
      <c r="O2651" s="18">
        <f t="shared" si="754"/>
        <v>0</v>
      </c>
      <c r="P2651" s="9"/>
      <c r="Q2651" s="9"/>
      <c r="R2651" s="72"/>
      <c r="S2651" s="10">
        <f t="shared" si="751"/>
        <v>645.16129032258061</v>
      </c>
    </row>
    <row r="2652" spans="2:19" outlineLevel="1">
      <c r="B2652" s="13" t="s">
        <v>175</v>
      </c>
      <c r="C2652" s="7" t="str">
        <f t="shared" si="749"/>
        <v>ESPARGIDOR BM 1518 LK ANO 1988 PLACA GNU5976</v>
      </c>
      <c r="D2652" s="8">
        <f t="shared" si="748"/>
        <v>46099</v>
      </c>
      <c r="E2652" s="15"/>
      <c r="F2652" s="15"/>
      <c r="G2652" s="15">
        <f t="shared" si="753"/>
        <v>0</v>
      </c>
      <c r="H2652" s="16" t="s">
        <v>6</v>
      </c>
      <c r="I2652" s="10">
        <f t="shared" si="752"/>
        <v>645.16129032258061</v>
      </c>
      <c r="J2652" s="16" t="s">
        <v>201</v>
      </c>
      <c r="K2652" s="15"/>
      <c r="L2652" s="15"/>
      <c r="M2652" s="17"/>
      <c r="N2652" s="9"/>
      <c r="O2652" s="18">
        <f t="shared" si="754"/>
        <v>0</v>
      </c>
      <c r="P2652" s="9"/>
      <c r="Q2652" s="9"/>
      <c r="R2652" s="72"/>
      <c r="S2652" s="10">
        <f t="shared" si="751"/>
        <v>645.16129032258061</v>
      </c>
    </row>
    <row r="2653" spans="2:19" outlineLevel="1">
      <c r="B2653" s="13" t="s">
        <v>175</v>
      </c>
      <c r="C2653" s="7" t="str">
        <f t="shared" si="749"/>
        <v>ESPARGIDOR BM 1518 LK ANO 1988 PLACA GNU5976</v>
      </c>
      <c r="D2653" s="8">
        <f t="shared" si="748"/>
        <v>46100</v>
      </c>
      <c r="E2653" s="15"/>
      <c r="F2653" s="15"/>
      <c r="G2653" s="15">
        <f t="shared" si="753"/>
        <v>0</v>
      </c>
      <c r="H2653" s="16" t="s">
        <v>6</v>
      </c>
      <c r="I2653" s="10">
        <f t="shared" si="752"/>
        <v>645.16129032258061</v>
      </c>
      <c r="J2653" s="16" t="s">
        <v>201</v>
      </c>
      <c r="K2653" s="15"/>
      <c r="L2653" s="15"/>
      <c r="M2653" s="17"/>
      <c r="N2653" s="9"/>
      <c r="O2653" s="18">
        <f t="shared" si="754"/>
        <v>0</v>
      </c>
      <c r="P2653" s="9"/>
      <c r="Q2653" s="9"/>
      <c r="R2653" s="72"/>
      <c r="S2653" s="10">
        <f t="shared" si="751"/>
        <v>645.16129032258061</v>
      </c>
    </row>
    <row r="2654" spans="2:19" outlineLevel="1">
      <c r="B2654" s="13" t="s">
        <v>175</v>
      </c>
      <c r="C2654" s="7" t="str">
        <f t="shared" si="749"/>
        <v>ESPARGIDOR BM 1518 LK ANO 1988 PLACA GNU5976</v>
      </c>
      <c r="D2654" s="8">
        <f t="shared" si="748"/>
        <v>46101</v>
      </c>
      <c r="E2654" s="15"/>
      <c r="F2654" s="15"/>
      <c r="G2654" s="15">
        <f t="shared" si="753"/>
        <v>0</v>
      </c>
      <c r="H2654" s="16" t="s">
        <v>6</v>
      </c>
      <c r="I2654" s="10">
        <f t="shared" si="752"/>
        <v>645.16129032258061</v>
      </c>
      <c r="J2654" s="16" t="s">
        <v>201</v>
      </c>
      <c r="K2654" s="15"/>
      <c r="L2654" s="15"/>
      <c r="M2654" s="17"/>
      <c r="N2654" s="9"/>
      <c r="O2654" s="18">
        <f t="shared" si="754"/>
        <v>0</v>
      </c>
      <c r="P2654" s="9"/>
      <c r="Q2654" s="9"/>
      <c r="R2654" s="72"/>
      <c r="S2654" s="10">
        <f t="shared" si="751"/>
        <v>645.16129032258061</v>
      </c>
    </row>
    <row r="2655" spans="2:19" outlineLevel="1">
      <c r="B2655" s="13" t="s">
        <v>175</v>
      </c>
      <c r="C2655" s="7" t="str">
        <f t="shared" si="749"/>
        <v>ESPARGIDOR BM 1518 LK ANO 1988 PLACA GNU5976</v>
      </c>
      <c r="D2655" s="8">
        <f t="shared" si="748"/>
        <v>46102</v>
      </c>
      <c r="E2655" s="15"/>
      <c r="F2655" s="15"/>
      <c r="G2655" s="15">
        <f t="shared" si="753"/>
        <v>0</v>
      </c>
      <c r="H2655" s="16" t="s">
        <v>6</v>
      </c>
      <c r="I2655" s="10">
        <f t="shared" si="752"/>
        <v>645.16129032258061</v>
      </c>
      <c r="J2655" s="16" t="s">
        <v>201</v>
      </c>
      <c r="K2655" s="15"/>
      <c r="L2655" s="15"/>
      <c r="M2655" s="17"/>
      <c r="N2655" s="9"/>
      <c r="O2655" s="18">
        <f t="shared" si="754"/>
        <v>0</v>
      </c>
      <c r="P2655" s="9"/>
      <c r="Q2655" s="9"/>
      <c r="R2655" s="72"/>
      <c r="S2655" s="10">
        <f t="shared" si="751"/>
        <v>645.16129032258061</v>
      </c>
    </row>
    <row r="2656" spans="2:19" outlineLevel="1">
      <c r="B2656" s="13" t="s">
        <v>175</v>
      </c>
      <c r="C2656" s="7" t="str">
        <f t="shared" si="749"/>
        <v>ESPARGIDOR BM 1518 LK ANO 1988 PLACA GNU5976</v>
      </c>
      <c r="D2656" s="8">
        <f t="shared" si="748"/>
        <v>46103</v>
      </c>
      <c r="E2656" s="15"/>
      <c r="F2656" s="15"/>
      <c r="G2656" s="15">
        <f t="shared" si="753"/>
        <v>0</v>
      </c>
      <c r="H2656" s="16" t="s">
        <v>6</v>
      </c>
      <c r="I2656" s="10">
        <f t="shared" si="752"/>
        <v>645.16129032258061</v>
      </c>
      <c r="J2656" s="16" t="s">
        <v>201</v>
      </c>
      <c r="K2656" s="15"/>
      <c r="L2656" s="15"/>
      <c r="M2656" s="17"/>
      <c r="N2656" s="9"/>
      <c r="O2656" s="18">
        <f t="shared" si="754"/>
        <v>0</v>
      </c>
      <c r="P2656" s="9"/>
      <c r="Q2656" s="9"/>
      <c r="R2656" s="72"/>
      <c r="S2656" s="10">
        <f t="shared" si="751"/>
        <v>645.16129032258061</v>
      </c>
    </row>
    <row r="2657" spans="2:19" outlineLevel="1">
      <c r="B2657" s="13" t="s">
        <v>175</v>
      </c>
      <c r="C2657" s="7" t="str">
        <f t="shared" si="749"/>
        <v>ESPARGIDOR BM 1518 LK ANO 1988 PLACA GNU5976</v>
      </c>
      <c r="D2657" s="8">
        <f t="shared" si="748"/>
        <v>46104</v>
      </c>
      <c r="E2657" s="15"/>
      <c r="F2657" s="15"/>
      <c r="G2657" s="15">
        <f t="shared" si="753"/>
        <v>0</v>
      </c>
      <c r="H2657" s="16" t="s">
        <v>6</v>
      </c>
      <c r="I2657" s="10">
        <f t="shared" si="752"/>
        <v>645.16129032258061</v>
      </c>
      <c r="J2657" s="16" t="s">
        <v>201</v>
      </c>
      <c r="K2657" s="15"/>
      <c r="L2657" s="15"/>
      <c r="M2657" s="17"/>
      <c r="N2657" s="9"/>
      <c r="O2657" s="18">
        <f t="shared" si="754"/>
        <v>0</v>
      </c>
      <c r="P2657" s="9"/>
      <c r="Q2657" s="9"/>
      <c r="R2657" s="72"/>
      <c r="S2657" s="10">
        <f t="shared" si="751"/>
        <v>645.16129032258061</v>
      </c>
    </row>
    <row r="2658" spans="2:19" outlineLevel="1">
      <c r="B2658" s="13" t="s">
        <v>175</v>
      </c>
      <c r="C2658" s="7" t="str">
        <f t="shared" si="749"/>
        <v>ESPARGIDOR BM 1518 LK ANO 1988 PLACA GNU5976</v>
      </c>
      <c r="D2658" s="8">
        <f t="shared" si="748"/>
        <v>46105</v>
      </c>
      <c r="E2658" s="15"/>
      <c r="F2658" s="15"/>
      <c r="G2658" s="15">
        <f t="shared" si="753"/>
        <v>0</v>
      </c>
      <c r="H2658" s="16" t="s">
        <v>6</v>
      </c>
      <c r="I2658" s="10">
        <f t="shared" si="752"/>
        <v>645.16129032258061</v>
      </c>
      <c r="J2658" s="16" t="s">
        <v>201</v>
      </c>
      <c r="K2658" s="15"/>
      <c r="L2658" s="15"/>
      <c r="M2658" s="17"/>
      <c r="N2658" s="9"/>
      <c r="O2658" s="18">
        <f t="shared" si="754"/>
        <v>0</v>
      </c>
      <c r="P2658" s="9"/>
      <c r="Q2658" s="9"/>
      <c r="R2658" s="72"/>
      <c r="S2658" s="10">
        <f t="shared" si="751"/>
        <v>645.16129032258061</v>
      </c>
    </row>
    <row r="2659" spans="2:19" outlineLevel="1">
      <c r="B2659" s="13" t="s">
        <v>175</v>
      </c>
      <c r="C2659" s="7" t="str">
        <f t="shared" si="749"/>
        <v>ESPARGIDOR BM 1518 LK ANO 1988 PLACA GNU5976</v>
      </c>
      <c r="D2659" s="8">
        <f t="shared" si="748"/>
        <v>46106</v>
      </c>
      <c r="E2659" s="15"/>
      <c r="F2659" s="15"/>
      <c r="G2659" s="15">
        <f t="shared" si="753"/>
        <v>0</v>
      </c>
      <c r="H2659" s="16" t="s">
        <v>6</v>
      </c>
      <c r="I2659" s="10">
        <f t="shared" si="752"/>
        <v>645.16129032258061</v>
      </c>
      <c r="J2659" s="16" t="s">
        <v>201</v>
      </c>
      <c r="K2659" s="15"/>
      <c r="L2659" s="15"/>
      <c r="M2659" s="17"/>
      <c r="N2659" s="9"/>
      <c r="O2659" s="18">
        <f t="shared" si="754"/>
        <v>0</v>
      </c>
      <c r="P2659" s="9"/>
      <c r="Q2659" s="9"/>
      <c r="R2659" s="72"/>
      <c r="S2659" s="10">
        <f t="shared" si="751"/>
        <v>645.16129032258061</v>
      </c>
    </row>
    <row r="2660" spans="2:19" outlineLevel="1">
      <c r="B2660" s="13" t="s">
        <v>175</v>
      </c>
      <c r="C2660" s="7" t="str">
        <f t="shared" si="749"/>
        <v>ESPARGIDOR BM 1518 LK ANO 1988 PLACA GNU5976</v>
      </c>
      <c r="D2660" s="8">
        <f t="shared" si="748"/>
        <v>46107</v>
      </c>
      <c r="E2660" s="15"/>
      <c r="F2660" s="15"/>
      <c r="G2660" s="15">
        <f t="shared" si="753"/>
        <v>0</v>
      </c>
      <c r="H2660" s="16" t="s">
        <v>6</v>
      </c>
      <c r="I2660" s="10">
        <f t="shared" si="752"/>
        <v>645.16129032258061</v>
      </c>
      <c r="J2660" s="16" t="s">
        <v>201</v>
      </c>
      <c r="K2660" s="15"/>
      <c r="L2660" s="15"/>
      <c r="M2660" s="17"/>
      <c r="N2660" s="9"/>
      <c r="O2660" s="18">
        <f t="shared" si="754"/>
        <v>0</v>
      </c>
      <c r="P2660" s="9"/>
      <c r="Q2660" s="9"/>
      <c r="R2660" s="72"/>
      <c r="S2660" s="10">
        <f t="shared" si="751"/>
        <v>645.16129032258061</v>
      </c>
    </row>
    <row r="2661" spans="2:19" outlineLevel="1">
      <c r="B2661" s="13" t="s">
        <v>175</v>
      </c>
      <c r="C2661" s="7" t="str">
        <f t="shared" si="749"/>
        <v>ESPARGIDOR BM 1518 LK ANO 1988 PLACA GNU5976</v>
      </c>
      <c r="D2661" s="8">
        <f t="shared" si="748"/>
        <v>46108</v>
      </c>
      <c r="E2661" s="15"/>
      <c r="F2661" s="15"/>
      <c r="G2661" s="15">
        <f t="shared" si="753"/>
        <v>0</v>
      </c>
      <c r="H2661" s="16" t="s">
        <v>6</v>
      </c>
      <c r="I2661" s="10">
        <f t="shared" si="752"/>
        <v>645.16129032258061</v>
      </c>
      <c r="J2661" s="16" t="s">
        <v>201</v>
      </c>
      <c r="K2661" s="15"/>
      <c r="L2661" s="15"/>
      <c r="M2661" s="17"/>
      <c r="N2661" s="9"/>
      <c r="O2661" s="18">
        <f t="shared" si="754"/>
        <v>0</v>
      </c>
      <c r="P2661" s="9"/>
      <c r="Q2661" s="9"/>
      <c r="R2661" s="72"/>
      <c r="S2661" s="10">
        <f t="shared" si="751"/>
        <v>645.16129032258061</v>
      </c>
    </row>
    <row r="2662" spans="2:19" outlineLevel="1">
      <c r="B2662" s="13" t="s">
        <v>175</v>
      </c>
      <c r="C2662" s="7" t="str">
        <f t="shared" si="749"/>
        <v>ESPARGIDOR BM 1518 LK ANO 1988 PLACA GNU5976</v>
      </c>
      <c r="D2662" s="8">
        <f t="shared" ref="D2662" si="755">D2594</f>
        <v>46109</v>
      </c>
      <c r="E2662" s="15"/>
      <c r="F2662" s="15"/>
      <c r="G2662" s="15">
        <f t="shared" ref="G2662:G2664" si="756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7">SUM(R2662+Q2662+I2662)</f>
        <v>645.16129032258061</v>
      </c>
    </row>
    <row r="2663" spans="2:19" outlineLevel="1">
      <c r="B2663" s="13" t="s">
        <v>175</v>
      </c>
      <c r="C2663" s="7" t="str">
        <f t="shared" si="749"/>
        <v>ESPARGIDOR BM 1518 LK ANO 1988 PLACA GNU5976</v>
      </c>
      <c r="D2663" s="8">
        <f t="shared" ref="D2663:D2665" si="758">D2595</f>
        <v>46110</v>
      </c>
      <c r="E2663" s="15"/>
      <c r="F2663" s="15"/>
      <c r="G2663" s="15">
        <f t="shared" si="756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7"/>
        <v>645.16129032258061</v>
      </c>
    </row>
    <row r="2664" spans="2:19" outlineLevel="1">
      <c r="B2664" s="13" t="s">
        <v>175</v>
      </c>
      <c r="C2664" s="7" t="str">
        <f t="shared" si="749"/>
        <v>ESPARGIDOR BM 1518 LK ANO 1988 PLACA GNU5976</v>
      </c>
      <c r="D2664" s="8">
        <f t="shared" si="758"/>
        <v>46111</v>
      </c>
      <c r="E2664" s="15"/>
      <c r="F2664" s="15"/>
      <c r="G2664" s="15">
        <f t="shared" si="756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7"/>
        <v>645.16129032258061</v>
      </c>
    </row>
    <row r="2665" spans="2:19" outlineLevel="1">
      <c r="B2665" s="13" t="s">
        <v>175</v>
      </c>
      <c r="C2665" s="7" t="str">
        <f t="shared" si="749"/>
        <v>ESPARGIDOR BM 1518 LK ANO 1988 PLACA GNU5976</v>
      </c>
      <c r="D2665" s="8">
        <f t="shared" si="758"/>
        <v>46112</v>
      </c>
      <c r="E2665" s="15"/>
      <c r="F2665" s="15"/>
      <c r="G2665" s="15">
        <f t="shared" si="753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1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59">C$2667</f>
        <v>MDR CARRETA ESPALHADOR DE AGREGADOS 20 M3</v>
      </c>
      <c r="D2669" s="8">
        <f t="shared" ref="D2669:D2695" si="760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59"/>
        <v>MDR CARRETA ESPALHADOR DE AGREGADOS 20 M3</v>
      </c>
      <c r="D2670" s="8">
        <f t="shared" si="760"/>
        <v>46083</v>
      </c>
      <c r="E2670" s="15"/>
      <c r="F2670" s="15"/>
      <c r="G2670" s="15">
        <f t="shared" ref="G2670:G2699" si="761">F2670*E2670</f>
        <v>0</v>
      </c>
      <c r="H2670" s="16" t="s">
        <v>6</v>
      </c>
      <c r="I2670" s="10">
        <f t="shared" ref="I2670:I2699" si="762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3">O2670*G2670</f>
        <v>0</v>
      </c>
      <c r="Q2670" s="9"/>
      <c r="R2670" s="85">
        <v>0</v>
      </c>
      <c r="S2670" s="10">
        <f t="shared" ref="S2670:S2699" si="764">SUM(R2670+Q2670+I2670)</f>
        <v>0</v>
      </c>
    </row>
    <row r="2671" spans="2:19" outlineLevel="1">
      <c r="B2671" s="13" t="s">
        <v>177</v>
      </c>
      <c r="C2671" s="7" t="str">
        <f t="shared" si="759"/>
        <v>MDR CARRETA ESPALHADOR DE AGREGADOS 20 M3</v>
      </c>
      <c r="D2671" s="8">
        <f t="shared" si="760"/>
        <v>46084</v>
      </c>
      <c r="E2671" s="15"/>
      <c r="F2671" s="15"/>
      <c r="G2671" s="15">
        <f t="shared" si="761"/>
        <v>0</v>
      </c>
      <c r="H2671" s="16" t="s">
        <v>6</v>
      </c>
      <c r="I2671" s="10">
        <f t="shared" si="762"/>
        <v>0</v>
      </c>
      <c r="J2671" s="16" t="s">
        <v>201</v>
      </c>
      <c r="K2671" s="15"/>
      <c r="L2671" s="15"/>
      <c r="M2671" s="16"/>
      <c r="N2671" s="8"/>
      <c r="O2671" s="18">
        <f t="shared" ref="O2671:O2695" si="765">O2670</f>
        <v>1</v>
      </c>
      <c r="P2671" s="9">
        <f t="shared" si="763"/>
        <v>0</v>
      </c>
      <c r="Q2671" s="9"/>
      <c r="R2671" s="85">
        <v>0</v>
      </c>
      <c r="S2671" s="10">
        <f t="shared" si="764"/>
        <v>0</v>
      </c>
    </row>
    <row r="2672" spans="2:19" outlineLevel="1">
      <c r="B2672" s="13" t="s">
        <v>177</v>
      </c>
      <c r="C2672" s="7" t="str">
        <f t="shared" si="759"/>
        <v>MDR CARRETA ESPALHADOR DE AGREGADOS 20 M3</v>
      </c>
      <c r="D2672" s="8">
        <f t="shared" si="760"/>
        <v>46085</v>
      </c>
      <c r="E2672" s="15"/>
      <c r="F2672" s="15"/>
      <c r="G2672" s="15">
        <f t="shared" si="761"/>
        <v>0</v>
      </c>
      <c r="H2672" s="16" t="s">
        <v>6</v>
      </c>
      <c r="I2672" s="10">
        <f t="shared" si="762"/>
        <v>0</v>
      </c>
      <c r="J2672" s="16" t="s">
        <v>201</v>
      </c>
      <c r="K2672" s="15"/>
      <c r="L2672" s="15"/>
      <c r="M2672" s="16"/>
      <c r="N2672" s="8"/>
      <c r="O2672" s="18">
        <f t="shared" si="765"/>
        <v>1</v>
      </c>
      <c r="P2672" s="9">
        <f t="shared" si="763"/>
        <v>0</v>
      </c>
      <c r="Q2672" s="9"/>
      <c r="R2672" s="85">
        <v>0</v>
      </c>
      <c r="S2672" s="10">
        <f t="shared" si="764"/>
        <v>0</v>
      </c>
    </row>
    <row r="2673" spans="2:19" outlineLevel="1">
      <c r="B2673" s="13" t="s">
        <v>177</v>
      </c>
      <c r="C2673" s="7" t="str">
        <f t="shared" si="759"/>
        <v>MDR CARRETA ESPALHADOR DE AGREGADOS 20 M3</v>
      </c>
      <c r="D2673" s="8">
        <f t="shared" si="760"/>
        <v>46086</v>
      </c>
      <c r="E2673" s="15"/>
      <c r="F2673" s="15"/>
      <c r="G2673" s="15">
        <f t="shared" si="761"/>
        <v>0</v>
      </c>
      <c r="H2673" s="16" t="s">
        <v>6</v>
      </c>
      <c r="I2673" s="10">
        <f t="shared" si="762"/>
        <v>0</v>
      </c>
      <c r="J2673" s="16" t="s">
        <v>201</v>
      </c>
      <c r="K2673" s="15"/>
      <c r="L2673" s="15"/>
      <c r="M2673" s="16"/>
      <c r="N2673" s="8"/>
      <c r="O2673" s="18">
        <f t="shared" si="765"/>
        <v>1</v>
      </c>
      <c r="P2673" s="9">
        <f t="shared" si="763"/>
        <v>0</v>
      </c>
      <c r="Q2673" s="9"/>
      <c r="R2673" s="85">
        <v>0</v>
      </c>
      <c r="S2673" s="10">
        <f t="shared" si="764"/>
        <v>0</v>
      </c>
    </row>
    <row r="2674" spans="2:19" outlineLevel="1">
      <c r="B2674" s="13" t="s">
        <v>177</v>
      </c>
      <c r="C2674" s="7" t="str">
        <f t="shared" si="759"/>
        <v>MDR CARRETA ESPALHADOR DE AGREGADOS 20 M3</v>
      </c>
      <c r="D2674" s="8">
        <f t="shared" si="760"/>
        <v>46087</v>
      </c>
      <c r="E2674" s="15"/>
      <c r="F2674" s="15"/>
      <c r="G2674" s="15">
        <f t="shared" si="761"/>
        <v>0</v>
      </c>
      <c r="H2674" s="16" t="s">
        <v>6</v>
      </c>
      <c r="I2674" s="10">
        <f t="shared" si="762"/>
        <v>0</v>
      </c>
      <c r="J2674" s="16" t="s">
        <v>201</v>
      </c>
      <c r="K2674" s="15"/>
      <c r="L2674" s="15"/>
      <c r="M2674" s="16"/>
      <c r="N2674" s="8"/>
      <c r="O2674" s="18">
        <f t="shared" si="765"/>
        <v>1</v>
      </c>
      <c r="P2674" s="9">
        <f t="shared" si="763"/>
        <v>0</v>
      </c>
      <c r="Q2674" s="9"/>
      <c r="R2674" s="85">
        <v>0</v>
      </c>
      <c r="S2674" s="10">
        <f t="shared" si="764"/>
        <v>0</v>
      </c>
    </row>
    <row r="2675" spans="2:19" outlineLevel="1">
      <c r="B2675" s="13" t="s">
        <v>177</v>
      </c>
      <c r="C2675" s="7" t="str">
        <f t="shared" si="759"/>
        <v>MDR CARRETA ESPALHADOR DE AGREGADOS 20 M3</v>
      </c>
      <c r="D2675" s="8">
        <f t="shared" si="760"/>
        <v>46088</v>
      </c>
      <c r="E2675" s="15"/>
      <c r="F2675" s="15"/>
      <c r="G2675" s="15">
        <f t="shared" si="761"/>
        <v>0</v>
      </c>
      <c r="H2675" s="16" t="s">
        <v>6</v>
      </c>
      <c r="I2675" s="10">
        <f t="shared" si="762"/>
        <v>0</v>
      </c>
      <c r="J2675" s="16" t="s">
        <v>201</v>
      </c>
      <c r="K2675" s="15"/>
      <c r="L2675" s="15"/>
      <c r="M2675" s="16"/>
      <c r="N2675" s="8"/>
      <c r="O2675" s="18">
        <f t="shared" si="765"/>
        <v>1</v>
      </c>
      <c r="P2675" s="9">
        <f t="shared" si="763"/>
        <v>0</v>
      </c>
      <c r="Q2675" s="9"/>
      <c r="R2675" s="85">
        <v>0</v>
      </c>
      <c r="S2675" s="10">
        <f t="shared" si="764"/>
        <v>0</v>
      </c>
    </row>
    <row r="2676" spans="2:19" outlineLevel="1">
      <c r="B2676" s="13" t="s">
        <v>177</v>
      </c>
      <c r="C2676" s="7" t="str">
        <f t="shared" si="759"/>
        <v>MDR CARRETA ESPALHADOR DE AGREGADOS 20 M3</v>
      </c>
      <c r="D2676" s="8">
        <f t="shared" si="760"/>
        <v>46089</v>
      </c>
      <c r="E2676" s="15"/>
      <c r="F2676" s="15"/>
      <c r="G2676" s="15">
        <f t="shared" si="761"/>
        <v>0</v>
      </c>
      <c r="H2676" s="16" t="s">
        <v>6</v>
      </c>
      <c r="I2676" s="10">
        <f t="shared" si="762"/>
        <v>0</v>
      </c>
      <c r="J2676" s="16" t="s">
        <v>201</v>
      </c>
      <c r="K2676" s="15"/>
      <c r="L2676" s="15"/>
      <c r="M2676" s="16"/>
      <c r="N2676" s="8"/>
      <c r="O2676" s="18">
        <f t="shared" si="765"/>
        <v>1</v>
      </c>
      <c r="P2676" s="9">
        <f t="shared" si="763"/>
        <v>0</v>
      </c>
      <c r="Q2676" s="9"/>
      <c r="R2676" s="85">
        <v>0</v>
      </c>
      <c r="S2676" s="10">
        <f t="shared" si="764"/>
        <v>0</v>
      </c>
    </row>
    <row r="2677" spans="2:19" outlineLevel="1">
      <c r="B2677" s="13" t="s">
        <v>177</v>
      </c>
      <c r="C2677" s="7" t="str">
        <f t="shared" si="759"/>
        <v>MDR CARRETA ESPALHADOR DE AGREGADOS 20 M3</v>
      </c>
      <c r="D2677" s="8">
        <f t="shared" si="760"/>
        <v>46090</v>
      </c>
      <c r="E2677" s="15"/>
      <c r="F2677" s="15"/>
      <c r="G2677" s="15">
        <f t="shared" si="761"/>
        <v>0</v>
      </c>
      <c r="H2677" s="16" t="s">
        <v>6</v>
      </c>
      <c r="I2677" s="10">
        <f t="shared" si="762"/>
        <v>0</v>
      </c>
      <c r="J2677" s="16" t="s">
        <v>201</v>
      </c>
      <c r="K2677" s="15"/>
      <c r="L2677" s="15"/>
      <c r="M2677" s="16"/>
      <c r="N2677" s="8"/>
      <c r="O2677" s="18">
        <f t="shared" si="765"/>
        <v>1</v>
      </c>
      <c r="P2677" s="9">
        <f t="shared" si="763"/>
        <v>0</v>
      </c>
      <c r="Q2677" s="9"/>
      <c r="R2677" s="85">
        <v>0</v>
      </c>
      <c r="S2677" s="10">
        <f t="shared" si="764"/>
        <v>0</v>
      </c>
    </row>
    <row r="2678" spans="2:19" outlineLevel="1">
      <c r="B2678" s="13" t="s">
        <v>177</v>
      </c>
      <c r="C2678" s="7" t="str">
        <f t="shared" si="759"/>
        <v>MDR CARRETA ESPALHADOR DE AGREGADOS 20 M3</v>
      </c>
      <c r="D2678" s="8">
        <f t="shared" si="760"/>
        <v>46091</v>
      </c>
      <c r="E2678" s="15"/>
      <c r="F2678" s="15"/>
      <c r="G2678" s="15">
        <f t="shared" si="761"/>
        <v>0</v>
      </c>
      <c r="H2678" s="16" t="s">
        <v>6</v>
      </c>
      <c r="I2678" s="10">
        <f t="shared" si="762"/>
        <v>0</v>
      </c>
      <c r="J2678" s="16" t="s">
        <v>201</v>
      </c>
      <c r="K2678" s="15"/>
      <c r="L2678" s="15"/>
      <c r="M2678" s="16"/>
      <c r="N2678" s="8"/>
      <c r="O2678" s="18">
        <f t="shared" si="765"/>
        <v>1</v>
      </c>
      <c r="P2678" s="9">
        <f t="shared" si="763"/>
        <v>0</v>
      </c>
      <c r="Q2678" s="9"/>
      <c r="R2678" s="85">
        <v>0</v>
      </c>
      <c r="S2678" s="10">
        <f t="shared" si="764"/>
        <v>0</v>
      </c>
    </row>
    <row r="2679" spans="2:19" outlineLevel="1">
      <c r="B2679" s="13" t="s">
        <v>177</v>
      </c>
      <c r="C2679" s="7" t="str">
        <f t="shared" si="759"/>
        <v>MDR CARRETA ESPALHADOR DE AGREGADOS 20 M3</v>
      </c>
      <c r="D2679" s="8">
        <f t="shared" si="760"/>
        <v>46092</v>
      </c>
      <c r="E2679" s="15"/>
      <c r="F2679" s="15"/>
      <c r="G2679" s="15">
        <f t="shared" si="761"/>
        <v>0</v>
      </c>
      <c r="H2679" s="16" t="s">
        <v>6</v>
      </c>
      <c r="I2679" s="10">
        <f t="shared" si="762"/>
        <v>0</v>
      </c>
      <c r="J2679" s="16" t="s">
        <v>201</v>
      </c>
      <c r="K2679" s="15"/>
      <c r="L2679" s="15"/>
      <c r="M2679" s="16"/>
      <c r="N2679" s="8"/>
      <c r="O2679" s="18">
        <f t="shared" si="765"/>
        <v>1</v>
      </c>
      <c r="P2679" s="9">
        <f t="shared" si="763"/>
        <v>0</v>
      </c>
      <c r="Q2679" s="9"/>
      <c r="R2679" s="85">
        <v>0</v>
      </c>
      <c r="S2679" s="10">
        <f t="shared" si="764"/>
        <v>0</v>
      </c>
    </row>
    <row r="2680" spans="2:19" outlineLevel="1">
      <c r="B2680" s="13" t="s">
        <v>177</v>
      </c>
      <c r="C2680" s="7" t="str">
        <f t="shared" si="759"/>
        <v>MDR CARRETA ESPALHADOR DE AGREGADOS 20 M3</v>
      </c>
      <c r="D2680" s="8">
        <f t="shared" si="760"/>
        <v>46093</v>
      </c>
      <c r="E2680" s="15"/>
      <c r="F2680" s="15"/>
      <c r="G2680" s="15">
        <f t="shared" si="761"/>
        <v>0</v>
      </c>
      <c r="H2680" s="16" t="s">
        <v>6</v>
      </c>
      <c r="I2680" s="10">
        <f t="shared" si="762"/>
        <v>0</v>
      </c>
      <c r="J2680" s="16" t="s">
        <v>201</v>
      </c>
      <c r="K2680" s="15"/>
      <c r="L2680" s="15"/>
      <c r="M2680" s="16"/>
      <c r="N2680" s="8"/>
      <c r="O2680" s="18">
        <f t="shared" si="765"/>
        <v>1</v>
      </c>
      <c r="P2680" s="9">
        <f t="shared" si="763"/>
        <v>0</v>
      </c>
      <c r="Q2680" s="9"/>
      <c r="R2680" s="85">
        <v>0</v>
      </c>
      <c r="S2680" s="10">
        <f t="shared" si="764"/>
        <v>0</v>
      </c>
    </row>
    <row r="2681" spans="2:19" outlineLevel="1">
      <c r="B2681" s="13" t="s">
        <v>177</v>
      </c>
      <c r="C2681" s="7" t="str">
        <f t="shared" si="759"/>
        <v>MDR CARRETA ESPALHADOR DE AGREGADOS 20 M3</v>
      </c>
      <c r="D2681" s="8">
        <f t="shared" si="760"/>
        <v>46094</v>
      </c>
      <c r="E2681" s="15"/>
      <c r="F2681" s="15"/>
      <c r="G2681" s="15">
        <f t="shared" si="761"/>
        <v>0</v>
      </c>
      <c r="H2681" s="16" t="s">
        <v>6</v>
      </c>
      <c r="I2681" s="10">
        <f t="shared" si="762"/>
        <v>0</v>
      </c>
      <c r="J2681" s="16" t="s">
        <v>201</v>
      </c>
      <c r="K2681" s="15"/>
      <c r="L2681" s="15"/>
      <c r="M2681" s="16"/>
      <c r="N2681" s="8"/>
      <c r="O2681" s="18">
        <f t="shared" si="765"/>
        <v>1</v>
      </c>
      <c r="P2681" s="9">
        <f t="shared" si="763"/>
        <v>0</v>
      </c>
      <c r="Q2681" s="9"/>
      <c r="R2681" s="85">
        <v>0</v>
      </c>
      <c r="S2681" s="10">
        <f t="shared" si="764"/>
        <v>0</v>
      </c>
    </row>
    <row r="2682" spans="2:19" outlineLevel="1">
      <c r="B2682" s="13" t="s">
        <v>177</v>
      </c>
      <c r="C2682" s="7" t="str">
        <f t="shared" si="759"/>
        <v>MDR CARRETA ESPALHADOR DE AGREGADOS 20 M3</v>
      </c>
      <c r="D2682" s="8">
        <f t="shared" si="760"/>
        <v>46095</v>
      </c>
      <c r="E2682" s="15"/>
      <c r="F2682" s="15"/>
      <c r="G2682" s="15">
        <f t="shared" si="761"/>
        <v>0</v>
      </c>
      <c r="H2682" s="16" t="s">
        <v>6</v>
      </c>
      <c r="I2682" s="10">
        <f t="shared" si="762"/>
        <v>0</v>
      </c>
      <c r="J2682" s="16" t="s">
        <v>201</v>
      </c>
      <c r="K2682" s="15"/>
      <c r="L2682" s="15"/>
      <c r="M2682" s="16"/>
      <c r="N2682" s="8"/>
      <c r="O2682" s="18">
        <f t="shared" si="765"/>
        <v>1</v>
      </c>
      <c r="P2682" s="9">
        <f t="shared" si="763"/>
        <v>0</v>
      </c>
      <c r="Q2682" s="9"/>
      <c r="R2682" s="85">
        <v>0</v>
      </c>
      <c r="S2682" s="10">
        <f t="shared" si="764"/>
        <v>0</v>
      </c>
    </row>
    <row r="2683" spans="2:19" outlineLevel="1">
      <c r="B2683" s="13" t="s">
        <v>177</v>
      </c>
      <c r="C2683" s="7" t="str">
        <f t="shared" si="759"/>
        <v>MDR CARRETA ESPALHADOR DE AGREGADOS 20 M3</v>
      </c>
      <c r="D2683" s="8">
        <f t="shared" si="760"/>
        <v>46096</v>
      </c>
      <c r="E2683" s="15"/>
      <c r="F2683" s="15"/>
      <c r="G2683" s="15">
        <f t="shared" si="761"/>
        <v>0</v>
      </c>
      <c r="H2683" s="16" t="s">
        <v>6</v>
      </c>
      <c r="I2683" s="10">
        <f t="shared" si="762"/>
        <v>0</v>
      </c>
      <c r="J2683" s="16" t="s">
        <v>201</v>
      </c>
      <c r="K2683" s="15"/>
      <c r="L2683" s="15"/>
      <c r="M2683" s="16"/>
      <c r="N2683" s="8"/>
      <c r="O2683" s="18">
        <f t="shared" si="765"/>
        <v>1</v>
      </c>
      <c r="P2683" s="9">
        <f t="shared" si="763"/>
        <v>0</v>
      </c>
      <c r="Q2683" s="9"/>
      <c r="R2683" s="85">
        <v>0</v>
      </c>
      <c r="S2683" s="10">
        <f t="shared" si="764"/>
        <v>0</v>
      </c>
    </row>
    <row r="2684" spans="2:19" outlineLevel="1">
      <c r="B2684" s="13" t="s">
        <v>177</v>
      </c>
      <c r="C2684" s="7" t="str">
        <f t="shared" si="759"/>
        <v>MDR CARRETA ESPALHADOR DE AGREGADOS 20 M3</v>
      </c>
      <c r="D2684" s="8">
        <f t="shared" si="760"/>
        <v>46097</v>
      </c>
      <c r="E2684" s="15"/>
      <c r="F2684" s="15"/>
      <c r="G2684" s="15">
        <f t="shared" si="761"/>
        <v>0</v>
      </c>
      <c r="H2684" s="16" t="s">
        <v>6</v>
      </c>
      <c r="I2684" s="10">
        <f t="shared" si="762"/>
        <v>0</v>
      </c>
      <c r="J2684" s="16" t="s">
        <v>201</v>
      </c>
      <c r="K2684" s="15"/>
      <c r="L2684" s="15"/>
      <c r="M2684" s="16"/>
      <c r="N2684" s="8"/>
      <c r="O2684" s="18">
        <f t="shared" si="765"/>
        <v>1</v>
      </c>
      <c r="P2684" s="9">
        <f t="shared" si="763"/>
        <v>0</v>
      </c>
      <c r="Q2684" s="9"/>
      <c r="R2684" s="85">
        <v>0</v>
      </c>
      <c r="S2684" s="10">
        <f t="shared" si="764"/>
        <v>0</v>
      </c>
    </row>
    <row r="2685" spans="2:19" outlineLevel="1">
      <c r="B2685" s="13" t="s">
        <v>177</v>
      </c>
      <c r="C2685" s="7" t="str">
        <f t="shared" si="759"/>
        <v>MDR CARRETA ESPALHADOR DE AGREGADOS 20 M3</v>
      </c>
      <c r="D2685" s="8">
        <f t="shared" si="760"/>
        <v>46098</v>
      </c>
      <c r="E2685" s="15"/>
      <c r="F2685" s="15"/>
      <c r="G2685" s="15">
        <f t="shared" si="761"/>
        <v>0</v>
      </c>
      <c r="H2685" s="16" t="s">
        <v>6</v>
      </c>
      <c r="I2685" s="10">
        <f t="shared" si="762"/>
        <v>0</v>
      </c>
      <c r="J2685" s="16" t="s">
        <v>201</v>
      </c>
      <c r="K2685" s="15"/>
      <c r="L2685" s="15"/>
      <c r="M2685" s="16"/>
      <c r="N2685" s="8"/>
      <c r="O2685" s="18">
        <f t="shared" si="765"/>
        <v>1</v>
      </c>
      <c r="P2685" s="9">
        <f t="shared" si="763"/>
        <v>0</v>
      </c>
      <c r="Q2685" s="9"/>
      <c r="R2685" s="85">
        <v>0</v>
      </c>
      <c r="S2685" s="10">
        <f t="shared" si="764"/>
        <v>0</v>
      </c>
    </row>
    <row r="2686" spans="2:19" outlineLevel="1">
      <c r="B2686" s="13" t="s">
        <v>177</v>
      </c>
      <c r="C2686" s="7" t="str">
        <f t="shared" si="759"/>
        <v>MDR CARRETA ESPALHADOR DE AGREGADOS 20 M3</v>
      </c>
      <c r="D2686" s="8">
        <f t="shared" si="760"/>
        <v>46099</v>
      </c>
      <c r="E2686" s="15"/>
      <c r="F2686" s="15"/>
      <c r="G2686" s="15">
        <f t="shared" si="761"/>
        <v>0</v>
      </c>
      <c r="H2686" s="16" t="s">
        <v>6</v>
      </c>
      <c r="I2686" s="10">
        <f t="shared" si="762"/>
        <v>0</v>
      </c>
      <c r="J2686" s="16" t="s">
        <v>201</v>
      </c>
      <c r="K2686" s="15"/>
      <c r="L2686" s="15"/>
      <c r="M2686" s="16"/>
      <c r="N2686" s="8"/>
      <c r="O2686" s="18">
        <f t="shared" si="765"/>
        <v>1</v>
      </c>
      <c r="P2686" s="9">
        <f t="shared" si="763"/>
        <v>0</v>
      </c>
      <c r="Q2686" s="9"/>
      <c r="R2686" s="85">
        <v>0</v>
      </c>
      <c r="S2686" s="10">
        <f t="shared" si="764"/>
        <v>0</v>
      </c>
    </row>
    <row r="2687" spans="2:19" outlineLevel="1">
      <c r="B2687" s="13" t="s">
        <v>177</v>
      </c>
      <c r="C2687" s="7" t="str">
        <f t="shared" si="759"/>
        <v>MDR CARRETA ESPALHADOR DE AGREGADOS 20 M3</v>
      </c>
      <c r="D2687" s="8">
        <f t="shared" si="760"/>
        <v>46100</v>
      </c>
      <c r="E2687" s="15"/>
      <c r="F2687" s="15"/>
      <c r="G2687" s="15">
        <f t="shared" si="761"/>
        <v>0</v>
      </c>
      <c r="H2687" s="16" t="s">
        <v>6</v>
      </c>
      <c r="I2687" s="10">
        <f t="shared" si="762"/>
        <v>0</v>
      </c>
      <c r="J2687" s="16" t="s">
        <v>201</v>
      </c>
      <c r="K2687" s="15"/>
      <c r="L2687" s="15"/>
      <c r="M2687" s="16"/>
      <c r="N2687" s="8"/>
      <c r="O2687" s="18">
        <f t="shared" si="765"/>
        <v>1</v>
      </c>
      <c r="P2687" s="9">
        <f t="shared" si="763"/>
        <v>0</v>
      </c>
      <c r="Q2687" s="9"/>
      <c r="R2687" s="85">
        <v>0</v>
      </c>
      <c r="S2687" s="10">
        <f t="shared" si="764"/>
        <v>0</v>
      </c>
    </row>
    <row r="2688" spans="2:19" outlineLevel="1">
      <c r="B2688" s="13" t="s">
        <v>177</v>
      </c>
      <c r="C2688" s="7" t="str">
        <f t="shared" si="759"/>
        <v>MDR CARRETA ESPALHADOR DE AGREGADOS 20 M3</v>
      </c>
      <c r="D2688" s="8">
        <f t="shared" si="760"/>
        <v>46101</v>
      </c>
      <c r="E2688" s="15"/>
      <c r="F2688" s="15"/>
      <c r="G2688" s="15">
        <f t="shared" si="761"/>
        <v>0</v>
      </c>
      <c r="H2688" s="16" t="s">
        <v>6</v>
      </c>
      <c r="I2688" s="10">
        <f t="shared" si="762"/>
        <v>0</v>
      </c>
      <c r="J2688" s="16" t="s">
        <v>201</v>
      </c>
      <c r="K2688" s="15"/>
      <c r="L2688" s="15"/>
      <c r="M2688" s="16"/>
      <c r="N2688" s="8"/>
      <c r="O2688" s="18">
        <f t="shared" si="765"/>
        <v>1</v>
      </c>
      <c r="P2688" s="9">
        <f t="shared" si="763"/>
        <v>0</v>
      </c>
      <c r="Q2688" s="9"/>
      <c r="R2688" s="85">
        <v>0</v>
      </c>
      <c r="S2688" s="10">
        <f t="shared" si="764"/>
        <v>0</v>
      </c>
    </row>
    <row r="2689" spans="2:19" outlineLevel="1">
      <c r="B2689" s="13" t="s">
        <v>177</v>
      </c>
      <c r="C2689" s="7" t="str">
        <f t="shared" si="759"/>
        <v>MDR CARRETA ESPALHADOR DE AGREGADOS 20 M3</v>
      </c>
      <c r="D2689" s="8">
        <f t="shared" si="760"/>
        <v>46102</v>
      </c>
      <c r="E2689" s="15"/>
      <c r="F2689" s="15"/>
      <c r="G2689" s="15">
        <f t="shared" si="761"/>
        <v>0</v>
      </c>
      <c r="H2689" s="16" t="s">
        <v>6</v>
      </c>
      <c r="I2689" s="10">
        <f t="shared" si="762"/>
        <v>0</v>
      </c>
      <c r="J2689" s="16" t="s">
        <v>201</v>
      </c>
      <c r="K2689" s="15"/>
      <c r="L2689" s="15"/>
      <c r="M2689" s="16"/>
      <c r="N2689" s="8"/>
      <c r="O2689" s="18">
        <f t="shared" si="765"/>
        <v>1</v>
      </c>
      <c r="P2689" s="9">
        <f t="shared" si="763"/>
        <v>0</v>
      </c>
      <c r="Q2689" s="9"/>
      <c r="R2689" s="85">
        <v>0</v>
      </c>
      <c r="S2689" s="10">
        <f t="shared" si="764"/>
        <v>0</v>
      </c>
    </row>
    <row r="2690" spans="2:19" outlineLevel="1">
      <c r="B2690" s="13" t="s">
        <v>177</v>
      </c>
      <c r="C2690" s="7" t="str">
        <f t="shared" si="759"/>
        <v>MDR CARRETA ESPALHADOR DE AGREGADOS 20 M3</v>
      </c>
      <c r="D2690" s="8">
        <f t="shared" si="760"/>
        <v>46103</v>
      </c>
      <c r="E2690" s="15"/>
      <c r="F2690" s="15"/>
      <c r="G2690" s="15">
        <f t="shared" si="761"/>
        <v>0</v>
      </c>
      <c r="H2690" s="16" t="s">
        <v>6</v>
      </c>
      <c r="I2690" s="10">
        <f t="shared" si="762"/>
        <v>0</v>
      </c>
      <c r="J2690" s="16" t="s">
        <v>201</v>
      </c>
      <c r="K2690" s="15"/>
      <c r="L2690" s="15"/>
      <c r="M2690" s="16"/>
      <c r="N2690" s="8"/>
      <c r="O2690" s="18">
        <f t="shared" si="765"/>
        <v>1</v>
      </c>
      <c r="P2690" s="9">
        <f t="shared" si="763"/>
        <v>0</v>
      </c>
      <c r="Q2690" s="9"/>
      <c r="R2690" s="85">
        <v>0</v>
      </c>
      <c r="S2690" s="10">
        <f t="shared" si="764"/>
        <v>0</v>
      </c>
    </row>
    <row r="2691" spans="2:19" outlineLevel="1">
      <c r="B2691" s="13" t="s">
        <v>177</v>
      </c>
      <c r="C2691" s="7" t="str">
        <f t="shared" si="759"/>
        <v>MDR CARRETA ESPALHADOR DE AGREGADOS 20 M3</v>
      </c>
      <c r="D2691" s="8">
        <f t="shared" si="760"/>
        <v>46104</v>
      </c>
      <c r="E2691" s="15"/>
      <c r="F2691" s="15"/>
      <c r="G2691" s="15">
        <f t="shared" si="761"/>
        <v>0</v>
      </c>
      <c r="H2691" s="16" t="s">
        <v>6</v>
      </c>
      <c r="I2691" s="10">
        <f t="shared" si="762"/>
        <v>0</v>
      </c>
      <c r="J2691" s="16" t="s">
        <v>201</v>
      </c>
      <c r="K2691" s="15"/>
      <c r="L2691" s="15"/>
      <c r="M2691" s="16"/>
      <c r="N2691" s="8"/>
      <c r="O2691" s="18">
        <f t="shared" si="765"/>
        <v>1</v>
      </c>
      <c r="P2691" s="9">
        <f t="shared" si="763"/>
        <v>0</v>
      </c>
      <c r="Q2691" s="9"/>
      <c r="R2691" s="85">
        <v>0</v>
      </c>
      <c r="S2691" s="10">
        <f t="shared" si="764"/>
        <v>0</v>
      </c>
    </row>
    <row r="2692" spans="2:19" outlineLevel="1">
      <c r="B2692" s="13" t="s">
        <v>177</v>
      </c>
      <c r="C2692" s="7" t="str">
        <f t="shared" si="759"/>
        <v>MDR CARRETA ESPALHADOR DE AGREGADOS 20 M3</v>
      </c>
      <c r="D2692" s="8">
        <f t="shared" si="760"/>
        <v>46105</v>
      </c>
      <c r="E2692" s="15"/>
      <c r="F2692" s="15"/>
      <c r="G2692" s="15">
        <f t="shared" si="761"/>
        <v>0</v>
      </c>
      <c r="H2692" s="16" t="s">
        <v>6</v>
      </c>
      <c r="I2692" s="10">
        <f t="shared" si="762"/>
        <v>0</v>
      </c>
      <c r="J2692" s="16" t="s">
        <v>201</v>
      </c>
      <c r="K2692" s="15"/>
      <c r="L2692" s="15"/>
      <c r="M2692" s="16"/>
      <c r="N2692" s="8"/>
      <c r="O2692" s="18">
        <f t="shared" si="765"/>
        <v>1</v>
      </c>
      <c r="P2692" s="9">
        <f t="shared" si="763"/>
        <v>0</v>
      </c>
      <c r="Q2692" s="9"/>
      <c r="R2692" s="85">
        <v>0</v>
      </c>
      <c r="S2692" s="10">
        <f t="shared" si="764"/>
        <v>0</v>
      </c>
    </row>
    <row r="2693" spans="2:19" outlineLevel="1">
      <c r="B2693" s="13" t="s">
        <v>177</v>
      </c>
      <c r="C2693" s="7" t="str">
        <f t="shared" si="759"/>
        <v>MDR CARRETA ESPALHADOR DE AGREGADOS 20 M3</v>
      </c>
      <c r="D2693" s="8">
        <f t="shared" si="760"/>
        <v>46106</v>
      </c>
      <c r="E2693" s="15"/>
      <c r="F2693" s="15"/>
      <c r="G2693" s="15">
        <f t="shared" si="761"/>
        <v>0</v>
      </c>
      <c r="H2693" s="16" t="s">
        <v>6</v>
      </c>
      <c r="I2693" s="10">
        <f t="shared" si="762"/>
        <v>0</v>
      </c>
      <c r="J2693" s="16" t="s">
        <v>201</v>
      </c>
      <c r="K2693" s="15"/>
      <c r="L2693" s="15"/>
      <c r="M2693" s="16"/>
      <c r="N2693" s="8"/>
      <c r="O2693" s="18">
        <f t="shared" si="765"/>
        <v>1</v>
      </c>
      <c r="P2693" s="9">
        <f t="shared" si="763"/>
        <v>0</v>
      </c>
      <c r="Q2693" s="9"/>
      <c r="R2693" s="85">
        <v>0</v>
      </c>
      <c r="S2693" s="10">
        <f t="shared" si="764"/>
        <v>0</v>
      </c>
    </row>
    <row r="2694" spans="2:19" outlineLevel="1">
      <c r="B2694" s="13" t="s">
        <v>177</v>
      </c>
      <c r="C2694" s="7" t="str">
        <f t="shared" si="759"/>
        <v>MDR CARRETA ESPALHADOR DE AGREGADOS 20 M3</v>
      </c>
      <c r="D2694" s="8">
        <f t="shared" si="760"/>
        <v>46107</v>
      </c>
      <c r="E2694" s="15"/>
      <c r="F2694" s="15"/>
      <c r="G2694" s="15">
        <f t="shared" si="761"/>
        <v>0</v>
      </c>
      <c r="H2694" s="16" t="s">
        <v>6</v>
      </c>
      <c r="I2694" s="10">
        <f t="shared" si="762"/>
        <v>0</v>
      </c>
      <c r="J2694" s="16" t="s">
        <v>201</v>
      </c>
      <c r="K2694" s="15"/>
      <c r="L2694" s="15"/>
      <c r="M2694" s="16"/>
      <c r="N2694" s="8"/>
      <c r="O2694" s="18">
        <f t="shared" si="765"/>
        <v>1</v>
      </c>
      <c r="P2694" s="9">
        <f t="shared" si="763"/>
        <v>0</v>
      </c>
      <c r="Q2694" s="9"/>
      <c r="R2694" s="85">
        <v>0</v>
      </c>
      <c r="S2694" s="10">
        <f t="shared" si="764"/>
        <v>0</v>
      </c>
    </row>
    <row r="2695" spans="2:19" outlineLevel="1">
      <c r="B2695" s="13" t="s">
        <v>177</v>
      </c>
      <c r="C2695" s="7" t="str">
        <f t="shared" si="759"/>
        <v>MDR CARRETA ESPALHADOR DE AGREGADOS 20 M3</v>
      </c>
      <c r="D2695" s="8">
        <f t="shared" si="760"/>
        <v>46108</v>
      </c>
      <c r="E2695" s="15"/>
      <c r="F2695" s="15"/>
      <c r="G2695" s="15">
        <f t="shared" si="761"/>
        <v>0</v>
      </c>
      <c r="H2695" s="16" t="s">
        <v>6</v>
      </c>
      <c r="I2695" s="10">
        <f t="shared" si="762"/>
        <v>0</v>
      </c>
      <c r="J2695" s="16" t="s">
        <v>201</v>
      </c>
      <c r="K2695" s="15"/>
      <c r="L2695" s="15"/>
      <c r="M2695" s="16"/>
      <c r="N2695" s="8"/>
      <c r="O2695" s="18">
        <f t="shared" si="765"/>
        <v>1</v>
      </c>
      <c r="P2695" s="9">
        <f t="shared" si="763"/>
        <v>0</v>
      </c>
      <c r="Q2695" s="9"/>
      <c r="R2695" s="85">
        <v>0</v>
      </c>
      <c r="S2695" s="10">
        <f t="shared" si="764"/>
        <v>0</v>
      </c>
    </row>
    <row r="2696" spans="2:19" outlineLevel="1">
      <c r="B2696" s="13" t="s">
        <v>177</v>
      </c>
      <c r="C2696" s="7" t="str">
        <f t="shared" si="759"/>
        <v>MDR CARRETA ESPALHADOR DE AGREGADOS 20 M3</v>
      </c>
      <c r="D2696" s="8">
        <f t="shared" ref="D2696" si="766">D2628</f>
        <v>46109</v>
      </c>
      <c r="E2696" s="15"/>
      <c r="F2696" s="15"/>
      <c r="G2696" s="15">
        <f t="shared" ref="G2696:G2698" si="767">F2696*E2696</f>
        <v>0</v>
      </c>
      <c r="H2696" s="16" t="s">
        <v>6</v>
      </c>
      <c r="I2696" s="10">
        <f t="shared" ref="I2696:I2698" si="768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69">O2696*G2696</f>
        <v>0</v>
      </c>
      <c r="Q2696" s="9"/>
      <c r="R2696" s="85">
        <v>0</v>
      </c>
      <c r="S2696" s="10">
        <f t="shared" ref="S2696:S2698" si="770">SUM(R2696+Q2696+I2696)</f>
        <v>0</v>
      </c>
    </row>
    <row r="2697" spans="2:19" outlineLevel="1">
      <c r="B2697" s="13" t="s">
        <v>177</v>
      </c>
      <c r="C2697" s="7" t="str">
        <f t="shared" si="759"/>
        <v>MDR CARRETA ESPALHADOR DE AGREGADOS 20 M3</v>
      </c>
      <c r="D2697" s="8">
        <f t="shared" ref="D2697:D2699" si="771">D2629</f>
        <v>46110</v>
      </c>
      <c r="E2697" s="15"/>
      <c r="F2697" s="15"/>
      <c r="G2697" s="15">
        <f t="shared" si="767"/>
        <v>0</v>
      </c>
      <c r="H2697" s="16" t="s">
        <v>6</v>
      </c>
      <c r="I2697" s="10">
        <f t="shared" si="768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69"/>
        <v>0</v>
      </c>
      <c r="Q2697" s="9"/>
      <c r="R2697" s="85">
        <v>0</v>
      </c>
      <c r="S2697" s="10">
        <f t="shared" si="770"/>
        <v>0</v>
      </c>
    </row>
    <row r="2698" spans="2:19" outlineLevel="1">
      <c r="B2698" s="13" t="s">
        <v>177</v>
      </c>
      <c r="C2698" s="7" t="str">
        <f t="shared" si="759"/>
        <v>MDR CARRETA ESPALHADOR DE AGREGADOS 20 M3</v>
      </c>
      <c r="D2698" s="8">
        <f t="shared" si="771"/>
        <v>46111</v>
      </c>
      <c r="E2698" s="15"/>
      <c r="F2698" s="15"/>
      <c r="G2698" s="15">
        <f t="shared" si="767"/>
        <v>0</v>
      </c>
      <c r="H2698" s="16" t="s">
        <v>6</v>
      </c>
      <c r="I2698" s="10">
        <f t="shared" si="768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69"/>
        <v>0</v>
      </c>
      <c r="Q2698" s="9"/>
      <c r="R2698" s="85">
        <v>0</v>
      </c>
      <c r="S2698" s="10">
        <f t="shared" si="770"/>
        <v>0</v>
      </c>
    </row>
    <row r="2699" spans="2:19" outlineLevel="1">
      <c r="B2699" s="13" t="s">
        <v>177</v>
      </c>
      <c r="C2699" s="7" t="str">
        <f t="shared" si="759"/>
        <v>MDR CARRETA ESPALHADOR DE AGREGADOS 20 M3</v>
      </c>
      <c r="D2699" s="8">
        <f t="shared" si="771"/>
        <v>46112</v>
      </c>
      <c r="E2699" s="15"/>
      <c r="F2699" s="15"/>
      <c r="G2699" s="15">
        <f t="shared" si="761"/>
        <v>0</v>
      </c>
      <c r="H2699" s="16" t="s">
        <v>6</v>
      </c>
      <c r="I2699" s="10">
        <f t="shared" si="762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3"/>
        <v>0</v>
      </c>
      <c r="Q2699" s="9"/>
      <c r="R2699" s="85">
        <v>0</v>
      </c>
      <c r="S2699" s="10">
        <f t="shared" si="764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2">C$2701</f>
        <v>VASSOURA MEC EMAQ SERIE 24072</v>
      </c>
      <c r="D2703" s="8">
        <f t="shared" ref="D2703:D2729" si="773">D2635</f>
        <v>46082</v>
      </c>
      <c r="E2703" s="15"/>
      <c r="F2703" s="15"/>
      <c r="G2703" s="15">
        <f t="shared" ref="G2703:G2706" si="774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5">SUM(R2703+Q2703+I2703)</f>
        <v>0</v>
      </c>
    </row>
    <row r="2704" spans="2:19" outlineLevel="1">
      <c r="B2704" s="13" t="s">
        <v>180</v>
      </c>
      <c r="C2704" s="7" t="str">
        <f t="shared" si="772"/>
        <v>VASSOURA MEC EMAQ SERIE 24072</v>
      </c>
      <c r="D2704" s="8">
        <f t="shared" si="773"/>
        <v>46083</v>
      </c>
      <c r="E2704" s="15"/>
      <c r="F2704" s="15"/>
      <c r="G2704" s="15">
        <f t="shared" si="774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5"/>
        <v>0</v>
      </c>
    </row>
    <row r="2705" spans="2:19" outlineLevel="1">
      <c r="B2705" s="13" t="s">
        <v>180</v>
      </c>
      <c r="C2705" s="7" t="str">
        <f t="shared" si="772"/>
        <v>VASSOURA MEC EMAQ SERIE 24072</v>
      </c>
      <c r="D2705" s="8">
        <f t="shared" si="773"/>
        <v>46084</v>
      </c>
      <c r="E2705" s="15"/>
      <c r="F2705" s="15"/>
      <c r="G2705" s="15">
        <f t="shared" si="774"/>
        <v>0</v>
      </c>
      <c r="H2705" s="16" t="s">
        <v>6</v>
      </c>
      <c r="I2705" s="10">
        <f t="shared" ref="I2705:I2729" si="776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5"/>
        <v>0</v>
      </c>
    </row>
    <row r="2706" spans="2:19" outlineLevel="1">
      <c r="B2706" s="13" t="s">
        <v>180</v>
      </c>
      <c r="C2706" s="7" t="str">
        <f t="shared" si="772"/>
        <v>VASSOURA MEC EMAQ SERIE 24072</v>
      </c>
      <c r="D2706" s="8">
        <f t="shared" si="773"/>
        <v>46085</v>
      </c>
      <c r="E2706" s="15"/>
      <c r="F2706" s="15"/>
      <c r="G2706" s="15">
        <f t="shared" si="774"/>
        <v>0</v>
      </c>
      <c r="H2706" s="16" t="s">
        <v>6</v>
      </c>
      <c r="I2706" s="10">
        <f t="shared" si="776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5"/>
        <v>0</v>
      </c>
    </row>
    <row r="2707" spans="2:19" outlineLevel="1">
      <c r="B2707" s="13" t="s">
        <v>180</v>
      </c>
      <c r="C2707" s="7" t="str">
        <f t="shared" si="772"/>
        <v>VASSOURA MEC EMAQ SERIE 24072</v>
      </c>
      <c r="D2707" s="8">
        <f t="shared" si="773"/>
        <v>46086</v>
      </c>
      <c r="E2707" s="15"/>
      <c r="F2707" s="15"/>
      <c r="G2707" s="15">
        <f t="shared" ref="G2707:G2733" si="777">F2707-E2707</f>
        <v>0</v>
      </c>
      <c r="H2707" s="16" t="s">
        <v>6</v>
      </c>
      <c r="I2707" s="10">
        <f t="shared" si="776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5"/>
        <v>0</v>
      </c>
    </row>
    <row r="2708" spans="2:19" outlineLevel="1">
      <c r="B2708" s="13" t="s">
        <v>180</v>
      </c>
      <c r="C2708" s="7" t="str">
        <f t="shared" si="772"/>
        <v>VASSOURA MEC EMAQ SERIE 24072</v>
      </c>
      <c r="D2708" s="8">
        <f t="shared" si="773"/>
        <v>46087</v>
      </c>
      <c r="E2708" s="15"/>
      <c r="F2708" s="15"/>
      <c r="G2708" s="15">
        <f t="shared" si="777"/>
        <v>0</v>
      </c>
      <c r="H2708" s="16" t="s">
        <v>6</v>
      </c>
      <c r="I2708" s="10">
        <f t="shared" si="776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5"/>
        <v>0</v>
      </c>
    </row>
    <row r="2709" spans="2:19" outlineLevel="1">
      <c r="B2709" s="13" t="s">
        <v>180</v>
      </c>
      <c r="C2709" s="7" t="str">
        <f t="shared" si="772"/>
        <v>VASSOURA MEC EMAQ SERIE 24072</v>
      </c>
      <c r="D2709" s="8">
        <f t="shared" si="773"/>
        <v>46088</v>
      </c>
      <c r="E2709" s="15"/>
      <c r="F2709" s="15"/>
      <c r="G2709" s="15">
        <f t="shared" si="777"/>
        <v>0</v>
      </c>
      <c r="H2709" s="16" t="s">
        <v>6</v>
      </c>
      <c r="I2709" s="10">
        <f t="shared" si="776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5"/>
        <v>0</v>
      </c>
    </row>
    <row r="2710" spans="2:19" outlineLevel="1">
      <c r="B2710" s="13" t="s">
        <v>180</v>
      </c>
      <c r="C2710" s="7" t="str">
        <f t="shared" si="772"/>
        <v>VASSOURA MEC EMAQ SERIE 24072</v>
      </c>
      <c r="D2710" s="8">
        <f t="shared" si="773"/>
        <v>46089</v>
      </c>
      <c r="E2710" s="15"/>
      <c r="F2710" s="15"/>
      <c r="G2710" s="15">
        <f t="shared" si="777"/>
        <v>0</v>
      </c>
      <c r="H2710" s="16" t="s">
        <v>6</v>
      </c>
      <c r="I2710" s="10">
        <f t="shared" si="776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5"/>
        <v>0</v>
      </c>
    </row>
    <row r="2711" spans="2:19" outlineLevel="1">
      <c r="B2711" s="13" t="s">
        <v>180</v>
      </c>
      <c r="C2711" s="7" t="str">
        <f t="shared" si="772"/>
        <v>VASSOURA MEC EMAQ SERIE 24072</v>
      </c>
      <c r="D2711" s="8">
        <f t="shared" si="773"/>
        <v>46090</v>
      </c>
      <c r="E2711" s="15"/>
      <c r="F2711" s="15"/>
      <c r="G2711" s="15">
        <f t="shared" si="777"/>
        <v>0</v>
      </c>
      <c r="H2711" s="16" t="s">
        <v>6</v>
      </c>
      <c r="I2711" s="10">
        <f t="shared" si="776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5"/>
        <v>0</v>
      </c>
    </row>
    <row r="2712" spans="2:19" outlineLevel="1">
      <c r="B2712" s="13" t="s">
        <v>180</v>
      </c>
      <c r="C2712" s="7" t="str">
        <f t="shared" si="772"/>
        <v>VASSOURA MEC EMAQ SERIE 24072</v>
      </c>
      <c r="D2712" s="8">
        <f t="shared" si="773"/>
        <v>46091</v>
      </c>
      <c r="E2712" s="15"/>
      <c r="F2712" s="15"/>
      <c r="G2712" s="15">
        <f t="shared" si="777"/>
        <v>0</v>
      </c>
      <c r="H2712" s="16" t="s">
        <v>6</v>
      </c>
      <c r="I2712" s="10">
        <f t="shared" si="776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5"/>
        <v>0</v>
      </c>
    </row>
    <row r="2713" spans="2:19" outlineLevel="1">
      <c r="B2713" s="13" t="s">
        <v>180</v>
      </c>
      <c r="C2713" s="7" t="str">
        <f t="shared" si="772"/>
        <v>VASSOURA MEC EMAQ SERIE 24072</v>
      </c>
      <c r="D2713" s="8">
        <f t="shared" si="773"/>
        <v>46092</v>
      </c>
      <c r="E2713" s="15"/>
      <c r="F2713" s="15"/>
      <c r="G2713" s="15">
        <f t="shared" si="777"/>
        <v>0</v>
      </c>
      <c r="H2713" s="16" t="s">
        <v>6</v>
      </c>
      <c r="I2713" s="10">
        <f t="shared" si="776"/>
        <v>0</v>
      </c>
      <c r="J2713" s="16" t="s">
        <v>201</v>
      </c>
      <c r="K2713" s="15"/>
      <c r="L2713" s="15"/>
      <c r="M2713" s="16"/>
      <c r="N2713" s="8"/>
      <c r="O2713" s="18">
        <f t="shared" ref="O2713:O2729" si="778">O2712</f>
        <v>0</v>
      </c>
      <c r="P2713" s="9"/>
      <c r="Q2713" s="9"/>
      <c r="R2713" s="85">
        <v>0</v>
      </c>
      <c r="S2713" s="10">
        <f t="shared" si="775"/>
        <v>0</v>
      </c>
    </row>
    <row r="2714" spans="2:19" outlineLevel="1">
      <c r="B2714" s="13" t="s">
        <v>180</v>
      </c>
      <c r="C2714" s="7" t="str">
        <f t="shared" si="772"/>
        <v>VASSOURA MEC EMAQ SERIE 24072</v>
      </c>
      <c r="D2714" s="8">
        <f t="shared" si="773"/>
        <v>46093</v>
      </c>
      <c r="E2714" s="15"/>
      <c r="F2714" s="15"/>
      <c r="G2714" s="15">
        <f t="shared" si="777"/>
        <v>0</v>
      </c>
      <c r="H2714" s="16" t="s">
        <v>6</v>
      </c>
      <c r="I2714" s="10">
        <f t="shared" si="776"/>
        <v>0</v>
      </c>
      <c r="J2714" s="16" t="s">
        <v>201</v>
      </c>
      <c r="K2714" s="15"/>
      <c r="L2714" s="15"/>
      <c r="M2714" s="16"/>
      <c r="N2714" s="8"/>
      <c r="O2714" s="18">
        <f t="shared" si="778"/>
        <v>0</v>
      </c>
      <c r="P2714" s="9"/>
      <c r="Q2714" s="9"/>
      <c r="R2714" s="85">
        <v>0</v>
      </c>
      <c r="S2714" s="10">
        <f t="shared" si="775"/>
        <v>0</v>
      </c>
    </row>
    <row r="2715" spans="2:19" outlineLevel="1">
      <c r="B2715" s="13" t="s">
        <v>180</v>
      </c>
      <c r="C2715" s="7" t="str">
        <f t="shared" si="772"/>
        <v>VASSOURA MEC EMAQ SERIE 24072</v>
      </c>
      <c r="D2715" s="8">
        <f t="shared" si="773"/>
        <v>46094</v>
      </c>
      <c r="E2715" s="15"/>
      <c r="F2715" s="15"/>
      <c r="G2715" s="15">
        <f t="shared" si="777"/>
        <v>0</v>
      </c>
      <c r="H2715" s="16" t="s">
        <v>6</v>
      </c>
      <c r="I2715" s="10">
        <f t="shared" si="776"/>
        <v>0</v>
      </c>
      <c r="J2715" s="16" t="s">
        <v>201</v>
      </c>
      <c r="K2715" s="15"/>
      <c r="L2715" s="15"/>
      <c r="M2715" s="16"/>
      <c r="N2715" s="8"/>
      <c r="O2715" s="18">
        <f t="shared" si="778"/>
        <v>0</v>
      </c>
      <c r="P2715" s="9"/>
      <c r="Q2715" s="9"/>
      <c r="R2715" s="85">
        <v>0</v>
      </c>
      <c r="S2715" s="10">
        <f t="shared" si="775"/>
        <v>0</v>
      </c>
    </row>
    <row r="2716" spans="2:19" outlineLevel="1">
      <c r="B2716" s="13" t="s">
        <v>180</v>
      </c>
      <c r="C2716" s="7" t="str">
        <f t="shared" si="772"/>
        <v>VASSOURA MEC EMAQ SERIE 24072</v>
      </c>
      <c r="D2716" s="8">
        <f t="shared" si="773"/>
        <v>46095</v>
      </c>
      <c r="E2716" s="15"/>
      <c r="F2716" s="15"/>
      <c r="G2716" s="15">
        <f t="shared" si="777"/>
        <v>0</v>
      </c>
      <c r="H2716" s="16" t="s">
        <v>6</v>
      </c>
      <c r="I2716" s="10">
        <f t="shared" si="776"/>
        <v>0</v>
      </c>
      <c r="J2716" s="16" t="s">
        <v>201</v>
      </c>
      <c r="K2716" s="15"/>
      <c r="L2716" s="15"/>
      <c r="M2716" s="16"/>
      <c r="N2716" s="8"/>
      <c r="O2716" s="18">
        <f t="shared" si="778"/>
        <v>0</v>
      </c>
      <c r="P2716" s="9"/>
      <c r="Q2716" s="9"/>
      <c r="R2716" s="85">
        <v>0</v>
      </c>
      <c r="S2716" s="10">
        <f t="shared" si="775"/>
        <v>0</v>
      </c>
    </row>
    <row r="2717" spans="2:19" outlineLevel="1">
      <c r="B2717" s="13" t="s">
        <v>180</v>
      </c>
      <c r="C2717" s="7" t="str">
        <f t="shared" si="772"/>
        <v>VASSOURA MEC EMAQ SERIE 24072</v>
      </c>
      <c r="D2717" s="8">
        <f t="shared" si="773"/>
        <v>46096</v>
      </c>
      <c r="E2717" s="15"/>
      <c r="F2717" s="15"/>
      <c r="G2717" s="15">
        <f t="shared" si="777"/>
        <v>0</v>
      </c>
      <c r="H2717" s="16" t="s">
        <v>6</v>
      </c>
      <c r="I2717" s="10">
        <f t="shared" si="776"/>
        <v>0</v>
      </c>
      <c r="J2717" s="16" t="s">
        <v>201</v>
      </c>
      <c r="K2717" s="15"/>
      <c r="L2717" s="15"/>
      <c r="M2717" s="16"/>
      <c r="N2717" s="8"/>
      <c r="O2717" s="18">
        <f t="shared" si="778"/>
        <v>0</v>
      </c>
      <c r="P2717" s="9"/>
      <c r="Q2717" s="9"/>
      <c r="R2717" s="85">
        <v>0</v>
      </c>
      <c r="S2717" s="10">
        <f t="shared" si="775"/>
        <v>0</v>
      </c>
    </row>
    <row r="2718" spans="2:19" outlineLevel="1">
      <c r="B2718" s="13" t="s">
        <v>180</v>
      </c>
      <c r="C2718" s="7" t="str">
        <f t="shared" si="772"/>
        <v>VASSOURA MEC EMAQ SERIE 24072</v>
      </c>
      <c r="D2718" s="8">
        <f t="shared" si="773"/>
        <v>46097</v>
      </c>
      <c r="E2718" s="15"/>
      <c r="F2718" s="15"/>
      <c r="G2718" s="15">
        <f t="shared" si="777"/>
        <v>0</v>
      </c>
      <c r="H2718" s="16" t="s">
        <v>6</v>
      </c>
      <c r="I2718" s="10">
        <f t="shared" si="776"/>
        <v>0</v>
      </c>
      <c r="J2718" s="16" t="s">
        <v>201</v>
      </c>
      <c r="K2718" s="15"/>
      <c r="L2718" s="15"/>
      <c r="M2718" s="16"/>
      <c r="N2718" s="8"/>
      <c r="O2718" s="18">
        <f t="shared" si="778"/>
        <v>0</v>
      </c>
      <c r="P2718" s="9"/>
      <c r="Q2718" s="9"/>
      <c r="R2718" s="85">
        <v>0</v>
      </c>
      <c r="S2718" s="10">
        <f t="shared" ref="S2718:S2733" si="779">SUM(R2718+Q2718+I2718)</f>
        <v>0</v>
      </c>
    </row>
    <row r="2719" spans="2:19" outlineLevel="1">
      <c r="B2719" s="13" t="s">
        <v>180</v>
      </c>
      <c r="C2719" s="7" t="str">
        <f t="shared" si="772"/>
        <v>VASSOURA MEC EMAQ SERIE 24072</v>
      </c>
      <c r="D2719" s="8">
        <f t="shared" si="773"/>
        <v>46098</v>
      </c>
      <c r="E2719" s="15"/>
      <c r="F2719" s="15"/>
      <c r="G2719" s="15">
        <f t="shared" si="777"/>
        <v>0</v>
      </c>
      <c r="H2719" s="16" t="s">
        <v>6</v>
      </c>
      <c r="I2719" s="10">
        <f t="shared" si="776"/>
        <v>0</v>
      </c>
      <c r="J2719" s="16" t="s">
        <v>201</v>
      </c>
      <c r="K2719" s="15"/>
      <c r="L2719" s="15"/>
      <c r="M2719" s="16"/>
      <c r="N2719" s="8"/>
      <c r="O2719" s="18">
        <f t="shared" si="778"/>
        <v>0</v>
      </c>
      <c r="P2719" s="9"/>
      <c r="Q2719" s="9"/>
      <c r="R2719" s="85">
        <v>0</v>
      </c>
      <c r="S2719" s="10">
        <f t="shared" si="779"/>
        <v>0</v>
      </c>
    </row>
    <row r="2720" spans="2:19" outlineLevel="1">
      <c r="B2720" s="13" t="s">
        <v>180</v>
      </c>
      <c r="C2720" s="7" t="str">
        <f t="shared" si="772"/>
        <v>VASSOURA MEC EMAQ SERIE 24072</v>
      </c>
      <c r="D2720" s="8">
        <f t="shared" si="773"/>
        <v>46099</v>
      </c>
      <c r="E2720" s="15"/>
      <c r="F2720" s="15"/>
      <c r="G2720" s="15">
        <f t="shared" si="777"/>
        <v>0</v>
      </c>
      <c r="H2720" s="16" t="s">
        <v>6</v>
      </c>
      <c r="I2720" s="10">
        <f t="shared" si="776"/>
        <v>0</v>
      </c>
      <c r="J2720" s="16" t="s">
        <v>201</v>
      </c>
      <c r="K2720" s="15"/>
      <c r="L2720" s="15"/>
      <c r="M2720" s="16"/>
      <c r="N2720" s="8"/>
      <c r="O2720" s="18">
        <f t="shared" si="778"/>
        <v>0</v>
      </c>
      <c r="P2720" s="9"/>
      <c r="Q2720" s="9"/>
      <c r="R2720" s="85">
        <v>0</v>
      </c>
      <c r="S2720" s="10">
        <f t="shared" si="779"/>
        <v>0</v>
      </c>
    </row>
    <row r="2721" spans="2:19" outlineLevel="1">
      <c r="B2721" s="13" t="s">
        <v>180</v>
      </c>
      <c r="C2721" s="7" t="str">
        <f t="shared" si="772"/>
        <v>VASSOURA MEC EMAQ SERIE 24072</v>
      </c>
      <c r="D2721" s="8">
        <f t="shared" si="773"/>
        <v>46100</v>
      </c>
      <c r="E2721" s="15"/>
      <c r="F2721" s="15"/>
      <c r="G2721" s="15">
        <f t="shared" si="777"/>
        <v>0</v>
      </c>
      <c r="H2721" s="16" t="s">
        <v>6</v>
      </c>
      <c r="I2721" s="10">
        <f t="shared" si="776"/>
        <v>0</v>
      </c>
      <c r="J2721" s="16" t="s">
        <v>201</v>
      </c>
      <c r="K2721" s="15"/>
      <c r="L2721" s="15"/>
      <c r="M2721" s="16"/>
      <c r="N2721" s="8"/>
      <c r="O2721" s="18">
        <f t="shared" si="778"/>
        <v>0</v>
      </c>
      <c r="P2721" s="9"/>
      <c r="Q2721" s="9"/>
      <c r="R2721" s="85">
        <v>0</v>
      </c>
      <c r="S2721" s="10">
        <f t="shared" si="779"/>
        <v>0</v>
      </c>
    </row>
    <row r="2722" spans="2:19" outlineLevel="1">
      <c r="B2722" s="13" t="s">
        <v>180</v>
      </c>
      <c r="C2722" s="7" t="str">
        <f t="shared" si="772"/>
        <v>VASSOURA MEC EMAQ SERIE 24072</v>
      </c>
      <c r="D2722" s="8">
        <f t="shared" si="773"/>
        <v>46101</v>
      </c>
      <c r="E2722" s="15"/>
      <c r="F2722" s="15"/>
      <c r="G2722" s="15">
        <f t="shared" si="777"/>
        <v>0</v>
      </c>
      <c r="H2722" s="16" t="s">
        <v>6</v>
      </c>
      <c r="I2722" s="10">
        <f t="shared" si="776"/>
        <v>0</v>
      </c>
      <c r="J2722" s="16" t="s">
        <v>201</v>
      </c>
      <c r="K2722" s="15"/>
      <c r="L2722" s="15"/>
      <c r="M2722" s="16"/>
      <c r="N2722" s="8"/>
      <c r="O2722" s="18">
        <f t="shared" si="778"/>
        <v>0</v>
      </c>
      <c r="P2722" s="9"/>
      <c r="Q2722" s="9"/>
      <c r="R2722" s="85">
        <v>0</v>
      </c>
      <c r="S2722" s="10">
        <f t="shared" si="779"/>
        <v>0</v>
      </c>
    </row>
    <row r="2723" spans="2:19" outlineLevel="1">
      <c r="B2723" s="13" t="s">
        <v>180</v>
      </c>
      <c r="C2723" s="7" t="str">
        <f t="shared" si="772"/>
        <v>VASSOURA MEC EMAQ SERIE 24072</v>
      </c>
      <c r="D2723" s="8">
        <f t="shared" si="773"/>
        <v>46102</v>
      </c>
      <c r="E2723" s="15"/>
      <c r="F2723" s="15"/>
      <c r="G2723" s="15">
        <f t="shared" si="777"/>
        <v>0</v>
      </c>
      <c r="H2723" s="16" t="s">
        <v>6</v>
      </c>
      <c r="I2723" s="10">
        <f t="shared" si="776"/>
        <v>0</v>
      </c>
      <c r="J2723" s="16" t="s">
        <v>201</v>
      </c>
      <c r="K2723" s="15"/>
      <c r="L2723" s="15"/>
      <c r="M2723" s="16"/>
      <c r="N2723" s="8"/>
      <c r="O2723" s="18">
        <f t="shared" si="778"/>
        <v>0</v>
      </c>
      <c r="P2723" s="9"/>
      <c r="Q2723" s="9"/>
      <c r="R2723" s="85">
        <v>0</v>
      </c>
      <c r="S2723" s="10">
        <f t="shared" si="779"/>
        <v>0</v>
      </c>
    </row>
    <row r="2724" spans="2:19" outlineLevel="1">
      <c r="B2724" s="13" t="s">
        <v>180</v>
      </c>
      <c r="C2724" s="7" t="str">
        <f t="shared" si="772"/>
        <v>VASSOURA MEC EMAQ SERIE 24072</v>
      </c>
      <c r="D2724" s="8">
        <f t="shared" si="773"/>
        <v>46103</v>
      </c>
      <c r="E2724" s="15"/>
      <c r="F2724" s="15"/>
      <c r="G2724" s="15">
        <f t="shared" si="777"/>
        <v>0</v>
      </c>
      <c r="H2724" s="16" t="s">
        <v>6</v>
      </c>
      <c r="I2724" s="10">
        <f t="shared" si="776"/>
        <v>0</v>
      </c>
      <c r="J2724" s="16" t="s">
        <v>201</v>
      </c>
      <c r="K2724" s="15"/>
      <c r="L2724" s="15"/>
      <c r="M2724" s="16"/>
      <c r="N2724" s="8"/>
      <c r="O2724" s="18">
        <f t="shared" si="778"/>
        <v>0</v>
      </c>
      <c r="P2724" s="9"/>
      <c r="Q2724" s="9"/>
      <c r="R2724" s="85">
        <v>0</v>
      </c>
      <c r="S2724" s="10">
        <f t="shared" si="779"/>
        <v>0</v>
      </c>
    </row>
    <row r="2725" spans="2:19" outlineLevel="1">
      <c r="B2725" s="13" t="s">
        <v>180</v>
      </c>
      <c r="C2725" s="7" t="str">
        <f t="shared" si="772"/>
        <v>VASSOURA MEC EMAQ SERIE 24072</v>
      </c>
      <c r="D2725" s="8">
        <f t="shared" si="773"/>
        <v>46104</v>
      </c>
      <c r="E2725" s="15"/>
      <c r="F2725" s="15"/>
      <c r="G2725" s="15">
        <f t="shared" si="777"/>
        <v>0</v>
      </c>
      <c r="H2725" s="16" t="s">
        <v>6</v>
      </c>
      <c r="I2725" s="10">
        <f t="shared" si="776"/>
        <v>0</v>
      </c>
      <c r="J2725" s="16" t="s">
        <v>201</v>
      </c>
      <c r="K2725" s="15"/>
      <c r="L2725" s="15"/>
      <c r="M2725" s="16"/>
      <c r="N2725" s="8"/>
      <c r="O2725" s="18">
        <f t="shared" si="778"/>
        <v>0</v>
      </c>
      <c r="P2725" s="9"/>
      <c r="Q2725" s="9"/>
      <c r="R2725" s="85">
        <v>0</v>
      </c>
      <c r="S2725" s="10">
        <f t="shared" si="779"/>
        <v>0</v>
      </c>
    </row>
    <row r="2726" spans="2:19" outlineLevel="1">
      <c r="B2726" s="13" t="s">
        <v>180</v>
      </c>
      <c r="C2726" s="7" t="str">
        <f t="shared" si="772"/>
        <v>VASSOURA MEC EMAQ SERIE 24072</v>
      </c>
      <c r="D2726" s="8">
        <f t="shared" si="773"/>
        <v>46105</v>
      </c>
      <c r="E2726" s="15"/>
      <c r="F2726" s="15"/>
      <c r="G2726" s="15">
        <f t="shared" si="777"/>
        <v>0</v>
      </c>
      <c r="H2726" s="16" t="s">
        <v>6</v>
      </c>
      <c r="I2726" s="10">
        <f t="shared" si="776"/>
        <v>0</v>
      </c>
      <c r="J2726" s="16" t="s">
        <v>201</v>
      </c>
      <c r="K2726" s="15"/>
      <c r="L2726" s="15"/>
      <c r="M2726" s="16"/>
      <c r="N2726" s="8"/>
      <c r="O2726" s="18">
        <f t="shared" si="778"/>
        <v>0</v>
      </c>
      <c r="P2726" s="9"/>
      <c r="Q2726" s="9"/>
      <c r="R2726" s="85">
        <v>0</v>
      </c>
      <c r="S2726" s="10">
        <f t="shared" si="779"/>
        <v>0</v>
      </c>
    </row>
    <row r="2727" spans="2:19" outlineLevel="1">
      <c r="B2727" s="13" t="s">
        <v>180</v>
      </c>
      <c r="C2727" s="7" t="str">
        <f t="shared" si="772"/>
        <v>VASSOURA MEC EMAQ SERIE 24072</v>
      </c>
      <c r="D2727" s="8">
        <f t="shared" si="773"/>
        <v>46106</v>
      </c>
      <c r="E2727" s="15"/>
      <c r="F2727" s="15"/>
      <c r="G2727" s="15">
        <f t="shared" si="777"/>
        <v>0</v>
      </c>
      <c r="H2727" s="16" t="s">
        <v>6</v>
      </c>
      <c r="I2727" s="10">
        <f t="shared" si="776"/>
        <v>0</v>
      </c>
      <c r="J2727" s="16" t="s">
        <v>201</v>
      </c>
      <c r="K2727" s="15"/>
      <c r="L2727" s="15"/>
      <c r="M2727" s="16"/>
      <c r="N2727" s="8"/>
      <c r="O2727" s="18">
        <f t="shared" si="778"/>
        <v>0</v>
      </c>
      <c r="P2727" s="9"/>
      <c r="Q2727" s="9"/>
      <c r="R2727" s="85">
        <v>0</v>
      </c>
      <c r="S2727" s="10">
        <f t="shared" si="779"/>
        <v>0</v>
      </c>
    </row>
    <row r="2728" spans="2:19" outlineLevel="1">
      <c r="B2728" s="13" t="s">
        <v>180</v>
      </c>
      <c r="C2728" s="7" t="str">
        <f t="shared" si="772"/>
        <v>VASSOURA MEC EMAQ SERIE 24072</v>
      </c>
      <c r="D2728" s="8">
        <f t="shared" si="773"/>
        <v>46107</v>
      </c>
      <c r="E2728" s="15"/>
      <c r="F2728" s="15"/>
      <c r="G2728" s="15">
        <f t="shared" si="777"/>
        <v>0</v>
      </c>
      <c r="H2728" s="16" t="s">
        <v>6</v>
      </c>
      <c r="I2728" s="10">
        <f t="shared" si="776"/>
        <v>0</v>
      </c>
      <c r="J2728" s="16" t="s">
        <v>201</v>
      </c>
      <c r="K2728" s="15"/>
      <c r="L2728" s="15"/>
      <c r="M2728" s="16"/>
      <c r="N2728" s="8"/>
      <c r="O2728" s="18">
        <f t="shared" si="778"/>
        <v>0</v>
      </c>
      <c r="P2728" s="9"/>
      <c r="Q2728" s="9"/>
      <c r="R2728" s="85">
        <v>0</v>
      </c>
      <c r="S2728" s="10">
        <f t="shared" si="779"/>
        <v>0</v>
      </c>
    </row>
    <row r="2729" spans="2:19" outlineLevel="1">
      <c r="B2729" s="13" t="s">
        <v>180</v>
      </c>
      <c r="C2729" s="7" t="str">
        <f t="shared" si="772"/>
        <v>VASSOURA MEC EMAQ SERIE 24072</v>
      </c>
      <c r="D2729" s="8">
        <f t="shared" si="773"/>
        <v>46108</v>
      </c>
      <c r="E2729" s="15"/>
      <c r="F2729" s="15"/>
      <c r="G2729" s="15">
        <f t="shared" si="777"/>
        <v>0</v>
      </c>
      <c r="H2729" s="16" t="s">
        <v>6</v>
      </c>
      <c r="I2729" s="10">
        <f t="shared" si="776"/>
        <v>0</v>
      </c>
      <c r="J2729" s="16" t="s">
        <v>201</v>
      </c>
      <c r="K2729" s="15"/>
      <c r="L2729" s="15"/>
      <c r="M2729" s="16"/>
      <c r="N2729" s="8"/>
      <c r="O2729" s="18">
        <f t="shared" si="778"/>
        <v>0</v>
      </c>
      <c r="P2729" s="9"/>
      <c r="Q2729" s="9"/>
      <c r="R2729" s="85">
        <v>0</v>
      </c>
      <c r="S2729" s="10">
        <f t="shared" si="779"/>
        <v>0</v>
      </c>
    </row>
    <row r="2730" spans="2:19" outlineLevel="1">
      <c r="B2730" s="13" t="s">
        <v>180</v>
      </c>
      <c r="C2730" s="7" t="str">
        <f t="shared" si="772"/>
        <v>VASSOURA MEC EMAQ SERIE 24072</v>
      </c>
      <c r="D2730" s="8">
        <f t="shared" ref="D2730" si="780">D2662</f>
        <v>46109</v>
      </c>
      <c r="E2730" s="15"/>
      <c r="F2730" s="15"/>
      <c r="G2730" s="15">
        <f t="shared" ref="G2730:G2732" si="781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2">SUM(R2730+Q2730+I2730)</f>
        <v>0</v>
      </c>
    </row>
    <row r="2731" spans="2:19" outlineLevel="1">
      <c r="B2731" s="13" t="s">
        <v>180</v>
      </c>
      <c r="C2731" s="7" t="str">
        <f t="shared" si="772"/>
        <v>VASSOURA MEC EMAQ SERIE 24072</v>
      </c>
      <c r="D2731" s="8">
        <f t="shared" ref="D2731:D2733" si="783">D2663</f>
        <v>46110</v>
      </c>
      <c r="E2731" s="15"/>
      <c r="F2731" s="15"/>
      <c r="G2731" s="15">
        <f t="shared" si="781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2"/>
        <v>0</v>
      </c>
    </row>
    <row r="2732" spans="2:19" outlineLevel="1">
      <c r="B2732" s="13" t="s">
        <v>180</v>
      </c>
      <c r="C2732" s="7" t="str">
        <f t="shared" si="772"/>
        <v>VASSOURA MEC EMAQ SERIE 24072</v>
      </c>
      <c r="D2732" s="8">
        <f t="shared" si="783"/>
        <v>46111</v>
      </c>
      <c r="E2732" s="15"/>
      <c r="F2732" s="15"/>
      <c r="G2732" s="15">
        <f t="shared" si="781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2"/>
        <v>0</v>
      </c>
    </row>
    <row r="2733" spans="2:19" outlineLevel="1">
      <c r="B2733" s="13" t="s">
        <v>180</v>
      </c>
      <c r="C2733" s="7" t="str">
        <f t="shared" si="772"/>
        <v>VASSOURA MEC EMAQ SERIE 24072</v>
      </c>
      <c r="D2733" s="8">
        <f t="shared" si="783"/>
        <v>46112</v>
      </c>
      <c r="E2733" s="15"/>
      <c r="F2733" s="15"/>
      <c r="G2733" s="15">
        <f t="shared" si="777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79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4">C$2735</f>
        <v>VASSOURA MEC EMAQ SERIE A 24076</v>
      </c>
      <c r="D2737" s="8">
        <f t="shared" ref="D2737:D2763" si="785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4"/>
        <v>VASSOURA MEC EMAQ SERIE A 24076</v>
      </c>
      <c r="D2738" s="8">
        <f t="shared" si="785"/>
        <v>46083</v>
      </c>
      <c r="E2738" s="15"/>
      <c r="F2738" s="15"/>
      <c r="G2738" s="15">
        <f t="shared" ref="G2738:G2767" si="786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7">SUM(R2738+Q2738+I2738)</f>
        <v>161.29032258064515</v>
      </c>
    </row>
    <row r="2739" spans="2:19" outlineLevel="1">
      <c r="B2739" s="13" t="s">
        <v>182</v>
      </c>
      <c r="C2739" s="7" t="str">
        <f t="shared" si="784"/>
        <v>VASSOURA MEC EMAQ SERIE A 24076</v>
      </c>
      <c r="D2739" s="8">
        <f t="shared" si="785"/>
        <v>46084</v>
      </c>
      <c r="E2739" s="15"/>
      <c r="F2739" s="15"/>
      <c r="G2739" s="15">
        <f t="shared" si="786"/>
        <v>0</v>
      </c>
      <c r="H2739" s="16"/>
      <c r="I2739" s="10">
        <f t="shared" ref="I2739:I2763" si="788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7"/>
        <v>161.29032258064515</v>
      </c>
    </row>
    <row r="2740" spans="2:19" outlineLevel="1">
      <c r="B2740" s="13" t="s">
        <v>182</v>
      </c>
      <c r="C2740" s="7" t="str">
        <f t="shared" si="784"/>
        <v>VASSOURA MEC EMAQ SERIE A 24076</v>
      </c>
      <c r="D2740" s="8">
        <f t="shared" si="785"/>
        <v>46085</v>
      </c>
      <c r="E2740" s="15"/>
      <c r="F2740" s="15"/>
      <c r="G2740" s="15">
        <f t="shared" si="786"/>
        <v>0</v>
      </c>
      <c r="H2740" s="16"/>
      <c r="I2740" s="10">
        <f t="shared" si="788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7"/>
        <v>161.29032258064515</v>
      </c>
    </row>
    <row r="2741" spans="2:19" outlineLevel="1">
      <c r="B2741" s="13" t="s">
        <v>182</v>
      </c>
      <c r="C2741" s="7" t="str">
        <f t="shared" si="784"/>
        <v>VASSOURA MEC EMAQ SERIE A 24076</v>
      </c>
      <c r="D2741" s="8">
        <f t="shared" si="785"/>
        <v>46086</v>
      </c>
      <c r="E2741" s="15"/>
      <c r="F2741" s="15"/>
      <c r="G2741" s="15">
        <f t="shared" si="786"/>
        <v>0</v>
      </c>
      <c r="H2741" s="16"/>
      <c r="I2741" s="10">
        <f t="shared" si="788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7"/>
        <v>161.29032258064515</v>
      </c>
    </row>
    <row r="2742" spans="2:19" outlineLevel="1">
      <c r="B2742" s="13" t="s">
        <v>182</v>
      </c>
      <c r="C2742" s="7" t="str">
        <f t="shared" si="784"/>
        <v>VASSOURA MEC EMAQ SERIE A 24076</v>
      </c>
      <c r="D2742" s="8">
        <f t="shared" si="785"/>
        <v>46087</v>
      </c>
      <c r="E2742" s="15"/>
      <c r="F2742" s="15"/>
      <c r="G2742" s="15">
        <f t="shared" si="786"/>
        <v>0</v>
      </c>
      <c r="H2742" s="16"/>
      <c r="I2742" s="10">
        <f t="shared" si="788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7"/>
        <v>161.29032258064515</v>
      </c>
    </row>
    <row r="2743" spans="2:19" outlineLevel="1">
      <c r="B2743" s="13" t="s">
        <v>182</v>
      </c>
      <c r="C2743" s="7" t="str">
        <f t="shared" si="784"/>
        <v>VASSOURA MEC EMAQ SERIE A 24076</v>
      </c>
      <c r="D2743" s="8">
        <f t="shared" si="785"/>
        <v>46088</v>
      </c>
      <c r="E2743" s="15"/>
      <c r="F2743" s="15"/>
      <c r="G2743" s="15">
        <f t="shared" si="786"/>
        <v>0</v>
      </c>
      <c r="H2743" s="16"/>
      <c r="I2743" s="10">
        <f t="shared" si="788"/>
        <v>161.29032258064515</v>
      </c>
      <c r="J2743" s="16"/>
      <c r="K2743" s="15"/>
      <c r="L2743" s="15"/>
      <c r="M2743" s="16"/>
      <c r="N2743" s="8"/>
      <c r="O2743" s="18">
        <f t="shared" ref="O2743:O2763" si="789">O2742</f>
        <v>0</v>
      </c>
      <c r="P2743" s="9"/>
      <c r="Q2743" s="9"/>
      <c r="R2743" s="9"/>
      <c r="S2743" s="10">
        <f t="shared" si="787"/>
        <v>161.29032258064515</v>
      </c>
    </row>
    <row r="2744" spans="2:19" outlineLevel="1">
      <c r="B2744" s="13" t="s">
        <v>182</v>
      </c>
      <c r="C2744" s="7" t="str">
        <f t="shared" si="784"/>
        <v>VASSOURA MEC EMAQ SERIE A 24076</v>
      </c>
      <c r="D2744" s="8">
        <f t="shared" si="785"/>
        <v>46089</v>
      </c>
      <c r="E2744" s="15"/>
      <c r="F2744" s="15"/>
      <c r="G2744" s="15">
        <f t="shared" si="786"/>
        <v>0</v>
      </c>
      <c r="H2744" s="16"/>
      <c r="I2744" s="10">
        <f t="shared" si="788"/>
        <v>161.29032258064515</v>
      </c>
      <c r="J2744" s="16"/>
      <c r="K2744" s="15"/>
      <c r="L2744" s="15"/>
      <c r="M2744" s="16"/>
      <c r="N2744" s="8"/>
      <c r="O2744" s="18">
        <f t="shared" si="789"/>
        <v>0</v>
      </c>
      <c r="P2744" s="9"/>
      <c r="Q2744" s="9"/>
      <c r="R2744" s="9"/>
      <c r="S2744" s="10">
        <f t="shared" si="787"/>
        <v>161.29032258064515</v>
      </c>
    </row>
    <row r="2745" spans="2:19" outlineLevel="1">
      <c r="B2745" s="13" t="s">
        <v>182</v>
      </c>
      <c r="C2745" s="7" t="str">
        <f t="shared" si="784"/>
        <v>VASSOURA MEC EMAQ SERIE A 24076</v>
      </c>
      <c r="D2745" s="8">
        <f t="shared" si="785"/>
        <v>46090</v>
      </c>
      <c r="E2745" s="15"/>
      <c r="F2745" s="15"/>
      <c r="G2745" s="15">
        <f t="shared" si="786"/>
        <v>0</v>
      </c>
      <c r="H2745" s="16"/>
      <c r="I2745" s="10">
        <f t="shared" si="788"/>
        <v>161.29032258064515</v>
      </c>
      <c r="J2745" s="16"/>
      <c r="K2745" s="15"/>
      <c r="L2745" s="15"/>
      <c r="M2745" s="16"/>
      <c r="N2745" s="8"/>
      <c r="O2745" s="18">
        <f t="shared" si="789"/>
        <v>0</v>
      </c>
      <c r="P2745" s="9"/>
      <c r="Q2745" s="9"/>
      <c r="R2745" s="9"/>
      <c r="S2745" s="10">
        <f t="shared" si="787"/>
        <v>161.29032258064515</v>
      </c>
    </row>
    <row r="2746" spans="2:19" outlineLevel="1">
      <c r="B2746" s="13" t="s">
        <v>182</v>
      </c>
      <c r="C2746" s="7" t="str">
        <f t="shared" si="784"/>
        <v>VASSOURA MEC EMAQ SERIE A 24076</v>
      </c>
      <c r="D2746" s="8">
        <f t="shared" si="785"/>
        <v>46091</v>
      </c>
      <c r="E2746" s="15"/>
      <c r="F2746" s="15"/>
      <c r="G2746" s="15">
        <f t="shared" si="786"/>
        <v>0</v>
      </c>
      <c r="H2746" s="16"/>
      <c r="I2746" s="10">
        <f t="shared" si="788"/>
        <v>161.29032258064515</v>
      </c>
      <c r="J2746" s="16"/>
      <c r="K2746" s="15"/>
      <c r="L2746" s="15"/>
      <c r="M2746" s="16"/>
      <c r="N2746" s="8"/>
      <c r="O2746" s="18">
        <f t="shared" si="789"/>
        <v>0</v>
      </c>
      <c r="P2746" s="9"/>
      <c r="Q2746" s="9"/>
      <c r="R2746" s="9"/>
      <c r="S2746" s="10">
        <f t="shared" si="787"/>
        <v>161.29032258064515</v>
      </c>
    </row>
    <row r="2747" spans="2:19" outlineLevel="1">
      <c r="B2747" s="13" t="s">
        <v>182</v>
      </c>
      <c r="C2747" s="7" t="str">
        <f t="shared" si="784"/>
        <v>VASSOURA MEC EMAQ SERIE A 24076</v>
      </c>
      <c r="D2747" s="8">
        <f t="shared" si="785"/>
        <v>46092</v>
      </c>
      <c r="E2747" s="15"/>
      <c r="F2747" s="15"/>
      <c r="G2747" s="15">
        <f t="shared" si="786"/>
        <v>0</v>
      </c>
      <c r="H2747" s="16"/>
      <c r="I2747" s="10">
        <f t="shared" si="788"/>
        <v>161.29032258064515</v>
      </c>
      <c r="J2747" s="16"/>
      <c r="K2747" s="15"/>
      <c r="L2747" s="15"/>
      <c r="M2747" s="16"/>
      <c r="N2747" s="8"/>
      <c r="O2747" s="18">
        <f t="shared" si="789"/>
        <v>0</v>
      </c>
      <c r="P2747" s="9"/>
      <c r="Q2747" s="9"/>
      <c r="R2747" s="9"/>
      <c r="S2747" s="10">
        <f t="shared" si="787"/>
        <v>161.29032258064515</v>
      </c>
    </row>
    <row r="2748" spans="2:19" outlineLevel="1">
      <c r="B2748" s="13" t="s">
        <v>182</v>
      </c>
      <c r="C2748" s="7" t="str">
        <f t="shared" si="784"/>
        <v>VASSOURA MEC EMAQ SERIE A 24076</v>
      </c>
      <c r="D2748" s="8">
        <f t="shared" si="785"/>
        <v>46093</v>
      </c>
      <c r="E2748" s="15"/>
      <c r="F2748" s="15"/>
      <c r="G2748" s="15">
        <f t="shared" si="786"/>
        <v>0</v>
      </c>
      <c r="H2748" s="16"/>
      <c r="I2748" s="10">
        <f t="shared" si="788"/>
        <v>161.29032258064515</v>
      </c>
      <c r="J2748" s="16"/>
      <c r="K2748" s="15"/>
      <c r="L2748" s="15"/>
      <c r="M2748" s="16"/>
      <c r="N2748" s="8"/>
      <c r="O2748" s="18">
        <f t="shared" si="789"/>
        <v>0</v>
      </c>
      <c r="P2748" s="9"/>
      <c r="Q2748" s="9"/>
      <c r="R2748" s="9"/>
      <c r="S2748" s="10">
        <f t="shared" si="787"/>
        <v>161.29032258064515</v>
      </c>
    </row>
    <row r="2749" spans="2:19" outlineLevel="1">
      <c r="B2749" s="13" t="s">
        <v>182</v>
      </c>
      <c r="C2749" s="7" t="str">
        <f t="shared" si="784"/>
        <v>VASSOURA MEC EMAQ SERIE A 24076</v>
      </c>
      <c r="D2749" s="8">
        <f t="shared" si="785"/>
        <v>46094</v>
      </c>
      <c r="E2749" s="15"/>
      <c r="F2749" s="15"/>
      <c r="G2749" s="15">
        <f t="shared" si="786"/>
        <v>0</v>
      </c>
      <c r="H2749" s="16"/>
      <c r="I2749" s="10">
        <f t="shared" si="788"/>
        <v>161.29032258064515</v>
      </c>
      <c r="J2749" s="16"/>
      <c r="K2749" s="15"/>
      <c r="L2749" s="15"/>
      <c r="M2749" s="16"/>
      <c r="N2749" s="8"/>
      <c r="O2749" s="18">
        <f t="shared" si="789"/>
        <v>0</v>
      </c>
      <c r="P2749" s="9"/>
      <c r="Q2749" s="9"/>
      <c r="R2749" s="9"/>
      <c r="S2749" s="10">
        <f t="shared" si="787"/>
        <v>161.29032258064515</v>
      </c>
    </row>
    <row r="2750" spans="2:19" outlineLevel="1">
      <c r="B2750" s="13" t="s">
        <v>182</v>
      </c>
      <c r="C2750" s="7" t="str">
        <f t="shared" si="784"/>
        <v>VASSOURA MEC EMAQ SERIE A 24076</v>
      </c>
      <c r="D2750" s="8">
        <f t="shared" si="785"/>
        <v>46095</v>
      </c>
      <c r="E2750" s="15"/>
      <c r="F2750" s="15"/>
      <c r="G2750" s="15">
        <f t="shared" si="786"/>
        <v>0</v>
      </c>
      <c r="H2750" s="16"/>
      <c r="I2750" s="10">
        <f t="shared" si="788"/>
        <v>161.29032258064515</v>
      </c>
      <c r="J2750" s="16"/>
      <c r="K2750" s="15"/>
      <c r="L2750" s="15"/>
      <c r="M2750" s="16"/>
      <c r="N2750" s="8"/>
      <c r="O2750" s="18">
        <f t="shared" si="789"/>
        <v>0</v>
      </c>
      <c r="P2750" s="9"/>
      <c r="Q2750" s="9"/>
      <c r="R2750" s="9"/>
      <c r="S2750" s="10">
        <f t="shared" si="787"/>
        <v>161.29032258064515</v>
      </c>
    </row>
    <row r="2751" spans="2:19" outlineLevel="1">
      <c r="B2751" s="13" t="s">
        <v>182</v>
      </c>
      <c r="C2751" s="7" t="str">
        <f t="shared" si="784"/>
        <v>VASSOURA MEC EMAQ SERIE A 24076</v>
      </c>
      <c r="D2751" s="8">
        <f t="shared" si="785"/>
        <v>46096</v>
      </c>
      <c r="E2751" s="15"/>
      <c r="F2751" s="15"/>
      <c r="G2751" s="15">
        <f t="shared" si="786"/>
        <v>0</v>
      </c>
      <c r="H2751" s="16"/>
      <c r="I2751" s="10">
        <f t="shared" si="788"/>
        <v>161.29032258064515</v>
      </c>
      <c r="J2751" s="16"/>
      <c r="K2751" s="15"/>
      <c r="L2751" s="15"/>
      <c r="M2751" s="16"/>
      <c r="N2751" s="8"/>
      <c r="O2751" s="18">
        <f t="shared" si="789"/>
        <v>0</v>
      </c>
      <c r="P2751" s="9"/>
      <c r="Q2751" s="9"/>
      <c r="R2751" s="9"/>
      <c r="S2751" s="10">
        <f t="shared" si="787"/>
        <v>161.29032258064515</v>
      </c>
    </row>
    <row r="2752" spans="2:19" outlineLevel="1">
      <c r="B2752" s="13" t="s">
        <v>182</v>
      </c>
      <c r="C2752" s="7" t="str">
        <f t="shared" si="784"/>
        <v>VASSOURA MEC EMAQ SERIE A 24076</v>
      </c>
      <c r="D2752" s="8">
        <f t="shared" si="785"/>
        <v>46097</v>
      </c>
      <c r="E2752" s="15"/>
      <c r="F2752" s="15"/>
      <c r="G2752" s="15">
        <f t="shared" si="786"/>
        <v>0</v>
      </c>
      <c r="H2752" s="16"/>
      <c r="I2752" s="10">
        <f t="shared" si="788"/>
        <v>161.29032258064515</v>
      </c>
      <c r="J2752" s="16"/>
      <c r="K2752" s="15"/>
      <c r="L2752" s="15"/>
      <c r="M2752" s="16"/>
      <c r="N2752" s="8"/>
      <c r="O2752" s="18">
        <f t="shared" si="789"/>
        <v>0</v>
      </c>
      <c r="P2752" s="9"/>
      <c r="Q2752" s="9"/>
      <c r="R2752" s="9"/>
      <c r="S2752" s="10">
        <f t="shared" si="787"/>
        <v>161.29032258064515</v>
      </c>
    </row>
    <row r="2753" spans="2:19" outlineLevel="1">
      <c r="B2753" s="13" t="s">
        <v>182</v>
      </c>
      <c r="C2753" s="7" t="str">
        <f t="shared" si="784"/>
        <v>VASSOURA MEC EMAQ SERIE A 24076</v>
      </c>
      <c r="D2753" s="8">
        <f t="shared" si="785"/>
        <v>46098</v>
      </c>
      <c r="E2753" s="15"/>
      <c r="F2753" s="15"/>
      <c r="G2753" s="15">
        <f t="shared" si="786"/>
        <v>0</v>
      </c>
      <c r="H2753" s="16"/>
      <c r="I2753" s="10">
        <f t="shared" si="788"/>
        <v>161.29032258064515</v>
      </c>
      <c r="J2753" s="16"/>
      <c r="K2753" s="15"/>
      <c r="L2753" s="15"/>
      <c r="M2753" s="16"/>
      <c r="N2753" s="8"/>
      <c r="O2753" s="18">
        <f t="shared" si="789"/>
        <v>0</v>
      </c>
      <c r="P2753" s="9"/>
      <c r="Q2753" s="9"/>
      <c r="R2753" s="9"/>
      <c r="S2753" s="10">
        <f t="shared" si="787"/>
        <v>161.29032258064515</v>
      </c>
    </row>
    <row r="2754" spans="2:19" outlineLevel="1">
      <c r="B2754" s="13" t="s">
        <v>182</v>
      </c>
      <c r="C2754" s="7" t="str">
        <f t="shared" si="784"/>
        <v>VASSOURA MEC EMAQ SERIE A 24076</v>
      </c>
      <c r="D2754" s="8">
        <f t="shared" si="785"/>
        <v>46099</v>
      </c>
      <c r="E2754" s="15"/>
      <c r="F2754" s="15"/>
      <c r="G2754" s="15">
        <f t="shared" si="786"/>
        <v>0</v>
      </c>
      <c r="H2754" s="16"/>
      <c r="I2754" s="10">
        <f t="shared" si="788"/>
        <v>161.29032258064515</v>
      </c>
      <c r="J2754" s="16"/>
      <c r="K2754" s="15"/>
      <c r="L2754" s="15"/>
      <c r="M2754" s="16"/>
      <c r="N2754" s="8"/>
      <c r="O2754" s="18">
        <f t="shared" si="789"/>
        <v>0</v>
      </c>
      <c r="P2754" s="9"/>
      <c r="Q2754" s="9"/>
      <c r="R2754" s="9"/>
      <c r="S2754" s="10">
        <f t="shared" si="787"/>
        <v>161.29032258064515</v>
      </c>
    </row>
    <row r="2755" spans="2:19" outlineLevel="1">
      <c r="B2755" s="13" t="s">
        <v>182</v>
      </c>
      <c r="C2755" s="7" t="str">
        <f t="shared" si="784"/>
        <v>VASSOURA MEC EMAQ SERIE A 24076</v>
      </c>
      <c r="D2755" s="8">
        <f t="shared" si="785"/>
        <v>46100</v>
      </c>
      <c r="E2755" s="15"/>
      <c r="F2755" s="15"/>
      <c r="G2755" s="15">
        <f t="shared" si="786"/>
        <v>0</v>
      </c>
      <c r="H2755" s="16"/>
      <c r="I2755" s="10">
        <f t="shared" si="788"/>
        <v>161.29032258064515</v>
      </c>
      <c r="J2755" s="16"/>
      <c r="K2755" s="15"/>
      <c r="L2755" s="15"/>
      <c r="M2755" s="16"/>
      <c r="N2755" s="8"/>
      <c r="O2755" s="18">
        <f t="shared" si="789"/>
        <v>0</v>
      </c>
      <c r="P2755" s="9"/>
      <c r="Q2755" s="9"/>
      <c r="R2755" s="9"/>
      <c r="S2755" s="10">
        <f t="shared" si="787"/>
        <v>161.29032258064515</v>
      </c>
    </row>
    <row r="2756" spans="2:19" outlineLevel="1">
      <c r="B2756" s="13" t="s">
        <v>182</v>
      </c>
      <c r="C2756" s="7" t="str">
        <f t="shared" si="784"/>
        <v>VASSOURA MEC EMAQ SERIE A 24076</v>
      </c>
      <c r="D2756" s="8">
        <f t="shared" si="785"/>
        <v>46101</v>
      </c>
      <c r="E2756" s="15"/>
      <c r="F2756" s="15"/>
      <c r="G2756" s="15">
        <f t="shared" si="786"/>
        <v>0</v>
      </c>
      <c r="H2756" s="16"/>
      <c r="I2756" s="10">
        <f t="shared" si="788"/>
        <v>161.29032258064515</v>
      </c>
      <c r="J2756" s="16"/>
      <c r="K2756" s="15"/>
      <c r="L2756" s="15"/>
      <c r="M2756" s="16"/>
      <c r="N2756" s="8"/>
      <c r="O2756" s="18">
        <f t="shared" si="789"/>
        <v>0</v>
      </c>
      <c r="P2756" s="9"/>
      <c r="Q2756" s="9"/>
      <c r="R2756" s="9"/>
      <c r="S2756" s="10">
        <f t="shared" si="787"/>
        <v>161.29032258064515</v>
      </c>
    </row>
    <row r="2757" spans="2:19" outlineLevel="1">
      <c r="B2757" s="13" t="s">
        <v>182</v>
      </c>
      <c r="C2757" s="7" t="str">
        <f t="shared" si="784"/>
        <v>VASSOURA MEC EMAQ SERIE A 24076</v>
      </c>
      <c r="D2757" s="8">
        <f t="shared" si="785"/>
        <v>46102</v>
      </c>
      <c r="E2757" s="15"/>
      <c r="F2757" s="15"/>
      <c r="G2757" s="15">
        <f t="shared" si="786"/>
        <v>0</v>
      </c>
      <c r="H2757" s="16"/>
      <c r="I2757" s="10">
        <f t="shared" si="788"/>
        <v>161.29032258064515</v>
      </c>
      <c r="J2757" s="16"/>
      <c r="K2757" s="15"/>
      <c r="L2757" s="15"/>
      <c r="M2757" s="16"/>
      <c r="N2757" s="8"/>
      <c r="O2757" s="18">
        <f t="shared" si="789"/>
        <v>0</v>
      </c>
      <c r="P2757" s="9"/>
      <c r="Q2757" s="9"/>
      <c r="R2757" s="9"/>
      <c r="S2757" s="10">
        <f t="shared" si="787"/>
        <v>161.29032258064515</v>
      </c>
    </row>
    <row r="2758" spans="2:19" outlineLevel="1">
      <c r="B2758" s="13" t="s">
        <v>182</v>
      </c>
      <c r="C2758" s="7" t="str">
        <f t="shared" si="784"/>
        <v>VASSOURA MEC EMAQ SERIE A 24076</v>
      </c>
      <c r="D2758" s="8">
        <f t="shared" si="785"/>
        <v>46103</v>
      </c>
      <c r="E2758" s="15"/>
      <c r="F2758" s="15"/>
      <c r="G2758" s="15">
        <f t="shared" si="786"/>
        <v>0</v>
      </c>
      <c r="H2758" s="16"/>
      <c r="I2758" s="10">
        <f t="shared" si="788"/>
        <v>161.29032258064515</v>
      </c>
      <c r="J2758" s="16"/>
      <c r="K2758" s="15"/>
      <c r="L2758" s="15"/>
      <c r="M2758" s="16"/>
      <c r="N2758" s="8"/>
      <c r="O2758" s="18">
        <f t="shared" si="789"/>
        <v>0</v>
      </c>
      <c r="P2758" s="9"/>
      <c r="Q2758" s="9"/>
      <c r="R2758" s="9"/>
      <c r="S2758" s="10">
        <f t="shared" si="787"/>
        <v>161.29032258064515</v>
      </c>
    </row>
    <row r="2759" spans="2:19" outlineLevel="1">
      <c r="B2759" s="13" t="s">
        <v>182</v>
      </c>
      <c r="C2759" s="7" t="str">
        <f t="shared" si="784"/>
        <v>VASSOURA MEC EMAQ SERIE A 24076</v>
      </c>
      <c r="D2759" s="8">
        <f t="shared" si="785"/>
        <v>46104</v>
      </c>
      <c r="E2759" s="15"/>
      <c r="F2759" s="15"/>
      <c r="G2759" s="15">
        <f t="shared" si="786"/>
        <v>0</v>
      </c>
      <c r="H2759" s="16"/>
      <c r="I2759" s="10">
        <f t="shared" si="788"/>
        <v>161.29032258064515</v>
      </c>
      <c r="J2759" s="16"/>
      <c r="K2759" s="15"/>
      <c r="L2759" s="15"/>
      <c r="M2759" s="16"/>
      <c r="N2759" s="8"/>
      <c r="O2759" s="18">
        <f t="shared" si="789"/>
        <v>0</v>
      </c>
      <c r="P2759" s="9"/>
      <c r="Q2759" s="9"/>
      <c r="R2759" s="9"/>
      <c r="S2759" s="10">
        <f t="shared" si="787"/>
        <v>161.29032258064515</v>
      </c>
    </row>
    <row r="2760" spans="2:19" outlineLevel="1">
      <c r="B2760" s="13" t="s">
        <v>182</v>
      </c>
      <c r="C2760" s="7" t="str">
        <f t="shared" si="784"/>
        <v>VASSOURA MEC EMAQ SERIE A 24076</v>
      </c>
      <c r="D2760" s="8">
        <f t="shared" si="785"/>
        <v>46105</v>
      </c>
      <c r="E2760" s="15"/>
      <c r="F2760" s="15"/>
      <c r="G2760" s="15">
        <f t="shared" si="786"/>
        <v>0</v>
      </c>
      <c r="H2760" s="16"/>
      <c r="I2760" s="10">
        <f t="shared" si="788"/>
        <v>161.29032258064515</v>
      </c>
      <c r="J2760" s="16"/>
      <c r="K2760" s="15"/>
      <c r="L2760" s="15"/>
      <c r="M2760" s="16"/>
      <c r="N2760" s="8"/>
      <c r="O2760" s="18">
        <f t="shared" si="789"/>
        <v>0</v>
      </c>
      <c r="P2760" s="9"/>
      <c r="Q2760" s="9"/>
      <c r="R2760" s="9"/>
      <c r="S2760" s="10">
        <f t="shared" si="787"/>
        <v>161.29032258064515</v>
      </c>
    </row>
    <row r="2761" spans="2:19" outlineLevel="1">
      <c r="B2761" s="13" t="s">
        <v>182</v>
      </c>
      <c r="C2761" s="7" t="str">
        <f t="shared" si="784"/>
        <v>VASSOURA MEC EMAQ SERIE A 24076</v>
      </c>
      <c r="D2761" s="8">
        <f t="shared" si="785"/>
        <v>46106</v>
      </c>
      <c r="E2761" s="15"/>
      <c r="F2761" s="15"/>
      <c r="G2761" s="15">
        <f t="shared" si="786"/>
        <v>0</v>
      </c>
      <c r="H2761" s="16"/>
      <c r="I2761" s="10">
        <f t="shared" si="788"/>
        <v>161.29032258064515</v>
      </c>
      <c r="J2761" s="16"/>
      <c r="K2761" s="15"/>
      <c r="L2761" s="15"/>
      <c r="M2761" s="16"/>
      <c r="N2761" s="8"/>
      <c r="O2761" s="18">
        <f t="shared" si="789"/>
        <v>0</v>
      </c>
      <c r="P2761" s="9"/>
      <c r="Q2761" s="9"/>
      <c r="R2761" s="9"/>
      <c r="S2761" s="10">
        <f t="shared" si="787"/>
        <v>161.29032258064515</v>
      </c>
    </row>
    <row r="2762" spans="2:19" outlineLevel="1">
      <c r="B2762" s="13" t="s">
        <v>182</v>
      </c>
      <c r="C2762" s="7" t="str">
        <f t="shared" si="784"/>
        <v>VASSOURA MEC EMAQ SERIE A 24076</v>
      </c>
      <c r="D2762" s="8">
        <f t="shared" si="785"/>
        <v>46107</v>
      </c>
      <c r="E2762" s="15"/>
      <c r="F2762" s="15"/>
      <c r="G2762" s="15">
        <f t="shared" si="786"/>
        <v>0</v>
      </c>
      <c r="H2762" s="16"/>
      <c r="I2762" s="10">
        <f t="shared" si="788"/>
        <v>161.29032258064515</v>
      </c>
      <c r="J2762" s="16"/>
      <c r="K2762" s="15"/>
      <c r="L2762" s="15"/>
      <c r="M2762" s="16"/>
      <c r="N2762" s="8"/>
      <c r="O2762" s="18">
        <f t="shared" si="789"/>
        <v>0</v>
      </c>
      <c r="P2762" s="9"/>
      <c r="Q2762" s="9"/>
      <c r="R2762" s="9"/>
      <c r="S2762" s="10">
        <f t="shared" si="787"/>
        <v>161.29032258064515</v>
      </c>
    </row>
    <row r="2763" spans="2:19" outlineLevel="1">
      <c r="B2763" s="13" t="s">
        <v>182</v>
      </c>
      <c r="C2763" s="7" t="str">
        <f t="shared" si="784"/>
        <v>VASSOURA MEC EMAQ SERIE A 24076</v>
      </c>
      <c r="D2763" s="8">
        <f t="shared" si="785"/>
        <v>46108</v>
      </c>
      <c r="E2763" s="15"/>
      <c r="F2763" s="15"/>
      <c r="G2763" s="15">
        <f t="shared" si="786"/>
        <v>0</v>
      </c>
      <c r="H2763" s="16"/>
      <c r="I2763" s="10">
        <f t="shared" si="788"/>
        <v>161.29032258064515</v>
      </c>
      <c r="J2763" s="16"/>
      <c r="K2763" s="15"/>
      <c r="L2763" s="15"/>
      <c r="M2763" s="16"/>
      <c r="N2763" s="8"/>
      <c r="O2763" s="18">
        <f t="shared" si="789"/>
        <v>0</v>
      </c>
      <c r="P2763" s="9"/>
      <c r="Q2763" s="9"/>
      <c r="R2763" s="9"/>
      <c r="S2763" s="10">
        <f t="shared" si="787"/>
        <v>161.29032258064515</v>
      </c>
    </row>
    <row r="2764" spans="2:19" outlineLevel="1">
      <c r="B2764" s="13" t="s">
        <v>182</v>
      </c>
      <c r="C2764" s="7" t="str">
        <f t="shared" si="784"/>
        <v>VASSOURA MEC EMAQ SERIE A 24076</v>
      </c>
      <c r="D2764" s="8">
        <f t="shared" ref="D2764" si="790">D2696</f>
        <v>46109</v>
      </c>
      <c r="E2764" s="15"/>
      <c r="F2764" s="15"/>
      <c r="G2764" s="15">
        <f t="shared" ref="G2764:G2766" si="791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2">SUM(R2764+Q2764+I2764)</f>
        <v>161.29032258064515</v>
      </c>
    </row>
    <row r="2765" spans="2:19" outlineLevel="1">
      <c r="B2765" s="13" t="s">
        <v>182</v>
      </c>
      <c r="C2765" s="7" t="str">
        <f t="shared" si="784"/>
        <v>VASSOURA MEC EMAQ SERIE A 24076</v>
      </c>
      <c r="D2765" s="8">
        <f t="shared" ref="D2765:D2767" si="793">D2697</f>
        <v>46110</v>
      </c>
      <c r="E2765" s="15"/>
      <c r="F2765" s="15"/>
      <c r="G2765" s="15">
        <f t="shared" si="791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2"/>
        <v>161.29032258064515</v>
      </c>
    </row>
    <row r="2766" spans="2:19" outlineLevel="1">
      <c r="B2766" s="13" t="s">
        <v>182</v>
      </c>
      <c r="C2766" s="7" t="str">
        <f t="shared" si="784"/>
        <v>VASSOURA MEC EMAQ SERIE A 24076</v>
      </c>
      <c r="D2766" s="8">
        <f t="shared" si="793"/>
        <v>46111</v>
      </c>
      <c r="E2766" s="15"/>
      <c r="F2766" s="15"/>
      <c r="G2766" s="15">
        <f t="shared" si="791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2"/>
        <v>161.29032258064515</v>
      </c>
    </row>
    <row r="2767" spans="2:19" outlineLevel="1">
      <c r="B2767" s="13" t="s">
        <v>182</v>
      </c>
      <c r="C2767" s="7" t="str">
        <f t="shared" si="784"/>
        <v>VASSOURA MEC EMAQ SERIE A 24076</v>
      </c>
      <c r="D2767" s="8">
        <f t="shared" si="793"/>
        <v>46112</v>
      </c>
      <c r="E2767" s="15"/>
      <c r="F2767" s="15"/>
      <c r="G2767" s="15">
        <f t="shared" si="786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7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4">C$2769</f>
        <v>SPREDY EMAQ SERIE 24122</v>
      </c>
      <c r="D2771" s="8">
        <f t="shared" ref="D2771:D2797" si="795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4"/>
        <v>SPREDY EMAQ SERIE 24122</v>
      </c>
      <c r="D2772" s="8">
        <f t="shared" si="795"/>
        <v>46083</v>
      </c>
      <c r="E2772" s="15"/>
      <c r="F2772" s="15"/>
      <c r="G2772" s="15">
        <f t="shared" ref="G2772:G2801" si="796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7">SUM(R2772+Q2772+I2772)</f>
        <v>0</v>
      </c>
    </row>
    <row r="2773" spans="2:19" outlineLevel="1">
      <c r="B2773" s="13" t="s">
        <v>184</v>
      </c>
      <c r="C2773" s="7" t="str">
        <f t="shared" si="794"/>
        <v>SPREDY EMAQ SERIE 24122</v>
      </c>
      <c r="D2773" s="8">
        <f t="shared" si="795"/>
        <v>46084</v>
      </c>
      <c r="E2773" s="15"/>
      <c r="F2773" s="15"/>
      <c r="G2773" s="15">
        <f t="shared" si="796"/>
        <v>0</v>
      </c>
      <c r="H2773" s="16"/>
      <c r="I2773" s="10">
        <f t="shared" ref="I2773:I2797" si="798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7"/>
        <v>0</v>
      </c>
    </row>
    <row r="2774" spans="2:19" outlineLevel="1">
      <c r="B2774" s="13" t="s">
        <v>184</v>
      </c>
      <c r="C2774" s="7" t="str">
        <f t="shared" si="794"/>
        <v>SPREDY EMAQ SERIE 24122</v>
      </c>
      <c r="D2774" s="8">
        <f t="shared" si="795"/>
        <v>46085</v>
      </c>
      <c r="E2774" s="15"/>
      <c r="F2774" s="15"/>
      <c r="G2774" s="15">
        <f t="shared" si="796"/>
        <v>0</v>
      </c>
      <c r="H2774" s="16"/>
      <c r="I2774" s="10">
        <f t="shared" si="798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7"/>
        <v>0</v>
      </c>
    </row>
    <row r="2775" spans="2:19" outlineLevel="1">
      <c r="B2775" s="13" t="s">
        <v>184</v>
      </c>
      <c r="C2775" s="7" t="str">
        <f t="shared" si="794"/>
        <v>SPREDY EMAQ SERIE 24122</v>
      </c>
      <c r="D2775" s="8">
        <f t="shared" si="795"/>
        <v>46086</v>
      </c>
      <c r="E2775" s="15"/>
      <c r="F2775" s="15"/>
      <c r="G2775" s="15">
        <f t="shared" si="796"/>
        <v>0</v>
      </c>
      <c r="H2775" s="16"/>
      <c r="I2775" s="10">
        <f t="shared" si="798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7"/>
        <v>0</v>
      </c>
    </row>
    <row r="2776" spans="2:19" outlineLevel="1">
      <c r="B2776" s="13" t="s">
        <v>184</v>
      </c>
      <c r="C2776" s="7" t="str">
        <f t="shared" si="794"/>
        <v>SPREDY EMAQ SERIE 24122</v>
      </c>
      <c r="D2776" s="8">
        <f t="shared" si="795"/>
        <v>46087</v>
      </c>
      <c r="E2776" s="15"/>
      <c r="F2776" s="15"/>
      <c r="G2776" s="15">
        <f t="shared" si="796"/>
        <v>0</v>
      </c>
      <c r="H2776" s="16"/>
      <c r="I2776" s="10">
        <f t="shared" si="798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7"/>
        <v>0</v>
      </c>
    </row>
    <row r="2777" spans="2:19" outlineLevel="1">
      <c r="B2777" s="13" t="s">
        <v>184</v>
      </c>
      <c r="C2777" s="7" t="str">
        <f t="shared" si="794"/>
        <v>SPREDY EMAQ SERIE 24122</v>
      </c>
      <c r="D2777" s="8">
        <f t="shared" si="795"/>
        <v>46088</v>
      </c>
      <c r="E2777" s="15"/>
      <c r="F2777" s="15"/>
      <c r="G2777" s="15">
        <f t="shared" si="796"/>
        <v>0</v>
      </c>
      <c r="H2777" s="16"/>
      <c r="I2777" s="10">
        <f t="shared" si="798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7"/>
        <v>0</v>
      </c>
    </row>
    <row r="2778" spans="2:19" outlineLevel="1">
      <c r="B2778" s="13" t="s">
        <v>184</v>
      </c>
      <c r="C2778" s="7" t="str">
        <f t="shared" si="794"/>
        <v>SPREDY EMAQ SERIE 24122</v>
      </c>
      <c r="D2778" s="8">
        <f t="shared" si="795"/>
        <v>46089</v>
      </c>
      <c r="E2778" s="15"/>
      <c r="F2778" s="15"/>
      <c r="G2778" s="15">
        <f t="shared" si="796"/>
        <v>0</v>
      </c>
      <c r="H2778" s="16"/>
      <c r="I2778" s="10">
        <f t="shared" si="798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7"/>
        <v>0</v>
      </c>
    </row>
    <row r="2779" spans="2:19" outlineLevel="1">
      <c r="B2779" s="13" t="s">
        <v>184</v>
      </c>
      <c r="C2779" s="7" t="str">
        <f t="shared" si="794"/>
        <v>SPREDY EMAQ SERIE 24122</v>
      </c>
      <c r="D2779" s="8">
        <f t="shared" si="795"/>
        <v>46090</v>
      </c>
      <c r="E2779" s="15"/>
      <c r="F2779" s="15"/>
      <c r="G2779" s="15">
        <f t="shared" si="796"/>
        <v>0</v>
      </c>
      <c r="H2779" s="16"/>
      <c r="I2779" s="10">
        <f t="shared" si="798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7"/>
        <v>0</v>
      </c>
    </row>
    <row r="2780" spans="2:19" outlineLevel="1">
      <c r="B2780" s="13" t="s">
        <v>184</v>
      </c>
      <c r="C2780" s="7" t="str">
        <f t="shared" si="794"/>
        <v>SPREDY EMAQ SERIE 24122</v>
      </c>
      <c r="D2780" s="8">
        <f t="shared" si="795"/>
        <v>46091</v>
      </c>
      <c r="E2780" s="15"/>
      <c r="F2780" s="15"/>
      <c r="G2780" s="15">
        <f t="shared" si="796"/>
        <v>0</v>
      </c>
      <c r="H2780" s="16"/>
      <c r="I2780" s="10">
        <f t="shared" si="798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7"/>
        <v>0</v>
      </c>
    </row>
    <row r="2781" spans="2:19" outlineLevel="1">
      <c r="B2781" s="13" t="s">
        <v>184</v>
      </c>
      <c r="C2781" s="7" t="str">
        <f t="shared" si="794"/>
        <v>SPREDY EMAQ SERIE 24122</v>
      </c>
      <c r="D2781" s="8">
        <f t="shared" si="795"/>
        <v>46092</v>
      </c>
      <c r="E2781" s="15"/>
      <c r="F2781" s="15"/>
      <c r="G2781" s="15">
        <f t="shared" si="796"/>
        <v>0</v>
      </c>
      <c r="H2781" s="16"/>
      <c r="I2781" s="10">
        <f t="shared" si="798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7"/>
        <v>0</v>
      </c>
    </row>
    <row r="2782" spans="2:19" outlineLevel="1">
      <c r="B2782" s="13" t="s">
        <v>184</v>
      </c>
      <c r="C2782" s="7" t="str">
        <f t="shared" si="794"/>
        <v>SPREDY EMAQ SERIE 24122</v>
      </c>
      <c r="D2782" s="8">
        <f t="shared" si="795"/>
        <v>46093</v>
      </c>
      <c r="E2782" s="15"/>
      <c r="F2782" s="15"/>
      <c r="G2782" s="15">
        <f t="shared" si="796"/>
        <v>0</v>
      </c>
      <c r="H2782" s="16"/>
      <c r="I2782" s="10">
        <f t="shared" si="798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7"/>
        <v>0</v>
      </c>
    </row>
    <row r="2783" spans="2:19" outlineLevel="1">
      <c r="B2783" s="13" t="s">
        <v>184</v>
      </c>
      <c r="C2783" s="7" t="str">
        <f t="shared" si="794"/>
        <v>SPREDY EMAQ SERIE 24122</v>
      </c>
      <c r="D2783" s="8">
        <f t="shared" si="795"/>
        <v>46094</v>
      </c>
      <c r="E2783" s="15"/>
      <c r="F2783" s="15"/>
      <c r="G2783" s="15">
        <f t="shared" si="796"/>
        <v>0</v>
      </c>
      <c r="H2783" s="16"/>
      <c r="I2783" s="10">
        <f t="shared" si="798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7"/>
        <v>0</v>
      </c>
    </row>
    <row r="2784" spans="2:19" outlineLevel="1">
      <c r="B2784" s="13" t="s">
        <v>184</v>
      </c>
      <c r="C2784" s="7" t="str">
        <f t="shared" si="794"/>
        <v>SPREDY EMAQ SERIE 24122</v>
      </c>
      <c r="D2784" s="8">
        <f t="shared" si="795"/>
        <v>46095</v>
      </c>
      <c r="E2784" s="15"/>
      <c r="F2784" s="15"/>
      <c r="G2784" s="15">
        <f t="shared" si="796"/>
        <v>0</v>
      </c>
      <c r="H2784" s="16"/>
      <c r="I2784" s="10">
        <f t="shared" si="798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7"/>
        <v>0</v>
      </c>
    </row>
    <row r="2785" spans="2:19" outlineLevel="1">
      <c r="B2785" s="13" t="s">
        <v>184</v>
      </c>
      <c r="C2785" s="7" t="str">
        <f t="shared" si="794"/>
        <v>SPREDY EMAQ SERIE 24122</v>
      </c>
      <c r="D2785" s="8">
        <f t="shared" si="795"/>
        <v>46096</v>
      </c>
      <c r="E2785" s="15"/>
      <c r="F2785" s="15"/>
      <c r="G2785" s="15">
        <f t="shared" si="796"/>
        <v>0</v>
      </c>
      <c r="H2785" s="16"/>
      <c r="I2785" s="10">
        <f t="shared" si="798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7"/>
        <v>0</v>
      </c>
    </row>
    <row r="2786" spans="2:19" outlineLevel="1">
      <c r="B2786" s="13" t="s">
        <v>184</v>
      </c>
      <c r="C2786" s="7" t="str">
        <f t="shared" si="794"/>
        <v>SPREDY EMAQ SERIE 24122</v>
      </c>
      <c r="D2786" s="8">
        <f t="shared" si="795"/>
        <v>46097</v>
      </c>
      <c r="E2786" s="15"/>
      <c r="F2786" s="15"/>
      <c r="G2786" s="15">
        <f t="shared" si="796"/>
        <v>0</v>
      </c>
      <c r="H2786" s="16"/>
      <c r="I2786" s="10">
        <f t="shared" si="798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7"/>
        <v>0</v>
      </c>
    </row>
    <row r="2787" spans="2:19" outlineLevel="1">
      <c r="B2787" s="13" t="s">
        <v>184</v>
      </c>
      <c r="C2787" s="7" t="str">
        <f t="shared" si="794"/>
        <v>SPREDY EMAQ SERIE 24122</v>
      </c>
      <c r="D2787" s="8">
        <f t="shared" si="795"/>
        <v>46098</v>
      </c>
      <c r="E2787" s="15"/>
      <c r="F2787" s="15"/>
      <c r="G2787" s="15">
        <f t="shared" si="796"/>
        <v>0</v>
      </c>
      <c r="H2787" s="16"/>
      <c r="I2787" s="10">
        <f t="shared" si="798"/>
        <v>0</v>
      </c>
      <c r="J2787" s="16"/>
      <c r="K2787" s="15"/>
      <c r="L2787" s="15"/>
      <c r="M2787" s="16"/>
      <c r="N2787" s="8"/>
      <c r="O2787" s="18">
        <f t="shared" ref="O2787:O2797" si="799">O2786</f>
        <v>0</v>
      </c>
      <c r="P2787" s="9"/>
      <c r="Q2787" s="9"/>
      <c r="R2787" s="9"/>
      <c r="S2787" s="10">
        <f t="shared" si="797"/>
        <v>0</v>
      </c>
    </row>
    <row r="2788" spans="2:19" outlineLevel="1">
      <c r="B2788" s="13" t="s">
        <v>184</v>
      </c>
      <c r="C2788" s="7" t="str">
        <f t="shared" si="794"/>
        <v>SPREDY EMAQ SERIE 24122</v>
      </c>
      <c r="D2788" s="8">
        <f t="shared" si="795"/>
        <v>46099</v>
      </c>
      <c r="E2788" s="15"/>
      <c r="F2788" s="15"/>
      <c r="G2788" s="15">
        <f t="shared" si="796"/>
        <v>0</v>
      </c>
      <c r="H2788" s="16"/>
      <c r="I2788" s="10">
        <f t="shared" si="798"/>
        <v>0</v>
      </c>
      <c r="J2788" s="16"/>
      <c r="K2788" s="15"/>
      <c r="L2788" s="15"/>
      <c r="M2788" s="16"/>
      <c r="N2788" s="8"/>
      <c r="O2788" s="18">
        <f t="shared" si="799"/>
        <v>0</v>
      </c>
      <c r="P2788" s="9"/>
      <c r="Q2788" s="9"/>
      <c r="R2788" s="9"/>
      <c r="S2788" s="10">
        <f t="shared" si="797"/>
        <v>0</v>
      </c>
    </row>
    <row r="2789" spans="2:19" outlineLevel="1">
      <c r="B2789" s="13" t="s">
        <v>184</v>
      </c>
      <c r="C2789" s="7" t="str">
        <f t="shared" si="794"/>
        <v>SPREDY EMAQ SERIE 24122</v>
      </c>
      <c r="D2789" s="8">
        <f t="shared" si="795"/>
        <v>46100</v>
      </c>
      <c r="E2789" s="15"/>
      <c r="F2789" s="15"/>
      <c r="G2789" s="15">
        <f t="shared" si="796"/>
        <v>0</v>
      </c>
      <c r="H2789" s="16"/>
      <c r="I2789" s="10">
        <f t="shared" si="798"/>
        <v>0</v>
      </c>
      <c r="J2789" s="16"/>
      <c r="K2789" s="15"/>
      <c r="L2789" s="15"/>
      <c r="M2789" s="16"/>
      <c r="N2789" s="8"/>
      <c r="O2789" s="18">
        <f t="shared" si="799"/>
        <v>0</v>
      </c>
      <c r="P2789" s="9"/>
      <c r="Q2789" s="9"/>
      <c r="R2789" s="9"/>
      <c r="S2789" s="10">
        <f t="shared" si="797"/>
        <v>0</v>
      </c>
    </row>
    <row r="2790" spans="2:19" outlineLevel="1">
      <c r="B2790" s="13" t="s">
        <v>184</v>
      </c>
      <c r="C2790" s="7" t="str">
        <f t="shared" si="794"/>
        <v>SPREDY EMAQ SERIE 24122</v>
      </c>
      <c r="D2790" s="8">
        <f t="shared" si="795"/>
        <v>46101</v>
      </c>
      <c r="E2790" s="15"/>
      <c r="F2790" s="15"/>
      <c r="G2790" s="15">
        <f t="shared" si="796"/>
        <v>0</v>
      </c>
      <c r="H2790" s="16"/>
      <c r="I2790" s="10">
        <f t="shared" si="798"/>
        <v>0</v>
      </c>
      <c r="J2790" s="16"/>
      <c r="K2790" s="15"/>
      <c r="L2790" s="15"/>
      <c r="M2790" s="16"/>
      <c r="N2790" s="8"/>
      <c r="O2790" s="18">
        <f t="shared" si="799"/>
        <v>0</v>
      </c>
      <c r="P2790" s="9"/>
      <c r="Q2790" s="9"/>
      <c r="R2790" s="9"/>
      <c r="S2790" s="10">
        <f t="shared" si="797"/>
        <v>0</v>
      </c>
    </row>
    <row r="2791" spans="2:19" outlineLevel="1">
      <c r="B2791" s="13" t="s">
        <v>184</v>
      </c>
      <c r="C2791" s="7" t="str">
        <f t="shared" si="794"/>
        <v>SPREDY EMAQ SERIE 24122</v>
      </c>
      <c r="D2791" s="8">
        <f t="shared" si="795"/>
        <v>46102</v>
      </c>
      <c r="E2791" s="15"/>
      <c r="F2791" s="15"/>
      <c r="G2791" s="15">
        <f t="shared" si="796"/>
        <v>0</v>
      </c>
      <c r="H2791" s="16"/>
      <c r="I2791" s="10">
        <f t="shared" si="798"/>
        <v>0</v>
      </c>
      <c r="J2791" s="16"/>
      <c r="K2791" s="15"/>
      <c r="L2791" s="15"/>
      <c r="M2791" s="16"/>
      <c r="N2791" s="8"/>
      <c r="O2791" s="18">
        <f t="shared" si="799"/>
        <v>0</v>
      </c>
      <c r="P2791" s="9"/>
      <c r="Q2791" s="9"/>
      <c r="R2791" s="9"/>
      <c r="S2791" s="10">
        <f t="shared" si="797"/>
        <v>0</v>
      </c>
    </row>
    <row r="2792" spans="2:19" outlineLevel="1">
      <c r="B2792" s="13" t="s">
        <v>184</v>
      </c>
      <c r="C2792" s="7" t="str">
        <f t="shared" si="794"/>
        <v>SPREDY EMAQ SERIE 24122</v>
      </c>
      <c r="D2792" s="8">
        <f t="shared" si="795"/>
        <v>46103</v>
      </c>
      <c r="E2792" s="15"/>
      <c r="F2792" s="15"/>
      <c r="G2792" s="15">
        <f t="shared" si="796"/>
        <v>0</v>
      </c>
      <c r="H2792" s="16"/>
      <c r="I2792" s="10">
        <f t="shared" si="798"/>
        <v>0</v>
      </c>
      <c r="J2792" s="16"/>
      <c r="K2792" s="15"/>
      <c r="L2792" s="15"/>
      <c r="M2792" s="16"/>
      <c r="N2792" s="8"/>
      <c r="O2792" s="18">
        <f t="shared" si="799"/>
        <v>0</v>
      </c>
      <c r="P2792" s="9"/>
      <c r="Q2792" s="9"/>
      <c r="R2792" s="9"/>
      <c r="S2792" s="10">
        <f t="shared" si="797"/>
        <v>0</v>
      </c>
    </row>
    <row r="2793" spans="2:19" outlineLevel="1">
      <c r="B2793" s="13" t="s">
        <v>184</v>
      </c>
      <c r="C2793" s="7" t="str">
        <f t="shared" si="794"/>
        <v>SPREDY EMAQ SERIE 24122</v>
      </c>
      <c r="D2793" s="8">
        <f t="shared" si="795"/>
        <v>46104</v>
      </c>
      <c r="E2793" s="15"/>
      <c r="F2793" s="15"/>
      <c r="G2793" s="15">
        <f t="shared" si="796"/>
        <v>0</v>
      </c>
      <c r="H2793" s="16"/>
      <c r="I2793" s="10">
        <f t="shared" si="798"/>
        <v>0</v>
      </c>
      <c r="J2793" s="16"/>
      <c r="K2793" s="15"/>
      <c r="L2793" s="15"/>
      <c r="M2793" s="16"/>
      <c r="N2793" s="8"/>
      <c r="O2793" s="18">
        <f t="shared" si="799"/>
        <v>0</v>
      </c>
      <c r="P2793" s="9"/>
      <c r="Q2793" s="9"/>
      <c r="R2793" s="9"/>
      <c r="S2793" s="10">
        <f t="shared" si="797"/>
        <v>0</v>
      </c>
    </row>
    <row r="2794" spans="2:19" outlineLevel="1">
      <c r="B2794" s="13" t="s">
        <v>184</v>
      </c>
      <c r="C2794" s="7" t="str">
        <f t="shared" si="794"/>
        <v>SPREDY EMAQ SERIE 24122</v>
      </c>
      <c r="D2794" s="8">
        <f t="shared" si="795"/>
        <v>46105</v>
      </c>
      <c r="E2794" s="15"/>
      <c r="F2794" s="15"/>
      <c r="G2794" s="15">
        <f t="shared" si="796"/>
        <v>0</v>
      </c>
      <c r="H2794" s="16"/>
      <c r="I2794" s="10">
        <f t="shared" si="798"/>
        <v>0</v>
      </c>
      <c r="J2794" s="16"/>
      <c r="K2794" s="15"/>
      <c r="L2794" s="15"/>
      <c r="M2794" s="16"/>
      <c r="N2794" s="8"/>
      <c r="O2794" s="18">
        <f t="shared" si="799"/>
        <v>0</v>
      </c>
      <c r="P2794" s="9"/>
      <c r="Q2794" s="9"/>
      <c r="R2794" s="9"/>
      <c r="S2794" s="10">
        <f t="shared" si="797"/>
        <v>0</v>
      </c>
    </row>
    <row r="2795" spans="2:19" outlineLevel="1">
      <c r="B2795" s="13" t="s">
        <v>184</v>
      </c>
      <c r="C2795" s="7" t="str">
        <f t="shared" si="794"/>
        <v>SPREDY EMAQ SERIE 24122</v>
      </c>
      <c r="D2795" s="8">
        <f t="shared" si="795"/>
        <v>46106</v>
      </c>
      <c r="E2795" s="15"/>
      <c r="F2795" s="15"/>
      <c r="G2795" s="15">
        <f t="shared" si="796"/>
        <v>0</v>
      </c>
      <c r="H2795" s="16"/>
      <c r="I2795" s="10">
        <f t="shared" si="798"/>
        <v>0</v>
      </c>
      <c r="J2795" s="16"/>
      <c r="K2795" s="15"/>
      <c r="L2795" s="15"/>
      <c r="M2795" s="16"/>
      <c r="N2795" s="8"/>
      <c r="O2795" s="18">
        <f t="shared" si="799"/>
        <v>0</v>
      </c>
      <c r="P2795" s="9"/>
      <c r="Q2795" s="9"/>
      <c r="R2795" s="9"/>
      <c r="S2795" s="10">
        <f t="shared" si="797"/>
        <v>0</v>
      </c>
    </row>
    <row r="2796" spans="2:19" outlineLevel="1">
      <c r="B2796" s="13" t="s">
        <v>184</v>
      </c>
      <c r="C2796" s="7" t="str">
        <f t="shared" si="794"/>
        <v>SPREDY EMAQ SERIE 24122</v>
      </c>
      <c r="D2796" s="8">
        <f t="shared" si="795"/>
        <v>46107</v>
      </c>
      <c r="E2796" s="15"/>
      <c r="F2796" s="15"/>
      <c r="G2796" s="15">
        <f t="shared" si="796"/>
        <v>0</v>
      </c>
      <c r="H2796" s="16"/>
      <c r="I2796" s="10">
        <f t="shared" si="798"/>
        <v>0</v>
      </c>
      <c r="J2796" s="16"/>
      <c r="K2796" s="15"/>
      <c r="L2796" s="15"/>
      <c r="M2796" s="16"/>
      <c r="N2796" s="8"/>
      <c r="O2796" s="18">
        <f t="shared" si="799"/>
        <v>0</v>
      </c>
      <c r="P2796" s="9"/>
      <c r="Q2796" s="9"/>
      <c r="R2796" s="9"/>
      <c r="S2796" s="10">
        <f t="shared" si="797"/>
        <v>0</v>
      </c>
    </row>
    <row r="2797" spans="2:19" outlineLevel="1">
      <c r="B2797" s="13" t="s">
        <v>184</v>
      </c>
      <c r="C2797" s="7" t="str">
        <f t="shared" si="794"/>
        <v>SPREDY EMAQ SERIE 24122</v>
      </c>
      <c r="D2797" s="8">
        <f t="shared" si="795"/>
        <v>46108</v>
      </c>
      <c r="E2797" s="15"/>
      <c r="F2797" s="15"/>
      <c r="G2797" s="15">
        <f t="shared" si="796"/>
        <v>0</v>
      </c>
      <c r="H2797" s="16"/>
      <c r="I2797" s="10">
        <f t="shared" si="798"/>
        <v>0</v>
      </c>
      <c r="J2797" s="16"/>
      <c r="K2797" s="15"/>
      <c r="L2797" s="15"/>
      <c r="M2797" s="16"/>
      <c r="N2797" s="8"/>
      <c r="O2797" s="18">
        <f t="shared" si="799"/>
        <v>0</v>
      </c>
      <c r="P2797" s="9"/>
      <c r="Q2797" s="9"/>
      <c r="R2797" s="9"/>
      <c r="S2797" s="10">
        <f t="shared" si="797"/>
        <v>0</v>
      </c>
    </row>
    <row r="2798" spans="2:19" outlineLevel="1">
      <c r="B2798" s="13" t="s">
        <v>184</v>
      </c>
      <c r="C2798" s="7" t="str">
        <f t="shared" si="794"/>
        <v>SPREDY EMAQ SERIE 24122</v>
      </c>
      <c r="D2798" s="8">
        <f t="shared" ref="D2798" si="800">D2730</f>
        <v>46109</v>
      </c>
      <c r="E2798" s="15"/>
      <c r="F2798" s="15"/>
      <c r="G2798" s="15">
        <f t="shared" ref="G2798:G2800" si="801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2">SUM(R2798+Q2798+I2798)</f>
        <v>0</v>
      </c>
    </row>
    <row r="2799" spans="2:19" outlineLevel="1">
      <c r="B2799" s="13" t="s">
        <v>184</v>
      </c>
      <c r="C2799" s="7" t="str">
        <f t="shared" si="794"/>
        <v>SPREDY EMAQ SERIE 24122</v>
      </c>
      <c r="D2799" s="8">
        <f t="shared" ref="D2799:D2801" si="803">D2731</f>
        <v>46110</v>
      </c>
      <c r="E2799" s="15"/>
      <c r="F2799" s="15"/>
      <c r="G2799" s="15">
        <f t="shared" si="801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2"/>
        <v>0</v>
      </c>
    </row>
    <row r="2800" spans="2:19" outlineLevel="1">
      <c r="B2800" s="13" t="s">
        <v>184</v>
      </c>
      <c r="C2800" s="7" t="str">
        <f t="shared" si="794"/>
        <v>SPREDY EMAQ SERIE 24122</v>
      </c>
      <c r="D2800" s="8">
        <f t="shared" si="803"/>
        <v>46111</v>
      </c>
      <c r="E2800" s="15"/>
      <c r="F2800" s="15"/>
      <c r="G2800" s="15">
        <f t="shared" si="801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2"/>
        <v>0</v>
      </c>
    </row>
    <row r="2801" spans="2:19" outlineLevel="1">
      <c r="B2801" s="13" t="s">
        <v>184</v>
      </c>
      <c r="C2801" s="7" t="str">
        <f t="shared" si="794"/>
        <v>SPREDY EMAQ SERIE 24122</v>
      </c>
      <c r="D2801" s="8">
        <f t="shared" si="803"/>
        <v>46112</v>
      </c>
      <c r="E2801" s="15"/>
      <c r="F2801" s="15"/>
      <c r="G2801" s="15">
        <f t="shared" si="796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7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4">C$2803</f>
        <v>SPREDY EMAQ SERIE A 24127</v>
      </c>
      <c r="D2805" s="8">
        <f t="shared" ref="D2805:D2831" si="805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4"/>
        <v>SPREDY EMAQ SERIE A 24127</v>
      </c>
      <c r="D2806" s="8">
        <f t="shared" si="805"/>
        <v>46083</v>
      </c>
      <c r="E2806" s="15"/>
      <c r="F2806" s="15"/>
      <c r="G2806" s="15">
        <f t="shared" ref="G2806:G2835" si="806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7">SUM(R2806+Q2806+I2806)</f>
        <v>161.29032258064515</v>
      </c>
    </row>
    <row r="2807" spans="2:19" outlineLevel="1">
      <c r="B2807" s="13" t="s">
        <v>186</v>
      </c>
      <c r="C2807" s="7" t="str">
        <f t="shared" si="804"/>
        <v>SPREDY EMAQ SERIE A 24127</v>
      </c>
      <c r="D2807" s="8">
        <f t="shared" si="805"/>
        <v>46084</v>
      </c>
      <c r="E2807" s="15"/>
      <c r="F2807" s="15"/>
      <c r="G2807" s="15">
        <f t="shared" si="806"/>
        <v>0</v>
      </c>
      <c r="H2807" s="74" t="s">
        <v>205</v>
      </c>
      <c r="I2807" s="10">
        <f t="shared" ref="I2807:I2831" si="808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7"/>
        <v>161.29032258064515</v>
      </c>
    </row>
    <row r="2808" spans="2:19" outlineLevel="1">
      <c r="B2808" s="13" t="s">
        <v>186</v>
      </c>
      <c r="C2808" s="7" t="str">
        <f t="shared" si="804"/>
        <v>SPREDY EMAQ SERIE A 24127</v>
      </c>
      <c r="D2808" s="8">
        <f t="shared" si="805"/>
        <v>46085</v>
      </c>
      <c r="E2808" s="15"/>
      <c r="F2808" s="15"/>
      <c r="G2808" s="15">
        <f t="shared" si="806"/>
        <v>0</v>
      </c>
      <c r="H2808" s="74" t="s">
        <v>205</v>
      </c>
      <c r="I2808" s="10">
        <f t="shared" si="808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7"/>
        <v>161.29032258064515</v>
      </c>
    </row>
    <row r="2809" spans="2:19" outlineLevel="1">
      <c r="B2809" s="13" t="s">
        <v>186</v>
      </c>
      <c r="C2809" s="7" t="str">
        <f t="shared" si="804"/>
        <v>SPREDY EMAQ SERIE A 24127</v>
      </c>
      <c r="D2809" s="8">
        <f t="shared" si="805"/>
        <v>46086</v>
      </c>
      <c r="E2809" s="15"/>
      <c r="F2809" s="15"/>
      <c r="G2809" s="15">
        <f t="shared" si="806"/>
        <v>0</v>
      </c>
      <c r="H2809" s="74" t="s">
        <v>205</v>
      </c>
      <c r="I2809" s="10">
        <f t="shared" si="808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7"/>
        <v>161.29032258064515</v>
      </c>
    </row>
    <row r="2810" spans="2:19" outlineLevel="1">
      <c r="B2810" s="13" t="s">
        <v>186</v>
      </c>
      <c r="C2810" s="7" t="str">
        <f t="shared" si="804"/>
        <v>SPREDY EMAQ SERIE A 24127</v>
      </c>
      <c r="D2810" s="8">
        <f t="shared" si="805"/>
        <v>46087</v>
      </c>
      <c r="E2810" s="15"/>
      <c r="F2810" s="15"/>
      <c r="G2810" s="15">
        <f t="shared" si="806"/>
        <v>0</v>
      </c>
      <c r="H2810" s="74" t="s">
        <v>205</v>
      </c>
      <c r="I2810" s="10">
        <f t="shared" si="808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7"/>
        <v>161.29032258064515</v>
      </c>
    </row>
    <row r="2811" spans="2:19" outlineLevel="1">
      <c r="B2811" s="13" t="s">
        <v>186</v>
      </c>
      <c r="C2811" s="7" t="str">
        <f t="shared" si="804"/>
        <v>SPREDY EMAQ SERIE A 24127</v>
      </c>
      <c r="D2811" s="8">
        <f t="shared" si="805"/>
        <v>46088</v>
      </c>
      <c r="E2811" s="15"/>
      <c r="F2811" s="15"/>
      <c r="G2811" s="15">
        <f t="shared" si="806"/>
        <v>0</v>
      </c>
      <c r="H2811" s="74" t="s">
        <v>205</v>
      </c>
      <c r="I2811" s="10">
        <f t="shared" si="808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7"/>
        <v>161.29032258064515</v>
      </c>
    </row>
    <row r="2812" spans="2:19" outlineLevel="1">
      <c r="B2812" s="13" t="s">
        <v>186</v>
      </c>
      <c r="C2812" s="7" t="str">
        <f t="shared" si="804"/>
        <v>SPREDY EMAQ SERIE A 24127</v>
      </c>
      <c r="D2812" s="8">
        <f t="shared" si="805"/>
        <v>46089</v>
      </c>
      <c r="E2812" s="15"/>
      <c r="F2812" s="15"/>
      <c r="G2812" s="15">
        <f t="shared" si="806"/>
        <v>0</v>
      </c>
      <c r="H2812" s="74" t="s">
        <v>205</v>
      </c>
      <c r="I2812" s="10">
        <f t="shared" si="808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7"/>
        <v>161.29032258064515</v>
      </c>
    </row>
    <row r="2813" spans="2:19" outlineLevel="1">
      <c r="B2813" s="13" t="s">
        <v>186</v>
      </c>
      <c r="C2813" s="7" t="str">
        <f t="shared" si="804"/>
        <v>SPREDY EMAQ SERIE A 24127</v>
      </c>
      <c r="D2813" s="8">
        <f t="shared" si="805"/>
        <v>46090</v>
      </c>
      <c r="E2813" s="15"/>
      <c r="F2813" s="15"/>
      <c r="G2813" s="15">
        <f t="shared" si="806"/>
        <v>0</v>
      </c>
      <c r="H2813" s="74" t="s">
        <v>205</v>
      </c>
      <c r="I2813" s="10">
        <f t="shared" si="808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7"/>
        <v>161.29032258064515</v>
      </c>
    </row>
    <row r="2814" spans="2:19" outlineLevel="1">
      <c r="B2814" s="13" t="s">
        <v>186</v>
      </c>
      <c r="C2814" s="7" t="str">
        <f t="shared" si="804"/>
        <v>SPREDY EMAQ SERIE A 24127</v>
      </c>
      <c r="D2814" s="8">
        <f t="shared" si="805"/>
        <v>46091</v>
      </c>
      <c r="E2814" s="15"/>
      <c r="F2814" s="15"/>
      <c r="G2814" s="15">
        <f t="shared" si="806"/>
        <v>0</v>
      </c>
      <c r="H2814" s="74" t="s">
        <v>205</v>
      </c>
      <c r="I2814" s="10">
        <f t="shared" si="808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7"/>
        <v>161.29032258064515</v>
      </c>
    </row>
    <row r="2815" spans="2:19" outlineLevel="1">
      <c r="B2815" s="13" t="s">
        <v>186</v>
      </c>
      <c r="C2815" s="7" t="str">
        <f t="shared" si="804"/>
        <v>SPREDY EMAQ SERIE A 24127</v>
      </c>
      <c r="D2815" s="8">
        <f t="shared" si="805"/>
        <v>46092</v>
      </c>
      <c r="E2815" s="15"/>
      <c r="F2815" s="15"/>
      <c r="G2815" s="15">
        <f t="shared" si="806"/>
        <v>0</v>
      </c>
      <c r="H2815" s="74" t="s">
        <v>205</v>
      </c>
      <c r="I2815" s="10">
        <f t="shared" si="808"/>
        <v>161.29032258064515</v>
      </c>
      <c r="J2815" s="16"/>
      <c r="K2815" s="15"/>
      <c r="L2815" s="15"/>
      <c r="M2815" s="16"/>
      <c r="N2815" s="8"/>
      <c r="O2815" s="18">
        <f t="shared" ref="O2815:O2831" si="809">O2814</f>
        <v>0</v>
      </c>
      <c r="P2815" s="9"/>
      <c r="Q2815" s="9"/>
      <c r="R2815" s="9"/>
      <c r="S2815" s="10">
        <f t="shared" si="807"/>
        <v>161.29032258064515</v>
      </c>
    </row>
    <row r="2816" spans="2:19" outlineLevel="1">
      <c r="B2816" s="13" t="s">
        <v>186</v>
      </c>
      <c r="C2816" s="7" t="str">
        <f t="shared" si="804"/>
        <v>SPREDY EMAQ SERIE A 24127</v>
      </c>
      <c r="D2816" s="8">
        <f t="shared" si="805"/>
        <v>46093</v>
      </c>
      <c r="E2816" s="15"/>
      <c r="F2816" s="15"/>
      <c r="G2816" s="15">
        <f t="shared" si="806"/>
        <v>0</v>
      </c>
      <c r="H2816" s="74" t="s">
        <v>205</v>
      </c>
      <c r="I2816" s="10">
        <f t="shared" si="808"/>
        <v>161.29032258064515</v>
      </c>
      <c r="J2816" s="16"/>
      <c r="K2816" s="15"/>
      <c r="L2816" s="15"/>
      <c r="M2816" s="16"/>
      <c r="N2816" s="8"/>
      <c r="O2816" s="18">
        <f t="shared" si="809"/>
        <v>0</v>
      </c>
      <c r="P2816" s="9"/>
      <c r="Q2816" s="9"/>
      <c r="R2816" s="9"/>
      <c r="S2816" s="10">
        <f t="shared" si="807"/>
        <v>161.29032258064515</v>
      </c>
    </row>
    <row r="2817" spans="2:19" outlineLevel="1">
      <c r="B2817" s="13" t="s">
        <v>186</v>
      </c>
      <c r="C2817" s="7" t="str">
        <f t="shared" si="804"/>
        <v>SPREDY EMAQ SERIE A 24127</v>
      </c>
      <c r="D2817" s="8">
        <f t="shared" si="805"/>
        <v>46094</v>
      </c>
      <c r="E2817" s="15"/>
      <c r="F2817" s="15"/>
      <c r="G2817" s="15">
        <f t="shared" si="806"/>
        <v>0</v>
      </c>
      <c r="H2817" s="74" t="s">
        <v>205</v>
      </c>
      <c r="I2817" s="10">
        <f t="shared" si="808"/>
        <v>161.29032258064515</v>
      </c>
      <c r="J2817" s="16"/>
      <c r="K2817" s="15"/>
      <c r="L2817" s="15"/>
      <c r="M2817" s="16"/>
      <c r="N2817" s="8"/>
      <c r="O2817" s="18">
        <f t="shared" si="809"/>
        <v>0</v>
      </c>
      <c r="P2817" s="9"/>
      <c r="Q2817" s="9"/>
      <c r="R2817" s="9"/>
      <c r="S2817" s="10">
        <f t="shared" si="807"/>
        <v>161.29032258064515</v>
      </c>
    </row>
    <row r="2818" spans="2:19" outlineLevel="1">
      <c r="B2818" s="13" t="s">
        <v>186</v>
      </c>
      <c r="C2818" s="7" t="str">
        <f t="shared" si="804"/>
        <v>SPREDY EMAQ SERIE A 24127</v>
      </c>
      <c r="D2818" s="8">
        <f t="shared" si="805"/>
        <v>46095</v>
      </c>
      <c r="E2818" s="15"/>
      <c r="F2818" s="15"/>
      <c r="G2818" s="15">
        <f t="shared" si="806"/>
        <v>0</v>
      </c>
      <c r="H2818" s="74" t="s">
        <v>205</v>
      </c>
      <c r="I2818" s="10">
        <f t="shared" si="808"/>
        <v>161.29032258064515</v>
      </c>
      <c r="J2818" s="16"/>
      <c r="K2818" s="15"/>
      <c r="L2818" s="15"/>
      <c r="M2818" s="16"/>
      <c r="N2818" s="8"/>
      <c r="O2818" s="18">
        <f t="shared" si="809"/>
        <v>0</v>
      </c>
      <c r="P2818" s="9"/>
      <c r="Q2818" s="9"/>
      <c r="R2818" s="9"/>
      <c r="S2818" s="10">
        <f t="shared" si="807"/>
        <v>161.29032258064515</v>
      </c>
    </row>
    <row r="2819" spans="2:19" outlineLevel="1">
      <c r="B2819" s="13" t="s">
        <v>186</v>
      </c>
      <c r="C2819" s="7" t="str">
        <f t="shared" si="804"/>
        <v>SPREDY EMAQ SERIE A 24127</v>
      </c>
      <c r="D2819" s="8">
        <f t="shared" si="805"/>
        <v>46096</v>
      </c>
      <c r="E2819" s="15"/>
      <c r="F2819" s="15"/>
      <c r="G2819" s="15">
        <f t="shared" si="806"/>
        <v>0</v>
      </c>
      <c r="H2819" s="74" t="s">
        <v>205</v>
      </c>
      <c r="I2819" s="10">
        <f t="shared" si="808"/>
        <v>161.29032258064515</v>
      </c>
      <c r="J2819" s="16"/>
      <c r="K2819" s="15"/>
      <c r="L2819" s="15"/>
      <c r="M2819" s="16"/>
      <c r="N2819" s="8"/>
      <c r="O2819" s="18">
        <f t="shared" si="809"/>
        <v>0</v>
      </c>
      <c r="P2819" s="9"/>
      <c r="Q2819" s="9"/>
      <c r="R2819" s="9"/>
      <c r="S2819" s="10">
        <f t="shared" si="807"/>
        <v>161.29032258064515</v>
      </c>
    </row>
    <row r="2820" spans="2:19" outlineLevel="1">
      <c r="B2820" s="13" t="s">
        <v>186</v>
      </c>
      <c r="C2820" s="7" t="str">
        <f t="shared" si="804"/>
        <v>SPREDY EMAQ SERIE A 24127</v>
      </c>
      <c r="D2820" s="8">
        <f t="shared" si="805"/>
        <v>46097</v>
      </c>
      <c r="E2820" s="15"/>
      <c r="F2820" s="15"/>
      <c r="G2820" s="15">
        <f t="shared" si="806"/>
        <v>0</v>
      </c>
      <c r="H2820" s="74" t="s">
        <v>205</v>
      </c>
      <c r="I2820" s="10">
        <f t="shared" si="808"/>
        <v>161.29032258064515</v>
      </c>
      <c r="J2820" s="16"/>
      <c r="K2820" s="15"/>
      <c r="L2820" s="15"/>
      <c r="M2820" s="16"/>
      <c r="N2820" s="8"/>
      <c r="O2820" s="18">
        <f t="shared" si="809"/>
        <v>0</v>
      </c>
      <c r="P2820" s="9"/>
      <c r="Q2820" s="9"/>
      <c r="R2820" s="9"/>
      <c r="S2820" s="10">
        <f t="shared" si="807"/>
        <v>161.29032258064515</v>
      </c>
    </row>
    <row r="2821" spans="2:19" outlineLevel="1">
      <c r="B2821" s="13" t="s">
        <v>186</v>
      </c>
      <c r="C2821" s="7" t="str">
        <f t="shared" si="804"/>
        <v>SPREDY EMAQ SERIE A 24127</v>
      </c>
      <c r="D2821" s="8">
        <f t="shared" si="805"/>
        <v>46098</v>
      </c>
      <c r="E2821" s="15"/>
      <c r="F2821" s="15"/>
      <c r="G2821" s="15">
        <f t="shared" si="806"/>
        <v>0</v>
      </c>
      <c r="H2821" s="74" t="s">
        <v>205</v>
      </c>
      <c r="I2821" s="10">
        <f t="shared" si="808"/>
        <v>161.29032258064515</v>
      </c>
      <c r="J2821" s="16"/>
      <c r="K2821" s="15"/>
      <c r="L2821" s="15"/>
      <c r="M2821" s="16"/>
      <c r="N2821" s="8"/>
      <c r="O2821" s="18">
        <f t="shared" si="809"/>
        <v>0</v>
      </c>
      <c r="P2821" s="9"/>
      <c r="Q2821" s="9"/>
      <c r="R2821" s="9"/>
      <c r="S2821" s="10">
        <f t="shared" si="807"/>
        <v>161.29032258064515</v>
      </c>
    </row>
    <row r="2822" spans="2:19" outlineLevel="1">
      <c r="B2822" s="13" t="s">
        <v>186</v>
      </c>
      <c r="C2822" s="7" t="str">
        <f t="shared" si="804"/>
        <v>SPREDY EMAQ SERIE A 24127</v>
      </c>
      <c r="D2822" s="8">
        <f t="shared" si="805"/>
        <v>46099</v>
      </c>
      <c r="E2822" s="15"/>
      <c r="F2822" s="15"/>
      <c r="G2822" s="15">
        <f t="shared" si="806"/>
        <v>0</v>
      </c>
      <c r="H2822" s="74" t="s">
        <v>205</v>
      </c>
      <c r="I2822" s="10">
        <f t="shared" si="808"/>
        <v>161.29032258064515</v>
      </c>
      <c r="J2822" s="16"/>
      <c r="K2822" s="15"/>
      <c r="L2822" s="15"/>
      <c r="M2822" s="16"/>
      <c r="N2822" s="8"/>
      <c r="O2822" s="18">
        <f t="shared" si="809"/>
        <v>0</v>
      </c>
      <c r="P2822" s="9"/>
      <c r="Q2822" s="9"/>
      <c r="R2822" s="9"/>
      <c r="S2822" s="10">
        <f t="shared" si="807"/>
        <v>161.29032258064515</v>
      </c>
    </row>
    <row r="2823" spans="2:19" outlineLevel="1">
      <c r="B2823" s="13" t="s">
        <v>186</v>
      </c>
      <c r="C2823" s="7" t="str">
        <f t="shared" si="804"/>
        <v>SPREDY EMAQ SERIE A 24127</v>
      </c>
      <c r="D2823" s="8">
        <f t="shared" si="805"/>
        <v>46100</v>
      </c>
      <c r="E2823" s="15"/>
      <c r="F2823" s="15"/>
      <c r="G2823" s="15">
        <f t="shared" si="806"/>
        <v>0</v>
      </c>
      <c r="H2823" s="74" t="s">
        <v>205</v>
      </c>
      <c r="I2823" s="10">
        <f t="shared" si="808"/>
        <v>161.29032258064515</v>
      </c>
      <c r="J2823" s="16"/>
      <c r="K2823" s="15"/>
      <c r="L2823" s="15"/>
      <c r="M2823" s="16"/>
      <c r="N2823" s="8"/>
      <c r="O2823" s="18">
        <f t="shared" si="809"/>
        <v>0</v>
      </c>
      <c r="P2823" s="9"/>
      <c r="Q2823" s="9"/>
      <c r="R2823" s="9"/>
      <c r="S2823" s="10">
        <f t="shared" si="807"/>
        <v>161.29032258064515</v>
      </c>
    </row>
    <row r="2824" spans="2:19" outlineLevel="1">
      <c r="B2824" s="13" t="s">
        <v>186</v>
      </c>
      <c r="C2824" s="7" t="str">
        <f t="shared" si="804"/>
        <v>SPREDY EMAQ SERIE A 24127</v>
      </c>
      <c r="D2824" s="8">
        <f t="shared" si="805"/>
        <v>46101</v>
      </c>
      <c r="E2824" s="15"/>
      <c r="F2824" s="15"/>
      <c r="G2824" s="15">
        <f t="shared" si="806"/>
        <v>0</v>
      </c>
      <c r="H2824" s="74" t="s">
        <v>205</v>
      </c>
      <c r="I2824" s="10">
        <f t="shared" si="808"/>
        <v>161.29032258064515</v>
      </c>
      <c r="J2824" s="16"/>
      <c r="K2824" s="15"/>
      <c r="L2824" s="15"/>
      <c r="M2824" s="16"/>
      <c r="N2824" s="8"/>
      <c r="O2824" s="18">
        <f t="shared" si="809"/>
        <v>0</v>
      </c>
      <c r="P2824" s="9"/>
      <c r="Q2824" s="9"/>
      <c r="R2824" s="9"/>
      <c r="S2824" s="10">
        <f t="shared" si="807"/>
        <v>161.29032258064515</v>
      </c>
    </row>
    <row r="2825" spans="2:19" outlineLevel="1">
      <c r="B2825" s="13" t="s">
        <v>186</v>
      </c>
      <c r="C2825" s="7" t="str">
        <f t="shared" si="804"/>
        <v>SPREDY EMAQ SERIE A 24127</v>
      </c>
      <c r="D2825" s="8">
        <f t="shared" si="805"/>
        <v>46102</v>
      </c>
      <c r="E2825" s="15"/>
      <c r="F2825" s="15"/>
      <c r="G2825" s="15">
        <f t="shared" si="806"/>
        <v>0</v>
      </c>
      <c r="H2825" s="74" t="s">
        <v>205</v>
      </c>
      <c r="I2825" s="10">
        <f t="shared" si="808"/>
        <v>161.29032258064515</v>
      </c>
      <c r="J2825" s="16"/>
      <c r="K2825" s="15"/>
      <c r="L2825" s="15"/>
      <c r="M2825" s="16"/>
      <c r="N2825" s="8"/>
      <c r="O2825" s="18">
        <f t="shared" si="809"/>
        <v>0</v>
      </c>
      <c r="P2825" s="9"/>
      <c r="Q2825" s="9"/>
      <c r="R2825" s="9"/>
      <c r="S2825" s="10">
        <f t="shared" si="807"/>
        <v>161.29032258064515</v>
      </c>
    </row>
    <row r="2826" spans="2:19" outlineLevel="1">
      <c r="B2826" s="13" t="s">
        <v>186</v>
      </c>
      <c r="C2826" s="7" t="str">
        <f t="shared" si="804"/>
        <v>SPREDY EMAQ SERIE A 24127</v>
      </c>
      <c r="D2826" s="8">
        <f t="shared" si="805"/>
        <v>46103</v>
      </c>
      <c r="E2826" s="15"/>
      <c r="F2826" s="15"/>
      <c r="G2826" s="15">
        <f t="shared" si="806"/>
        <v>0</v>
      </c>
      <c r="H2826" s="74" t="s">
        <v>205</v>
      </c>
      <c r="I2826" s="10">
        <f t="shared" si="808"/>
        <v>161.29032258064515</v>
      </c>
      <c r="J2826" s="16"/>
      <c r="K2826" s="15"/>
      <c r="L2826" s="15"/>
      <c r="M2826" s="16"/>
      <c r="N2826" s="8"/>
      <c r="O2826" s="18">
        <f t="shared" si="809"/>
        <v>0</v>
      </c>
      <c r="P2826" s="9"/>
      <c r="Q2826" s="9"/>
      <c r="R2826" s="9"/>
      <c r="S2826" s="10">
        <f t="shared" si="807"/>
        <v>161.29032258064515</v>
      </c>
    </row>
    <row r="2827" spans="2:19" outlineLevel="1">
      <c r="B2827" s="13" t="s">
        <v>186</v>
      </c>
      <c r="C2827" s="7" t="str">
        <f t="shared" si="804"/>
        <v>SPREDY EMAQ SERIE A 24127</v>
      </c>
      <c r="D2827" s="8">
        <f t="shared" si="805"/>
        <v>46104</v>
      </c>
      <c r="E2827" s="15"/>
      <c r="F2827" s="15"/>
      <c r="G2827" s="15">
        <f t="shared" si="806"/>
        <v>0</v>
      </c>
      <c r="H2827" s="74" t="s">
        <v>205</v>
      </c>
      <c r="I2827" s="10">
        <f t="shared" si="808"/>
        <v>161.29032258064515</v>
      </c>
      <c r="J2827" s="16"/>
      <c r="K2827" s="15"/>
      <c r="L2827" s="15"/>
      <c r="M2827" s="16"/>
      <c r="N2827" s="8"/>
      <c r="O2827" s="18">
        <f t="shared" si="809"/>
        <v>0</v>
      </c>
      <c r="P2827" s="9"/>
      <c r="Q2827" s="9"/>
      <c r="R2827" s="9"/>
      <c r="S2827" s="10">
        <f t="shared" si="807"/>
        <v>161.29032258064515</v>
      </c>
    </row>
    <row r="2828" spans="2:19" outlineLevel="1">
      <c r="B2828" s="13" t="s">
        <v>186</v>
      </c>
      <c r="C2828" s="7" t="str">
        <f t="shared" si="804"/>
        <v>SPREDY EMAQ SERIE A 24127</v>
      </c>
      <c r="D2828" s="8">
        <f t="shared" si="805"/>
        <v>46105</v>
      </c>
      <c r="E2828" s="15"/>
      <c r="F2828" s="15"/>
      <c r="G2828" s="15">
        <f t="shared" si="806"/>
        <v>0</v>
      </c>
      <c r="H2828" s="74" t="s">
        <v>205</v>
      </c>
      <c r="I2828" s="10">
        <f t="shared" si="808"/>
        <v>161.29032258064515</v>
      </c>
      <c r="J2828" s="16"/>
      <c r="K2828" s="15"/>
      <c r="L2828" s="15"/>
      <c r="M2828" s="16"/>
      <c r="N2828" s="8"/>
      <c r="O2828" s="18">
        <f t="shared" si="809"/>
        <v>0</v>
      </c>
      <c r="P2828" s="9"/>
      <c r="Q2828" s="9"/>
      <c r="R2828" s="9"/>
      <c r="S2828" s="10">
        <f t="shared" si="807"/>
        <v>161.29032258064515</v>
      </c>
    </row>
    <row r="2829" spans="2:19" outlineLevel="1">
      <c r="B2829" s="13" t="s">
        <v>186</v>
      </c>
      <c r="C2829" s="7" t="str">
        <f t="shared" si="804"/>
        <v>SPREDY EMAQ SERIE A 24127</v>
      </c>
      <c r="D2829" s="8">
        <f t="shared" si="805"/>
        <v>46106</v>
      </c>
      <c r="E2829" s="15"/>
      <c r="F2829" s="15"/>
      <c r="G2829" s="15">
        <f t="shared" si="806"/>
        <v>0</v>
      </c>
      <c r="H2829" s="74" t="s">
        <v>205</v>
      </c>
      <c r="I2829" s="10">
        <f t="shared" si="808"/>
        <v>161.29032258064515</v>
      </c>
      <c r="J2829" s="16"/>
      <c r="K2829" s="15"/>
      <c r="L2829" s="15"/>
      <c r="M2829" s="16"/>
      <c r="N2829" s="8"/>
      <c r="O2829" s="18">
        <f t="shared" si="809"/>
        <v>0</v>
      </c>
      <c r="P2829" s="9"/>
      <c r="Q2829" s="9"/>
      <c r="R2829" s="9"/>
      <c r="S2829" s="10">
        <f t="shared" si="807"/>
        <v>161.29032258064515</v>
      </c>
    </row>
    <row r="2830" spans="2:19" outlineLevel="1">
      <c r="B2830" s="13" t="s">
        <v>186</v>
      </c>
      <c r="C2830" s="7" t="str">
        <f t="shared" si="804"/>
        <v>SPREDY EMAQ SERIE A 24127</v>
      </c>
      <c r="D2830" s="8">
        <f t="shared" si="805"/>
        <v>46107</v>
      </c>
      <c r="E2830" s="15"/>
      <c r="F2830" s="15"/>
      <c r="G2830" s="15">
        <f t="shared" si="806"/>
        <v>0</v>
      </c>
      <c r="H2830" s="74" t="s">
        <v>205</v>
      </c>
      <c r="I2830" s="10">
        <f t="shared" si="808"/>
        <v>161.29032258064515</v>
      </c>
      <c r="J2830" s="16"/>
      <c r="K2830" s="15"/>
      <c r="L2830" s="15"/>
      <c r="M2830" s="16"/>
      <c r="N2830" s="8"/>
      <c r="O2830" s="18">
        <f t="shared" si="809"/>
        <v>0</v>
      </c>
      <c r="P2830" s="9"/>
      <c r="Q2830" s="9"/>
      <c r="R2830" s="9"/>
      <c r="S2830" s="10">
        <f t="shared" si="807"/>
        <v>161.29032258064515</v>
      </c>
    </row>
    <row r="2831" spans="2:19" outlineLevel="1">
      <c r="B2831" s="13" t="s">
        <v>186</v>
      </c>
      <c r="C2831" s="7" t="str">
        <f t="shared" si="804"/>
        <v>SPREDY EMAQ SERIE A 24127</v>
      </c>
      <c r="D2831" s="8">
        <f t="shared" si="805"/>
        <v>46108</v>
      </c>
      <c r="E2831" s="15"/>
      <c r="F2831" s="15"/>
      <c r="G2831" s="15">
        <f t="shared" si="806"/>
        <v>0</v>
      </c>
      <c r="H2831" s="74" t="s">
        <v>205</v>
      </c>
      <c r="I2831" s="10">
        <f t="shared" si="808"/>
        <v>161.29032258064515</v>
      </c>
      <c r="J2831" s="16"/>
      <c r="K2831" s="15"/>
      <c r="L2831" s="15"/>
      <c r="M2831" s="16"/>
      <c r="N2831" s="8"/>
      <c r="O2831" s="18">
        <f t="shared" si="809"/>
        <v>0</v>
      </c>
      <c r="P2831" s="9"/>
      <c r="Q2831" s="9"/>
      <c r="R2831" s="9"/>
      <c r="S2831" s="10">
        <f t="shared" si="807"/>
        <v>161.29032258064515</v>
      </c>
    </row>
    <row r="2832" spans="2:19" outlineLevel="1">
      <c r="B2832" s="13" t="s">
        <v>186</v>
      </c>
      <c r="C2832" s="7" t="str">
        <f t="shared" si="804"/>
        <v>SPREDY EMAQ SERIE A 24127</v>
      </c>
      <c r="D2832" s="8">
        <f t="shared" ref="D2832" si="810">D2764</f>
        <v>46109</v>
      </c>
      <c r="E2832" s="15"/>
      <c r="F2832" s="15"/>
      <c r="G2832" s="15">
        <f t="shared" ref="G2832:G2834" si="811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2">SUM(R2832+Q2832+I2832)</f>
        <v>161.29032258064515</v>
      </c>
    </row>
    <row r="2833" spans="2:19" outlineLevel="1">
      <c r="B2833" s="13" t="s">
        <v>186</v>
      </c>
      <c r="C2833" s="7" t="str">
        <f t="shared" si="804"/>
        <v>SPREDY EMAQ SERIE A 24127</v>
      </c>
      <c r="D2833" s="8">
        <f t="shared" ref="D2833:D2835" si="813">D2765</f>
        <v>46110</v>
      </c>
      <c r="E2833" s="15"/>
      <c r="F2833" s="15"/>
      <c r="G2833" s="15">
        <f t="shared" si="811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2"/>
        <v>161.29032258064515</v>
      </c>
    </row>
    <row r="2834" spans="2:19" outlineLevel="1">
      <c r="B2834" s="13" t="s">
        <v>186</v>
      </c>
      <c r="C2834" s="7" t="str">
        <f t="shared" si="804"/>
        <v>SPREDY EMAQ SERIE A 24127</v>
      </c>
      <c r="D2834" s="8">
        <f t="shared" si="813"/>
        <v>46111</v>
      </c>
      <c r="E2834" s="15"/>
      <c r="F2834" s="15"/>
      <c r="G2834" s="15">
        <f t="shared" si="811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2"/>
        <v>161.29032258064515</v>
      </c>
    </row>
    <row r="2835" spans="2:19" outlineLevel="1">
      <c r="B2835" s="13" t="s">
        <v>186</v>
      </c>
      <c r="C2835" s="7" t="str">
        <f t="shared" si="804"/>
        <v>SPREDY EMAQ SERIE A 24127</v>
      </c>
      <c r="D2835" s="8">
        <f t="shared" si="813"/>
        <v>46112</v>
      </c>
      <c r="E2835" s="15"/>
      <c r="F2835" s="15"/>
      <c r="G2835" s="15">
        <f t="shared" si="806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7"/>
        <v>161.29032258064515</v>
      </c>
    </row>
    <row r="2837" spans="2:19">
      <c r="B2837" s="11" t="s">
        <v>268</v>
      </c>
      <c r="C2837" s="3" t="s">
        <v>269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268</v>
      </c>
      <c r="C2839" s="7" t="str">
        <f>C$2837</f>
        <v>VASSOURA MEC EMAQ SERIE</v>
      </c>
      <c r="D2839" s="8">
        <f t="shared" ref="D2839:D2865" si="814">D2771</f>
        <v>46082</v>
      </c>
      <c r="E2839" s="15"/>
      <c r="F2839" s="15"/>
      <c r="G2839" s="15">
        <f t="shared" ref="G2839:G2842" si="815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6">SUM(R2839+Q2839+I2839)</f>
        <v>161.29032258064515</v>
      </c>
    </row>
    <row r="2840" spans="2:19" outlineLevel="1">
      <c r="B2840" s="13" t="s">
        <v>268</v>
      </c>
      <c r="C2840" s="7" t="str">
        <f t="shared" ref="C2840:C2869" si="817">C$2837</f>
        <v>VASSOURA MEC EMAQ SERIE</v>
      </c>
      <c r="D2840" s="8">
        <f t="shared" si="814"/>
        <v>46083</v>
      </c>
      <c r="E2840" s="15"/>
      <c r="F2840" s="15"/>
      <c r="G2840" s="15">
        <f t="shared" si="815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6"/>
        <v>161.29032258064515</v>
      </c>
    </row>
    <row r="2841" spans="2:19" outlineLevel="1">
      <c r="B2841" s="13" t="s">
        <v>268</v>
      </c>
      <c r="C2841" s="7" t="str">
        <f t="shared" si="817"/>
        <v>VASSOURA MEC EMAQ SERIE</v>
      </c>
      <c r="D2841" s="8">
        <f t="shared" si="814"/>
        <v>46084</v>
      </c>
      <c r="E2841" s="15"/>
      <c r="F2841" s="15"/>
      <c r="G2841" s="15">
        <f t="shared" si="815"/>
        <v>0</v>
      </c>
      <c r="H2841" s="16" t="s">
        <v>233</v>
      </c>
      <c r="I2841" s="10">
        <f t="shared" ref="I2841:I2865" si="818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6"/>
        <v>161.29032258064515</v>
      </c>
    </row>
    <row r="2842" spans="2:19" outlineLevel="1">
      <c r="B2842" s="13" t="s">
        <v>268</v>
      </c>
      <c r="C2842" s="7" t="str">
        <f t="shared" si="817"/>
        <v>VASSOURA MEC EMAQ SERIE</v>
      </c>
      <c r="D2842" s="8">
        <f t="shared" si="814"/>
        <v>46085</v>
      </c>
      <c r="E2842" s="15"/>
      <c r="F2842" s="15"/>
      <c r="G2842" s="15">
        <f t="shared" si="815"/>
        <v>0</v>
      </c>
      <c r="H2842" s="16" t="s">
        <v>233</v>
      </c>
      <c r="I2842" s="10">
        <f t="shared" si="818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6"/>
        <v>161.29032258064515</v>
      </c>
    </row>
    <row r="2843" spans="2:19" outlineLevel="1">
      <c r="B2843" s="13" t="s">
        <v>268</v>
      </c>
      <c r="C2843" s="7" t="str">
        <f t="shared" si="817"/>
        <v>VASSOURA MEC EMAQ SERIE</v>
      </c>
      <c r="D2843" s="8">
        <f t="shared" si="814"/>
        <v>46086</v>
      </c>
      <c r="E2843" s="15"/>
      <c r="F2843" s="15"/>
      <c r="G2843" s="15">
        <f t="shared" ref="G2843:G2869" si="819">F2843-E2843</f>
        <v>0</v>
      </c>
      <c r="H2843" s="16" t="s">
        <v>233</v>
      </c>
      <c r="I2843" s="10">
        <f t="shared" si="818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6"/>
        <v>161.29032258064515</v>
      </c>
    </row>
    <row r="2844" spans="2:19" outlineLevel="1">
      <c r="B2844" s="13" t="s">
        <v>268</v>
      </c>
      <c r="C2844" s="7" t="str">
        <f t="shared" si="817"/>
        <v>VASSOURA MEC EMAQ SERIE</v>
      </c>
      <c r="D2844" s="8">
        <f t="shared" si="814"/>
        <v>46087</v>
      </c>
      <c r="E2844" s="15"/>
      <c r="F2844" s="15"/>
      <c r="G2844" s="15">
        <f t="shared" si="819"/>
        <v>0</v>
      </c>
      <c r="H2844" s="16" t="s">
        <v>233</v>
      </c>
      <c r="I2844" s="10">
        <f t="shared" si="818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6"/>
        <v>161.29032258064515</v>
      </c>
    </row>
    <row r="2845" spans="2:19" outlineLevel="1">
      <c r="B2845" s="13" t="s">
        <v>268</v>
      </c>
      <c r="C2845" s="7" t="str">
        <f t="shared" si="817"/>
        <v>VASSOURA MEC EMAQ SERIE</v>
      </c>
      <c r="D2845" s="8">
        <f t="shared" si="814"/>
        <v>46088</v>
      </c>
      <c r="E2845" s="15"/>
      <c r="F2845" s="15"/>
      <c r="G2845" s="15">
        <f t="shared" si="819"/>
        <v>0</v>
      </c>
      <c r="H2845" s="16" t="s">
        <v>233</v>
      </c>
      <c r="I2845" s="10">
        <f t="shared" si="818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6"/>
        <v>161.29032258064515</v>
      </c>
    </row>
    <row r="2846" spans="2:19" outlineLevel="1">
      <c r="B2846" s="13" t="s">
        <v>268</v>
      </c>
      <c r="C2846" s="7" t="str">
        <f t="shared" si="817"/>
        <v>VASSOURA MEC EMAQ SERIE</v>
      </c>
      <c r="D2846" s="8">
        <f t="shared" si="814"/>
        <v>46089</v>
      </c>
      <c r="E2846" s="15"/>
      <c r="F2846" s="15"/>
      <c r="G2846" s="15">
        <f t="shared" si="819"/>
        <v>0</v>
      </c>
      <c r="H2846" s="16" t="s">
        <v>233</v>
      </c>
      <c r="I2846" s="10">
        <f t="shared" si="818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6"/>
        <v>161.29032258064515</v>
      </c>
    </row>
    <row r="2847" spans="2:19" outlineLevel="1">
      <c r="B2847" s="13" t="s">
        <v>268</v>
      </c>
      <c r="C2847" s="7" t="str">
        <f t="shared" si="817"/>
        <v>VASSOURA MEC EMAQ SERIE</v>
      </c>
      <c r="D2847" s="8">
        <f t="shared" si="814"/>
        <v>46090</v>
      </c>
      <c r="E2847" s="15"/>
      <c r="F2847" s="15"/>
      <c r="G2847" s="15">
        <f t="shared" si="819"/>
        <v>0</v>
      </c>
      <c r="H2847" s="16" t="s">
        <v>233</v>
      </c>
      <c r="I2847" s="10">
        <f t="shared" si="818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6"/>
        <v>161.29032258064515</v>
      </c>
    </row>
    <row r="2848" spans="2:19" outlineLevel="1">
      <c r="B2848" s="13" t="s">
        <v>268</v>
      </c>
      <c r="C2848" s="7" t="str">
        <f t="shared" si="817"/>
        <v>VASSOURA MEC EMAQ SERIE</v>
      </c>
      <c r="D2848" s="8">
        <f t="shared" si="814"/>
        <v>46091</v>
      </c>
      <c r="E2848" s="15"/>
      <c r="F2848" s="15"/>
      <c r="G2848" s="15">
        <f t="shared" si="819"/>
        <v>0</v>
      </c>
      <c r="H2848" s="16" t="s">
        <v>233</v>
      </c>
      <c r="I2848" s="10">
        <f t="shared" si="818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6"/>
        <v>161.29032258064515</v>
      </c>
    </row>
    <row r="2849" spans="2:19" outlineLevel="1">
      <c r="B2849" s="13" t="s">
        <v>268</v>
      </c>
      <c r="C2849" s="7" t="str">
        <f t="shared" si="817"/>
        <v>VASSOURA MEC EMAQ SERIE</v>
      </c>
      <c r="D2849" s="8">
        <f t="shared" si="814"/>
        <v>46092</v>
      </c>
      <c r="E2849" s="15"/>
      <c r="F2849" s="15"/>
      <c r="G2849" s="15">
        <f t="shared" si="819"/>
        <v>0</v>
      </c>
      <c r="H2849" s="16" t="s">
        <v>233</v>
      </c>
      <c r="I2849" s="10">
        <f t="shared" si="818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0">O2848</f>
        <v>0</v>
      </c>
      <c r="P2849" s="9"/>
      <c r="Q2849" s="9"/>
      <c r="R2849" s="85">
        <v>0</v>
      </c>
      <c r="S2849" s="10">
        <f t="shared" si="816"/>
        <v>161.29032258064515</v>
      </c>
    </row>
    <row r="2850" spans="2:19" outlineLevel="1">
      <c r="B2850" s="13" t="s">
        <v>268</v>
      </c>
      <c r="C2850" s="7" t="str">
        <f t="shared" si="817"/>
        <v>VASSOURA MEC EMAQ SERIE</v>
      </c>
      <c r="D2850" s="8">
        <f t="shared" si="814"/>
        <v>46093</v>
      </c>
      <c r="E2850" s="15"/>
      <c r="F2850" s="15"/>
      <c r="G2850" s="15">
        <f t="shared" si="819"/>
        <v>0</v>
      </c>
      <c r="H2850" s="16" t="s">
        <v>233</v>
      </c>
      <c r="I2850" s="10">
        <f t="shared" si="818"/>
        <v>161.29032258064515</v>
      </c>
      <c r="J2850" s="16" t="s">
        <v>16</v>
      </c>
      <c r="K2850" s="15"/>
      <c r="L2850" s="15"/>
      <c r="M2850" s="16"/>
      <c r="N2850" s="8"/>
      <c r="O2850" s="18">
        <f t="shared" si="820"/>
        <v>0</v>
      </c>
      <c r="P2850" s="9"/>
      <c r="Q2850" s="9"/>
      <c r="R2850" s="85">
        <v>0</v>
      </c>
      <c r="S2850" s="10">
        <f t="shared" si="816"/>
        <v>161.29032258064515</v>
      </c>
    </row>
    <row r="2851" spans="2:19" outlineLevel="1">
      <c r="B2851" s="13" t="s">
        <v>268</v>
      </c>
      <c r="C2851" s="7" t="str">
        <f t="shared" si="817"/>
        <v>VASSOURA MEC EMAQ SERIE</v>
      </c>
      <c r="D2851" s="8">
        <f t="shared" si="814"/>
        <v>46094</v>
      </c>
      <c r="E2851" s="15"/>
      <c r="F2851" s="15"/>
      <c r="G2851" s="15">
        <f t="shared" si="819"/>
        <v>0</v>
      </c>
      <c r="H2851" s="16" t="s">
        <v>233</v>
      </c>
      <c r="I2851" s="10">
        <f t="shared" si="818"/>
        <v>161.29032258064515</v>
      </c>
      <c r="J2851" s="16" t="s">
        <v>16</v>
      </c>
      <c r="K2851" s="15"/>
      <c r="L2851" s="15"/>
      <c r="M2851" s="16"/>
      <c r="N2851" s="8"/>
      <c r="O2851" s="18">
        <f t="shared" si="820"/>
        <v>0</v>
      </c>
      <c r="P2851" s="9"/>
      <c r="Q2851" s="9"/>
      <c r="R2851" s="85">
        <v>0</v>
      </c>
      <c r="S2851" s="10">
        <f t="shared" si="816"/>
        <v>161.29032258064515</v>
      </c>
    </row>
    <row r="2852" spans="2:19" outlineLevel="1">
      <c r="B2852" s="13" t="s">
        <v>268</v>
      </c>
      <c r="C2852" s="7" t="str">
        <f t="shared" si="817"/>
        <v>VASSOURA MEC EMAQ SERIE</v>
      </c>
      <c r="D2852" s="8">
        <f t="shared" si="814"/>
        <v>46095</v>
      </c>
      <c r="E2852" s="15"/>
      <c r="F2852" s="15"/>
      <c r="G2852" s="15">
        <f t="shared" si="819"/>
        <v>0</v>
      </c>
      <c r="H2852" s="16" t="s">
        <v>233</v>
      </c>
      <c r="I2852" s="10">
        <f t="shared" si="818"/>
        <v>161.29032258064515</v>
      </c>
      <c r="J2852" s="16" t="s">
        <v>16</v>
      </c>
      <c r="K2852" s="15"/>
      <c r="L2852" s="15"/>
      <c r="M2852" s="16"/>
      <c r="N2852" s="8"/>
      <c r="O2852" s="18">
        <f t="shared" si="820"/>
        <v>0</v>
      </c>
      <c r="P2852" s="9"/>
      <c r="Q2852" s="9"/>
      <c r="R2852" s="85">
        <v>0</v>
      </c>
      <c r="S2852" s="10">
        <f t="shared" si="816"/>
        <v>161.29032258064515</v>
      </c>
    </row>
    <row r="2853" spans="2:19" outlineLevel="1">
      <c r="B2853" s="13" t="s">
        <v>268</v>
      </c>
      <c r="C2853" s="7" t="str">
        <f t="shared" si="817"/>
        <v>VASSOURA MEC EMAQ SERIE</v>
      </c>
      <c r="D2853" s="8">
        <f t="shared" si="814"/>
        <v>46096</v>
      </c>
      <c r="E2853" s="15"/>
      <c r="F2853" s="15"/>
      <c r="G2853" s="15">
        <f t="shared" si="819"/>
        <v>0</v>
      </c>
      <c r="H2853" s="16" t="s">
        <v>233</v>
      </c>
      <c r="I2853" s="10">
        <f t="shared" si="818"/>
        <v>161.29032258064515</v>
      </c>
      <c r="J2853" s="16" t="s">
        <v>16</v>
      </c>
      <c r="K2853" s="15"/>
      <c r="L2853" s="15"/>
      <c r="M2853" s="16"/>
      <c r="N2853" s="8"/>
      <c r="O2853" s="18">
        <f t="shared" si="820"/>
        <v>0</v>
      </c>
      <c r="P2853" s="9"/>
      <c r="Q2853" s="9"/>
      <c r="R2853" s="85">
        <v>0</v>
      </c>
      <c r="S2853" s="10">
        <f t="shared" si="816"/>
        <v>161.29032258064515</v>
      </c>
    </row>
    <row r="2854" spans="2:19" outlineLevel="1">
      <c r="B2854" s="13" t="s">
        <v>268</v>
      </c>
      <c r="C2854" s="7" t="str">
        <f t="shared" si="817"/>
        <v>VASSOURA MEC EMAQ SERIE</v>
      </c>
      <c r="D2854" s="8">
        <f t="shared" si="814"/>
        <v>46097</v>
      </c>
      <c r="E2854" s="15"/>
      <c r="F2854" s="15"/>
      <c r="G2854" s="15">
        <f t="shared" si="819"/>
        <v>0</v>
      </c>
      <c r="H2854" s="16" t="s">
        <v>233</v>
      </c>
      <c r="I2854" s="10">
        <f t="shared" si="818"/>
        <v>161.29032258064515</v>
      </c>
      <c r="J2854" s="16" t="s">
        <v>16</v>
      </c>
      <c r="K2854" s="15"/>
      <c r="L2854" s="15"/>
      <c r="M2854" s="16"/>
      <c r="N2854" s="8"/>
      <c r="O2854" s="18">
        <f t="shared" si="820"/>
        <v>0</v>
      </c>
      <c r="P2854" s="9"/>
      <c r="Q2854" s="9"/>
      <c r="R2854" s="85">
        <v>0</v>
      </c>
      <c r="S2854" s="10">
        <f t="shared" si="816"/>
        <v>161.29032258064515</v>
      </c>
    </row>
    <row r="2855" spans="2:19" outlineLevel="1">
      <c r="B2855" s="13" t="s">
        <v>268</v>
      </c>
      <c r="C2855" s="7" t="str">
        <f t="shared" si="817"/>
        <v>VASSOURA MEC EMAQ SERIE</v>
      </c>
      <c r="D2855" s="8">
        <f t="shared" si="814"/>
        <v>46098</v>
      </c>
      <c r="E2855" s="15"/>
      <c r="F2855" s="15"/>
      <c r="G2855" s="15">
        <f t="shared" si="819"/>
        <v>0</v>
      </c>
      <c r="H2855" s="16" t="s">
        <v>233</v>
      </c>
      <c r="I2855" s="10">
        <f t="shared" si="818"/>
        <v>161.29032258064515</v>
      </c>
      <c r="J2855" s="16" t="s">
        <v>16</v>
      </c>
      <c r="K2855" s="15"/>
      <c r="L2855" s="15"/>
      <c r="M2855" s="16"/>
      <c r="N2855" s="8"/>
      <c r="O2855" s="18">
        <f t="shared" si="820"/>
        <v>0</v>
      </c>
      <c r="P2855" s="9"/>
      <c r="Q2855" s="9"/>
      <c r="R2855" s="85">
        <v>0</v>
      </c>
      <c r="S2855" s="10">
        <f t="shared" si="816"/>
        <v>161.29032258064515</v>
      </c>
    </row>
    <row r="2856" spans="2:19" outlineLevel="1">
      <c r="B2856" s="13" t="s">
        <v>268</v>
      </c>
      <c r="C2856" s="7" t="str">
        <f t="shared" si="817"/>
        <v>VASSOURA MEC EMAQ SERIE</v>
      </c>
      <c r="D2856" s="8">
        <f t="shared" si="814"/>
        <v>46099</v>
      </c>
      <c r="E2856" s="15"/>
      <c r="F2856" s="15"/>
      <c r="G2856" s="15">
        <f t="shared" si="819"/>
        <v>0</v>
      </c>
      <c r="H2856" s="16" t="s">
        <v>233</v>
      </c>
      <c r="I2856" s="10">
        <f t="shared" si="818"/>
        <v>161.29032258064515</v>
      </c>
      <c r="J2856" s="16" t="s">
        <v>16</v>
      </c>
      <c r="K2856" s="15"/>
      <c r="L2856" s="15"/>
      <c r="M2856" s="16"/>
      <c r="N2856" s="8"/>
      <c r="O2856" s="18">
        <f t="shared" si="820"/>
        <v>0</v>
      </c>
      <c r="P2856" s="9"/>
      <c r="Q2856" s="9"/>
      <c r="R2856" s="85">
        <v>0</v>
      </c>
      <c r="S2856" s="10">
        <f t="shared" si="816"/>
        <v>161.29032258064515</v>
      </c>
    </row>
    <row r="2857" spans="2:19" outlineLevel="1">
      <c r="B2857" s="13" t="s">
        <v>268</v>
      </c>
      <c r="C2857" s="7" t="str">
        <f t="shared" si="817"/>
        <v>VASSOURA MEC EMAQ SERIE</v>
      </c>
      <c r="D2857" s="8">
        <f t="shared" si="814"/>
        <v>46100</v>
      </c>
      <c r="E2857" s="15"/>
      <c r="F2857" s="15"/>
      <c r="G2857" s="15">
        <f t="shared" si="819"/>
        <v>0</v>
      </c>
      <c r="H2857" s="16" t="s">
        <v>233</v>
      </c>
      <c r="I2857" s="10">
        <f t="shared" si="818"/>
        <v>161.29032258064515</v>
      </c>
      <c r="J2857" s="16" t="s">
        <v>16</v>
      </c>
      <c r="K2857" s="15"/>
      <c r="L2857" s="15"/>
      <c r="M2857" s="16"/>
      <c r="N2857" s="8"/>
      <c r="O2857" s="18">
        <f t="shared" si="820"/>
        <v>0</v>
      </c>
      <c r="P2857" s="9"/>
      <c r="Q2857" s="9"/>
      <c r="R2857" s="85">
        <v>0</v>
      </c>
      <c r="S2857" s="10">
        <f t="shared" si="816"/>
        <v>161.29032258064515</v>
      </c>
    </row>
    <row r="2858" spans="2:19" outlineLevel="1">
      <c r="B2858" s="13" t="s">
        <v>268</v>
      </c>
      <c r="C2858" s="7" t="str">
        <f t="shared" si="817"/>
        <v>VASSOURA MEC EMAQ SERIE</v>
      </c>
      <c r="D2858" s="8">
        <f t="shared" si="814"/>
        <v>46101</v>
      </c>
      <c r="E2858" s="15"/>
      <c r="F2858" s="15"/>
      <c r="G2858" s="15">
        <f t="shared" si="819"/>
        <v>0</v>
      </c>
      <c r="H2858" s="16" t="s">
        <v>233</v>
      </c>
      <c r="I2858" s="10">
        <f t="shared" si="818"/>
        <v>161.29032258064515</v>
      </c>
      <c r="J2858" s="16" t="s">
        <v>16</v>
      </c>
      <c r="K2858" s="15"/>
      <c r="L2858" s="15"/>
      <c r="M2858" s="16"/>
      <c r="N2858" s="8"/>
      <c r="O2858" s="18">
        <f t="shared" si="820"/>
        <v>0</v>
      </c>
      <c r="P2858" s="9"/>
      <c r="Q2858" s="9"/>
      <c r="R2858" s="85">
        <v>0</v>
      </c>
      <c r="S2858" s="10">
        <f t="shared" si="816"/>
        <v>161.29032258064515</v>
      </c>
    </row>
    <row r="2859" spans="2:19" outlineLevel="1">
      <c r="B2859" s="13" t="s">
        <v>268</v>
      </c>
      <c r="C2859" s="7" t="str">
        <f t="shared" si="817"/>
        <v>VASSOURA MEC EMAQ SERIE</v>
      </c>
      <c r="D2859" s="8">
        <f t="shared" si="814"/>
        <v>46102</v>
      </c>
      <c r="E2859" s="15"/>
      <c r="F2859" s="15"/>
      <c r="G2859" s="15">
        <f t="shared" si="819"/>
        <v>0</v>
      </c>
      <c r="H2859" s="16" t="s">
        <v>233</v>
      </c>
      <c r="I2859" s="10">
        <f t="shared" si="818"/>
        <v>161.29032258064515</v>
      </c>
      <c r="J2859" s="16" t="s">
        <v>16</v>
      </c>
      <c r="K2859" s="15"/>
      <c r="L2859" s="15"/>
      <c r="M2859" s="16"/>
      <c r="N2859" s="8"/>
      <c r="O2859" s="18">
        <f t="shared" si="820"/>
        <v>0</v>
      </c>
      <c r="P2859" s="9"/>
      <c r="Q2859" s="9"/>
      <c r="R2859" s="85">
        <v>0</v>
      </c>
      <c r="S2859" s="10">
        <f t="shared" si="816"/>
        <v>161.29032258064515</v>
      </c>
    </row>
    <row r="2860" spans="2:19" outlineLevel="1">
      <c r="B2860" s="13" t="s">
        <v>268</v>
      </c>
      <c r="C2860" s="7" t="str">
        <f t="shared" si="817"/>
        <v>VASSOURA MEC EMAQ SERIE</v>
      </c>
      <c r="D2860" s="8">
        <f t="shared" si="814"/>
        <v>46103</v>
      </c>
      <c r="E2860" s="15"/>
      <c r="F2860" s="15"/>
      <c r="G2860" s="15">
        <f t="shared" si="819"/>
        <v>0</v>
      </c>
      <c r="H2860" s="16" t="s">
        <v>233</v>
      </c>
      <c r="I2860" s="10">
        <f t="shared" si="818"/>
        <v>161.29032258064515</v>
      </c>
      <c r="J2860" s="16" t="s">
        <v>16</v>
      </c>
      <c r="K2860" s="15"/>
      <c r="L2860" s="15"/>
      <c r="M2860" s="16"/>
      <c r="N2860" s="8"/>
      <c r="O2860" s="18">
        <f t="shared" si="820"/>
        <v>0</v>
      </c>
      <c r="P2860" s="9"/>
      <c r="Q2860" s="9"/>
      <c r="R2860" s="85">
        <v>0</v>
      </c>
      <c r="S2860" s="10">
        <f t="shared" si="816"/>
        <v>161.29032258064515</v>
      </c>
    </row>
    <row r="2861" spans="2:19" outlineLevel="1">
      <c r="B2861" s="13" t="s">
        <v>268</v>
      </c>
      <c r="C2861" s="7" t="str">
        <f t="shared" si="817"/>
        <v>VASSOURA MEC EMAQ SERIE</v>
      </c>
      <c r="D2861" s="8">
        <f t="shared" si="814"/>
        <v>46104</v>
      </c>
      <c r="E2861" s="15"/>
      <c r="F2861" s="15"/>
      <c r="G2861" s="15">
        <f t="shared" si="819"/>
        <v>0</v>
      </c>
      <c r="H2861" s="16" t="s">
        <v>233</v>
      </c>
      <c r="I2861" s="10">
        <f t="shared" si="818"/>
        <v>161.29032258064515</v>
      </c>
      <c r="J2861" s="16" t="s">
        <v>16</v>
      </c>
      <c r="K2861" s="15"/>
      <c r="L2861" s="15"/>
      <c r="M2861" s="16"/>
      <c r="N2861" s="8"/>
      <c r="O2861" s="18">
        <f t="shared" si="820"/>
        <v>0</v>
      </c>
      <c r="P2861" s="9"/>
      <c r="Q2861" s="9"/>
      <c r="R2861" s="85">
        <v>0</v>
      </c>
      <c r="S2861" s="10">
        <f t="shared" si="816"/>
        <v>161.29032258064515</v>
      </c>
    </row>
    <row r="2862" spans="2:19" outlineLevel="1">
      <c r="B2862" s="13" t="s">
        <v>268</v>
      </c>
      <c r="C2862" s="7" t="str">
        <f t="shared" si="817"/>
        <v>VASSOURA MEC EMAQ SERIE</v>
      </c>
      <c r="D2862" s="8">
        <f t="shared" si="814"/>
        <v>46105</v>
      </c>
      <c r="E2862" s="15"/>
      <c r="F2862" s="15"/>
      <c r="G2862" s="15">
        <f t="shared" si="819"/>
        <v>0</v>
      </c>
      <c r="H2862" s="16" t="s">
        <v>233</v>
      </c>
      <c r="I2862" s="10">
        <f t="shared" si="818"/>
        <v>161.29032258064515</v>
      </c>
      <c r="J2862" s="16" t="s">
        <v>16</v>
      </c>
      <c r="K2862" s="15"/>
      <c r="L2862" s="15"/>
      <c r="M2862" s="16"/>
      <c r="N2862" s="8"/>
      <c r="O2862" s="18">
        <f t="shared" si="820"/>
        <v>0</v>
      </c>
      <c r="P2862" s="9"/>
      <c r="Q2862" s="9"/>
      <c r="R2862" s="85">
        <v>0</v>
      </c>
      <c r="S2862" s="10">
        <f t="shared" si="816"/>
        <v>161.29032258064515</v>
      </c>
    </row>
    <row r="2863" spans="2:19" outlineLevel="1">
      <c r="B2863" s="13" t="s">
        <v>268</v>
      </c>
      <c r="C2863" s="7" t="str">
        <f t="shared" si="817"/>
        <v>VASSOURA MEC EMAQ SERIE</v>
      </c>
      <c r="D2863" s="8">
        <f t="shared" si="814"/>
        <v>46106</v>
      </c>
      <c r="E2863" s="15"/>
      <c r="F2863" s="15"/>
      <c r="G2863" s="15">
        <f t="shared" si="819"/>
        <v>0</v>
      </c>
      <c r="H2863" s="16" t="s">
        <v>233</v>
      </c>
      <c r="I2863" s="10">
        <f t="shared" si="818"/>
        <v>161.29032258064515</v>
      </c>
      <c r="J2863" s="16" t="s">
        <v>16</v>
      </c>
      <c r="K2863" s="15"/>
      <c r="L2863" s="15"/>
      <c r="M2863" s="16"/>
      <c r="N2863" s="8"/>
      <c r="O2863" s="18">
        <f t="shared" si="820"/>
        <v>0</v>
      </c>
      <c r="P2863" s="9"/>
      <c r="Q2863" s="9"/>
      <c r="R2863" s="85">
        <v>0</v>
      </c>
      <c r="S2863" s="10">
        <f t="shared" si="816"/>
        <v>161.29032258064515</v>
      </c>
    </row>
    <row r="2864" spans="2:19" outlineLevel="1">
      <c r="B2864" s="13" t="s">
        <v>268</v>
      </c>
      <c r="C2864" s="7" t="str">
        <f t="shared" si="817"/>
        <v>VASSOURA MEC EMAQ SERIE</v>
      </c>
      <c r="D2864" s="8">
        <f t="shared" si="814"/>
        <v>46107</v>
      </c>
      <c r="E2864" s="15"/>
      <c r="F2864" s="15"/>
      <c r="G2864" s="15">
        <f t="shared" si="819"/>
        <v>0</v>
      </c>
      <c r="H2864" s="16" t="s">
        <v>233</v>
      </c>
      <c r="I2864" s="10">
        <f t="shared" si="818"/>
        <v>161.29032258064515</v>
      </c>
      <c r="J2864" s="16" t="s">
        <v>16</v>
      </c>
      <c r="K2864" s="15"/>
      <c r="L2864" s="15"/>
      <c r="M2864" s="16"/>
      <c r="N2864" s="8"/>
      <c r="O2864" s="18">
        <f t="shared" si="820"/>
        <v>0</v>
      </c>
      <c r="P2864" s="9"/>
      <c r="Q2864" s="9"/>
      <c r="R2864" s="85">
        <v>0</v>
      </c>
      <c r="S2864" s="10">
        <f t="shared" si="816"/>
        <v>161.29032258064515</v>
      </c>
    </row>
    <row r="2865" spans="2:19" outlineLevel="1">
      <c r="B2865" s="13" t="s">
        <v>268</v>
      </c>
      <c r="C2865" s="7" t="str">
        <f t="shared" si="817"/>
        <v>VASSOURA MEC EMAQ SERIE</v>
      </c>
      <c r="D2865" s="8">
        <f t="shared" si="814"/>
        <v>46108</v>
      </c>
      <c r="E2865" s="15"/>
      <c r="F2865" s="15"/>
      <c r="G2865" s="15">
        <f t="shared" si="819"/>
        <v>0</v>
      </c>
      <c r="H2865" s="16" t="s">
        <v>233</v>
      </c>
      <c r="I2865" s="10">
        <f t="shared" si="818"/>
        <v>161.29032258064515</v>
      </c>
      <c r="J2865" s="16" t="s">
        <v>16</v>
      </c>
      <c r="K2865" s="15"/>
      <c r="L2865" s="15"/>
      <c r="M2865" s="16"/>
      <c r="N2865" s="8"/>
      <c r="O2865" s="18">
        <f t="shared" si="820"/>
        <v>0</v>
      </c>
      <c r="P2865" s="9"/>
      <c r="Q2865" s="9"/>
      <c r="R2865" s="85">
        <v>0</v>
      </c>
      <c r="S2865" s="10">
        <f t="shared" si="816"/>
        <v>161.29032258064515</v>
      </c>
    </row>
    <row r="2866" spans="2:19" outlineLevel="1">
      <c r="B2866" s="13" t="s">
        <v>268</v>
      </c>
      <c r="C2866" s="7" t="str">
        <f t="shared" si="817"/>
        <v>VASSOURA MEC EMAQ SERIE</v>
      </c>
      <c r="D2866" s="8">
        <f t="shared" ref="D2866" si="821">D2798</f>
        <v>46109</v>
      </c>
      <c r="E2866" s="15"/>
      <c r="F2866" s="15"/>
      <c r="G2866" s="15">
        <f t="shared" ref="G2866:G2868" si="822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3">SUM(R2866+Q2866+I2866)</f>
        <v>161.29032258064515</v>
      </c>
    </row>
    <row r="2867" spans="2:19" outlineLevel="1">
      <c r="B2867" s="13" t="s">
        <v>268</v>
      </c>
      <c r="C2867" s="7" t="str">
        <f t="shared" si="817"/>
        <v>VASSOURA MEC EMAQ SERIE</v>
      </c>
      <c r="D2867" s="8">
        <f t="shared" ref="D2867:D2869" si="824">D2799</f>
        <v>46110</v>
      </c>
      <c r="E2867" s="15"/>
      <c r="F2867" s="15"/>
      <c r="G2867" s="15">
        <f t="shared" si="822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3"/>
        <v>161.29032258064515</v>
      </c>
    </row>
    <row r="2868" spans="2:19" outlineLevel="1">
      <c r="B2868" s="13" t="s">
        <v>268</v>
      </c>
      <c r="C2868" s="7" t="str">
        <f t="shared" si="817"/>
        <v>VASSOURA MEC EMAQ SERIE</v>
      </c>
      <c r="D2868" s="8">
        <f t="shared" si="824"/>
        <v>46111</v>
      </c>
      <c r="E2868" s="15"/>
      <c r="F2868" s="15"/>
      <c r="G2868" s="15">
        <f t="shared" si="822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3"/>
        <v>161.29032258064515</v>
      </c>
    </row>
    <row r="2869" spans="2:19" outlineLevel="1">
      <c r="B2869" s="13" t="s">
        <v>268</v>
      </c>
      <c r="C2869" s="7" t="str">
        <f t="shared" si="817"/>
        <v>VASSOURA MEC EMAQ SERIE</v>
      </c>
      <c r="D2869" s="8">
        <f t="shared" si="824"/>
        <v>46112</v>
      </c>
      <c r="E2869" s="15"/>
      <c r="F2869" s="15"/>
      <c r="G2869" s="15">
        <f t="shared" si="819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6"/>
        <v>161.29032258064515</v>
      </c>
    </row>
    <row r="2870" spans="2:19">
      <c r="D2870" s="1"/>
    </row>
    <row r="2871" spans="2:19">
      <c r="B2871" s="11" t="s">
        <v>244</v>
      </c>
      <c r="C2871" s="3" t="s">
        <v>253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244</v>
      </c>
      <c r="C2873" s="7" t="str">
        <f>C$2871</f>
        <v xml:space="preserve">SPREDY EMAQ SERIE </v>
      </c>
      <c r="D2873" s="8">
        <f t="shared" ref="D2873:D2899" si="825">D2771</f>
        <v>46082</v>
      </c>
      <c r="E2873" s="15"/>
      <c r="F2873" s="15"/>
      <c r="G2873" s="15">
        <f t="shared" ref="G2873:G2876" si="826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7">SUM(R2873+Q2873+I2873)</f>
        <v>166.66666666666666</v>
      </c>
    </row>
    <row r="2874" spans="2:19" outlineLevel="1">
      <c r="B2874" s="13" t="s">
        <v>244</v>
      </c>
      <c r="C2874" s="7" t="str">
        <f t="shared" ref="C2874:C2903" si="828">C$2871</f>
        <v xml:space="preserve">SPREDY EMAQ SERIE </v>
      </c>
      <c r="D2874" s="8">
        <f t="shared" si="825"/>
        <v>46083</v>
      </c>
      <c r="E2874" s="15"/>
      <c r="F2874" s="15"/>
      <c r="G2874" s="15">
        <f t="shared" si="826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7"/>
        <v>166.66666666666666</v>
      </c>
    </row>
    <row r="2875" spans="2:19" outlineLevel="1">
      <c r="B2875" s="13" t="s">
        <v>244</v>
      </c>
      <c r="C2875" s="7" t="str">
        <f t="shared" si="828"/>
        <v xml:space="preserve">SPREDY EMAQ SERIE </v>
      </c>
      <c r="D2875" s="8">
        <f t="shared" si="825"/>
        <v>46084</v>
      </c>
      <c r="E2875" s="15"/>
      <c r="F2875" s="15"/>
      <c r="G2875" s="15">
        <f t="shared" si="826"/>
        <v>0</v>
      </c>
      <c r="H2875" s="74" t="s">
        <v>233</v>
      </c>
      <c r="I2875" s="10">
        <f t="shared" ref="I2875:I2899" si="829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7"/>
        <v>166.66666666666666</v>
      </c>
    </row>
    <row r="2876" spans="2:19" outlineLevel="1">
      <c r="B2876" s="13" t="s">
        <v>244</v>
      </c>
      <c r="C2876" s="7" t="str">
        <f t="shared" si="828"/>
        <v xml:space="preserve">SPREDY EMAQ SERIE </v>
      </c>
      <c r="D2876" s="8">
        <f t="shared" si="825"/>
        <v>46085</v>
      </c>
      <c r="E2876" s="15"/>
      <c r="F2876" s="15"/>
      <c r="G2876" s="15">
        <f t="shared" si="826"/>
        <v>0</v>
      </c>
      <c r="H2876" s="74" t="s">
        <v>233</v>
      </c>
      <c r="I2876" s="10">
        <f t="shared" si="829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7"/>
        <v>166.66666666666666</v>
      </c>
    </row>
    <row r="2877" spans="2:19" outlineLevel="1">
      <c r="B2877" s="13" t="s">
        <v>244</v>
      </c>
      <c r="C2877" s="7" t="str">
        <f t="shared" si="828"/>
        <v xml:space="preserve">SPREDY EMAQ SERIE </v>
      </c>
      <c r="D2877" s="8">
        <f t="shared" si="825"/>
        <v>46086</v>
      </c>
      <c r="E2877" s="15"/>
      <c r="F2877" s="15"/>
      <c r="G2877" s="15">
        <f t="shared" ref="G2877:G2903" si="830">F2877-E2877</f>
        <v>0</v>
      </c>
      <c r="H2877" s="74" t="s">
        <v>233</v>
      </c>
      <c r="I2877" s="10">
        <f t="shared" si="829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7"/>
        <v>166.66666666666666</v>
      </c>
    </row>
    <row r="2878" spans="2:19" outlineLevel="1">
      <c r="B2878" s="13" t="s">
        <v>244</v>
      </c>
      <c r="C2878" s="7" t="str">
        <f t="shared" si="828"/>
        <v xml:space="preserve">SPREDY EMAQ SERIE </v>
      </c>
      <c r="D2878" s="8">
        <f t="shared" si="825"/>
        <v>46087</v>
      </c>
      <c r="E2878" s="15"/>
      <c r="F2878" s="15"/>
      <c r="G2878" s="15">
        <f t="shared" si="830"/>
        <v>0</v>
      </c>
      <c r="H2878" s="74" t="s">
        <v>233</v>
      </c>
      <c r="I2878" s="10">
        <f t="shared" si="829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7"/>
        <v>166.66666666666666</v>
      </c>
    </row>
    <row r="2879" spans="2:19" outlineLevel="1">
      <c r="B2879" s="13" t="s">
        <v>244</v>
      </c>
      <c r="C2879" s="7" t="str">
        <f t="shared" si="828"/>
        <v xml:space="preserve">SPREDY EMAQ SERIE </v>
      </c>
      <c r="D2879" s="8">
        <f t="shared" si="825"/>
        <v>46088</v>
      </c>
      <c r="E2879" s="15"/>
      <c r="F2879" s="15"/>
      <c r="G2879" s="15">
        <f t="shared" si="830"/>
        <v>0</v>
      </c>
      <c r="H2879" s="74" t="s">
        <v>233</v>
      </c>
      <c r="I2879" s="10">
        <f t="shared" si="829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7"/>
        <v>166.66666666666666</v>
      </c>
    </row>
    <row r="2880" spans="2:19" outlineLevel="1">
      <c r="B2880" s="13" t="s">
        <v>244</v>
      </c>
      <c r="C2880" s="7" t="str">
        <f t="shared" si="828"/>
        <v xml:space="preserve">SPREDY EMAQ SERIE </v>
      </c>
      <c r="D2880" s="8">
        <f t="shared" si="825"/>
        <v>46089</v>
      </c>
      <c r="E2880" s="15"/>
      <c r="F2880" s="15"/>
      <c r="G2880" s="15">
        <f t="shared" si="830"/>
        <v>0</v>
      </c>
      <c r="H2880" s="74" t="s">
        <v>233</v>
      </c>
      <c r="I2880" s="10">
        <f t="shared" si="829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7"/>
        <v>166.66666666666666</v>
      </c>
    </row>
    <row r="2881" spans="2:19" outlineLevel="1">
      <c r="B2881" s="13" t="s">
        <v>244</v>
      </c>
      <c r="C2881" s="7" t="str">
        <f t="shared" si="828"/>
        <v xml:space="preserve">SPREDY EMAQ SERIE </v>
      </c>
      <c r="D2881" s="8">
        <f t="shared" si="825"/>
        <v>46090</v>
      </c>
      <c r="E2881" s="15"/>
      <c r="F2881" s="15"/>
      <c r="G2881" s="15">
        <f t="shared" si="830"/>
        <v>0</v>
      </c>
      <c r="H2881" s="74" t="s">
        <v>233</v>
      </c>
      <c r="I2881" s="10">
        <f t="shared" si="829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7"/>
        <v>166.66666666666666</v>
      </c>
    </row>
    <row r="2882" spans="2:19" outlineLevel="1">
      <c r="B2882" s="13" t="s">
        <v>244</v>
      </c>
      <c r="C2882" s="7" t="str">
        <f t="shared" si="828"/>
        <v xml:space="preserve">SPREDY EMAQ SERIE </v>
      </c>
      <c r="D2882" s="8">
        <f t="shared" si="825"/>
        <v>46091</v>
      </c>
      <c r="E2882" s="15"/>
      <c r="F2882" s="15"/>
      <c r="G2882" s="15">
        <f t="shared" si="830"/>
        <v>0</v>
      </c>
      <c r="H2882" s="74" t="s">
        <v>233</v>
      </c>
      <c r="I2882" s="10">
        <f t="shared" si="829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7"/>
        <v>166.66666666666666</v>
      </c>
    </row>
    <row r="2883" spans="2:19" outlineLevel="1">
      <c r="B2883" s="13" t="s">
        <v>244</v>
      </c>
      <c r="C2883" s="7" t="str">
        <f t="shared" si="828"/>
        <v xml:space="preserve">SPREDY EMAQ SERIE </v>
      </c>
      <c r="D2883" s="8">
        <f t="shared" si="825"/>
        <v>46092</v>
      </c>
      <c r="E2883" s="15"/>
      <c r="F2883" s="15"/>
      <c r="G2883" s="15">
        <f t="shared" si="830"/>
        <v>0</v>
      </c>
      <c r="H2883" s="74" t="s">
        <v>233</v>
      </c>
      <c r="I2883" s="10">
        <f t="shared" si="829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1">O2882</f>
        <v>0</v>
      </c>
      <c r="P2883" s="9"/>
      <c r="Q2883" s="9"/>
      <c r="R2883" s="9"/>
      <c r="S2883" s="10">
        <f t="shared" si="827"/>
        <v>166.66666666666666</v>
      </c>
    </row>
    <row r="2884" spans="2:19" outlineLevel="1">
      <c r="B2884" s="13" t="s">
        <v>244</v>
      </c>
      <c r="C2884" s="7" t="str">
        <f t="shared" si="828"/>
        <v xml:space="preserve">SPREDY EMAQ SERIE </v>
      </c>
      <c r="D2884" s="8">
        <f t="shared" si="825"/>
        <v>46093</v>
      </c>
      <c r="E2884" s="15"/>
      <c r="F2884" s="15"/>
      <c r="G2884" s="15">
        <f t="shared" si="830"/>
        <v>0</v>
      </c>
      <c r="H2884" s="74" t="s">
        <v>233</v>
      </c>
      <c r="I2884" s="10">
        <f t="shared" si="829"/>
        <v>166.66666666666666</v>
      </c>
      <c r="J2884" s="16" t="s">
        <v>16</v>
      </c>
      <c r="K2884" s="15"/>
      <c r="L2884" s="15"/>
      <c r="M2884" s="16"/>
      <c r="N2884" s="8"/>
      <c r="O2884" s="18">
        <f t="shared" si="831"/>
        <v>0</v>
      </c>
      <c r="P2884" s="9"/>
      <c r="Q2884" s="9"/>
      <c r="R2884" s="9"/>
      <c r="S2884" s="10">
        <f t="shared" si="827"/>
        <v>166.66666666666666</v>
      </c>
    </row>
    <row r="2885" spans="2:19" outlineLevel="1">
      <c r="B2885" s="13" t="s">
        <v>244</v>
      </c>
      <c r="C2885" s="7" t="str">
        <f t="shared" si="828"/>
        <v xml:space="preserve">SPREDY EMAQ SERIE </v>
      </c>
      <c r="D2885" s="8">
        <f t="shared" si="825"/>
        <v>46094</v>
      </c>
      <c r="E2885" s="15"/>
      <c r="F2885" s="15"/>
      <c r="G2885" s="15">
        <f t="shared" si="830"/>
        <v>0</v>
      </c>
      <c r="H2885" s="74" t="s">
        <v>233</v>
      </c>
      <c r="I2885" s="10">
        <f t="shared" si="829"/>
        <v>166.66666666666666</v>
      </c>
      <c r="J2885" s="16" t="s">
        <v>16</v>
      </c>
      <c r="K2885" s="15"/>
      <c r="L2885" s="15"/>
      <c r="M2885" s="16"/>
      <c r="N2885" s="8"/>
      <c r="O2885" s="18">
        <f t="shared" si="831"/>
        <v>0</v>
      </c>
      <c r="P2885" s="9"/>
      <c r="Q2885" s="9"/>
      <c r="R2885" s="9"/>
      <c r="S2885" s="10">
        <f t="shared" ref="S2885:S2903" si="832">SUM(R2885+Q2885+I2885)</f>
        <v>166.66666666666666</v>
      </c>
    </row>
    <row r="2886" spans="2:19" outlineLevel="1">
      <c r="B2886" s="13" t="s">
        <v>244</v>
      </c>
      <c r="C2886" s="7" t="str">
        <f t="shared" si="828"/>
        <v xml:space="preserve">SPREDY EMAQ SERIE </v>
      </c>
      <c r="D2886" s="8">
        <f t="shared" si="825"/>
        <v>46095</v>
      </c>
      <c r="E2886" s="15"/>
      <c r="F2886" s="15"/>
      <c r="G2886" s="15">
        <f t="shared" si="830"/>
        <v>0</v>
      </c>
      <c r="H2886" s="74" t="s">
        <v>233</v>
      </c>
      <c r="I2886" s="10">
        <f t="shared" si="829"/>
        <v>166.66666666666666</v>
      </c>
      <c r="J2886" s="16" t="s">
        <v>16</v>
      </c>
      <c r="K2886" s="15"/>
      <c r="L2886" s="15"/>
      <c r="M2886" s="16"/>
      <c r="N2886" s="8"/>
      <c r="O2886" s="18">
        <f t="shared" si="831"/>
        <v>0</v>
      </c>
      <c r="P2886" s="9"/>
      <c r="Q2886" s="9"/>
      <c r="R2886" s="9"/>
      <c r="S2886" s="10">
        <f t="shared" si="832"/>
        <v>166.66666666666666</v>
      </c>
    </row>
    <row r="2887" spans="2:19" outlineLevel="1">
      <c r="B2887" s="13" t="s">
        <v>244</v>
      </c>
      <c r="C2887" s="7" t="str">
        <f t="shared" si="828"/>
        <v xml:space="preserve">SPREDY EMAQ SERIE </v>
      </c>
      <c r="D2887" s="8">
        <f t="shared" si="825"/>
        <v>46096</v>
      </c>
      <c r="E2887" s="15"/>
      <c r="F2887" s="15"/>
      <c r="G2887" s="15">
        <f t="shared" si="830"/>
        <v>0</v>
      </c>
      <c r="H2887" s="74" t="s">
        <v>233</v>
      </c>
      <c r="I2887" s="10">
        <f t="shared" si="829"/>
        <v>166.66666666666666</v>
      </c>
      <c r="J2887" s="16" t="s">
        <v>16</v>
      </c>
      <c r="K2887" s="15"/>
      <c r="L2887" s="15"/>
      <c r="M2887" s="16"/>
      <c r="N2887" s="8"/>
      <c r="O2887" s="18">
        <f t="shared" si="831"/>
        <v>0</v>
      </c>
      <c r="P2887" s="9"/>
      <c r="Q2887" s="9"/>
      <c r="R2887" s="9"/>
      <c r="S2887" s="10">
        <f t="shared" si="832"/>
        <v>166.66666666666666</v>
      </c>
    </row>
    <row r="2888" spans="2:19" outlineLevel="1">
      <c r="B2888" s="13" t="s">
        <v>244</v>
      </c>
      <c r="C2888" s="7" t="str">
        <f t="shared" si="828"/>
        <v xml:space="preserve">SPREDY EMAQ SERIE </v>
      </c>
      <c r="D2888" s="8">
        <f t="shared" si="825"/>
        <v>46097</v>
      </c>
      <c r="E2888" s="15"/>
      <c r="F2888" s="15"/>
      <c r="G2888" s="15">
        <f t="shared" si="830"/>
        <v>0</v>
      </c>
      <c r="H2888" s="74" t="s">
        <v>233</v>
      </c>
      <c r="I2888" s="10">
        <f t="shared" si="829"/>
        <v>166.66666666666666</v>
      </c>
      <c r="J2888" s="16" t="s">
        <v>16</v>
      </c>
      <c r="K2888" s="15"/>
      <c r="L2888" s="15"/>
      <c r="M2888" s="16"/>
      <c r="N2888" s="8"/>
      <c r="O2888" s="18">
        <f t="shared" si="831"/>
        <v>0</v>
      </c>
      <c r="P2888" s="9"/>
      <c r="Q2888" s="9"/>
      <c r="R2888" s="9"/>
      <c r="S2888" s="10">
        <f t="shared" si="832"/>
        <v>166.66666666666666</v>
      </c>
    </row>
    <row r="2889" spans="2:19" outlineLevel="1">
      <c r="B2889" s="13" t="s">
        <v>244</v>
      </c>
      <c r="C2889" s="7" t="str">
        <f t="shared" si="828"/>
        <v xml:space="preserve">SPREDY EMAQ SERIE </v>
      </c>
      <c r="D2889" s="8">
        <f t="shared" si="825"/>
        <v>46098</v>
      </c>
      <c r="E2889" s="15"/>
      <c r="F2889" s="15"/>
      <c r="G2889" s="15">
        <f t="shared" si="830"/>
        <v>0</v>
      </c>
      <c r="H2889" s="74" t="s">
        <v>233</v>
      </c>
      <c r="I2889" s="10">
        <f t="shared" si="829"/>
        <v>166.66666666666666</v>
      </c>
      <c r="J2889" s="16" t="s">
        <v>16</v>
      </c>
      <c r="K2889" s="15"/>
      <c r="L2889" s="15"/>
      <c r="M2889" s="16"/>
      <c r="N2889" s="8"/>
      <c r="O2889" s="18">
        <f t="shared" si="831"/>
        <v>0</v>
      </c>
      <c r="P2889" s="9"/>
      <c r="Q2889" s="9"/>
      <c r="R2889" s="9"/>
      <c r="S2889" s="10">
        <f t="shared" si="832"/>
        <v>166.66666666666666</v>
      </c>
    </row>
    <row r="2890" spans="2:19" outlineLevel="1">
      <c r="B2890" s="13" t="s">
        <v>244</v>
      </c>
      <c r="C2890" s="7" t="str">
        <f t="shared" si="828"/>
        <v xml:space="preserve">SPREDY EMAQ SERIE </v>
      </c>
      <c r="D2890" s="8">
        <f t="shared" si="825"/>
        <v>46099</v>
      </c>
      <c r="E2890" s="15"/>
      <c r="F2890" s="15"/>
      <c r="G2890" s="15">
        <f t="shared" si="830"/>
        <v>0</v>
      </c>
      <c r="H2890" s="74" t="s">
        <v>233</v>
      </c>
      <c r="I2890" s="10">
        <f t="shared" si="829"/>
        <v>166.66666666666666</v>
      </c>
      <c r="J2890" s="16" t="s">
        <v>16</v>
      </c>
      <c r="K2890" s="15"/>
      <c r="L2890" s="15"/>
      <c r="M2890" s="16"/>
      <c r="N2890" s="8"/>
      <c r="O2890" s="18">
        <f t="shared" si="831"/>
        <v>0</v>
      </c>
      <c r="P2890" s="9"/>
      <c r="Q2890" s="9"/>
      <c r="R2890" s="9"/>
      <c r="S2890" s="10">
        <f t="shared" si="832"/>
        <v>166.66666666666666</v>
      </c>
    </row>
    <row r="2891" spans="2:19" outlineLevel="1">
      <c r="B2891" s="13" t="s">
        <v>244</v>
      </c>
      <c r="C2891" s="7" t="str">
        <f t="shared" si="828"/>
        <v xml:space="preserve">SPREDY EMAQ SERIE </v>
      </c>
      <c r="D2891" s="8">
        <f t="shared" si="825"/>
        <v>46100</v>
      </c>
      <c r="E2891" s="15"/>
      <c r="F2891" s="15"/>
      <c r="G2891" s="15">
        <f t="shared" si="830"/>
        <v>0</v>
      </c>
      <c r="H2891" s="74" t="s">
        <v>233</v>
      </c>
      <c r="I2891" s="10">
        <f t="shared" si="829"/>
        <v>166.66666666666666</v>
      </c>
      <c r="J2891" s="16" t="s">
        <v>16</v>
      </c>
      <c r="K2891" s="15"/>
      <c r="L2891" s="15"/>
      <c r="M2891" s="16"/>
      <c r="N2891" s="8"/>
      <c r="O2891" s="18">
        <f t="shared" si="831"/>
        <v>0</v>
      </c>
      <c r="P2891" s="9"/>
      <c r="Q2891" s="9"/>
      <c r="R2891" s="9"/>
      <c r="S2891" s="10">
        <f t="shared" si="832"/>
        <v>166.66666666666666</v>
      </c>
    </row>
    <row r="2892" spans="2:19" outlineLevel="1">
      <c r="B2892" s="13" t="s">
        <v>244</v>
      </c>
      <c r="C2892" s="7" t="str">
        <f t="shared" si="828"/>
        <v xml:space="preserve">SPREDY EMAQ SERIE </v>
      </c>
      <c r="D2892" s="8">
        <f t="shared" si="825"/>
        <v>46101</v>
      </c>
      <c r="E2892" s="15"/>
      <c r="F2892" s="15"/>
      <c r="G2892" s="15">
        <f t="shared" si="830"/>
        <v>0</v>
      </c>
      <c r="H2892" s="74" t="s">
        <v>233</v>
      </c>
      <c r="I2892" s="10">
        <f t="shared" si="829"/>
        <v>166.66666666666666</v>
      </c>
      <c r="J2892" s="16" t="s">
        <v>16</v>
      </c>
      <c r="K2892" s="15"/>
      <c r="L2892" s="15"/>
      <c r="M2892" s="16"/>
      <c r="N2892" s="8"/>
      <c r="O2892" s="18">
        <f t="shared" si="831"/>
        <v>0</v>
      </c>
      <c r="P2892" s="9"/>
      <c r="Q2892" s="9"/>
      <c r="R2892" s="9"/>
      <c r="S2892" s="10">
        <f t="shared" si="832"/>
        <v>166.66666666666666</v>
      </c>
    </row>
    <row r="2893" spans="2:19" outlineLevel="1">
      <c r="B2893" s="13" t="s">
        <v>244</v>
      </c>
      <c r="C2893" s="7" t="str">
        <f t="shared" si="828"/>
        <v xml:space="preserve">SPREDY EMAQ SERIE </v>
      </c>
      <c r="D2893" s="8">
        <f t="shared" si="825"/>
        <v>46102</v>
      </c>
      <c r="E2893" s="15"/>
      <c r="F2893" s="15"/>
      <c r="G2893" s="15">
        <f t="shared" si="830"/>
        <v>0</v>
      </c>
      <c r="H2893" s="74" t="s">
        <v>233</v>
      </c>
      <c r="I2893" s="10">
        <f t="shared" si="829"/>
        <v>166.66666666666666</v>
      </c>
      <c r="J2893" s="16" t="s">
        <v>16</v>
      </c>
      <c r="K2893" s="15"/>
      <c r="L2893" s="15"/>
      <c r="M2893" s="16"/>
      <c r="N2893" s="8"/>
      <c r="O2893" s="18">
        <f t="shared" si="831"/>
        <v>0</v>
      </c>
      <c r="P2893" s="9"/>
      <c r="Q2893" s="9"/>
      <c r="R2893" s="9"/>
      <c r="S2893" s="10">
        <f t="shared" si="832"/>
        <v>166.66666666666666</v>
      </c>
    </row>
    <row r="2894" spans="2:19" outlineLevel="1">
      <c r="B2894" s="13" t="s">
        <v>244</v>
      </c>
      <c r="C2894" s="7" t="str">
        <f t="shared" si="828"/>
        <v xml:space="preserve">SPREDY EMAQ SERIE </v>
      </c>
      <c r="D2894" s="8">
        <f t="shared" si="825"/>
        <v>46103</v>
      </c>
      <c r="E2894" s="15"/>
      <c r="F2894" s="15"/>
      <c r="G2894" s="15">
        <f t="shared" si="830"/>
        <v>0</v>
      </c>
      <c r="H2894" s="74" t="s">
        <v>233</v>
      </c>
      <c r="I2894" s="10">
        <f t="shared" si="829"/>
        <v>166.66666666666666</v>
      </c>
      <c r="J2894" s="16" t="s">
        <v>16</v>
      </c>
      <c r="K2894" s="15"/>
      <c r="L2894" s="15"/>
      <c r="M2894" s="16"/>
      <c r="N2894" s="8"/>
      <c r="O2894" s="18">
        <f t="shared" si="831"/>
        <v>0</v>
      </c>
      <c r="P2894" s="9"/>
      <c r="Q2894" s="9"/>
      <c r="R2894" s="9"/>
      <c r="S2894" s="10">
        <f t="shared" si="832"/>
        <v>166.66666666666666</v>
      </c>
    </row>
    <row r="2895" spans="2:19" outlineLevel="1">
      <c r="B2895" s="13" t="s">
        <v>244</v>
      </c>
      <c r="C2895" s="7" t="str">
        <f t="shared" si="828"/>
        <v xml:space="preserve">SPREDY EMAQ SERIE </v>
      </c>
      <c r="D2895" s="8">
        <f t="shared" si="825"/>
        <v>46104</v>
      </c>
      <c r="E2895" s="15"/>
      <c r="F2895" s="15"/>
      <c r="G2895" s="15">
        <f t="shared" si="830"/>
        <v>0</v>
      </c>
      <c r="H2895" s="74" t="s">
        <v>233</v>
      </c>
      <c r="I2895" s="10">
        <f t="shared" si="829"/>
        <v>166.66666666666666</v>
      </c>
      <c r="J2895" s="16" t="s">
        <v>16</v>
      </c>
      <c r="K2895" s="15"/>
      <c r="L2895" s="15"/>
      <c r="M2895" s="16"/>
      <c r="N2895" s="8"/>
      <c r="O2895" s="18">
        <f t="shared" si="831"/>
        <v>0</v>
      </c>
      <c r="P2895" s="9"/>
      <c r="Q2895" s="9"/>
      <c r="R2895" s="9"/>
      <c r="S2895" s="10">
        <f t="shared" si="832"/>
        <v>166.66666666666666</v>
      </c>
    </row>
    <row r="2896" spans="2:19" outlineLevel="1">
      <c r="B2896" s="13" t="s">
        <v>244</v>
      </c>
      <c r="C2896" s="7" t="str">
        <f t="shared" si="828"/>
        <v xml:space="preserve">SPREDY EMAQ SERIE </v>
      </c>
      <c r="D2896" s="8">
        <f t="shared" si="825"/>
        <v>46105</v>
      </c>
      <c r="E2896" s="15"/>
      <c r="F2896" s="15"/>
      <c r="G2896" s="15">
        <f t="shared" si="830"/>
        <v>0</v>
      </c>
      <c r="H2896" s="74" t="s">
        <v>233</v>
      </c>
      <c r="I2896" s="10">
        <f t="shared" si="829"/>
        <v>166.66666666666666</v>
      </c>
      <c r="J2896" s="16" t="s">
        <v>16</v>
      </c>
      <c r="K2896" s="15"/>
      <c r="L2896" s="15"/>
      <c r="M2896" s="16"/>
      <c r="N2896" s="8"/>
      <c r="O2896" s="18">
        <f t="shared" si="831"/>
        <v>0</v>
      </c>
      <c r="P2896" s="9"/>
      <c r="Q2896" s="9"/>
      <c r="R2896" s="9"/>
      <c r="S2896" s="10">
        <f t="shared" si="832"/>
        <v>166.66666666666666</v>
      </c>
    </row>
    <row r="2897" spans="2:19" outlineLevel="1">
      <c r="B2897" s="13" t="s">
        <v>244</v>
      </c>
      <c r="C2897" s="7" t="str">
        <f t="shared" si="828"/>
        <v xml:space="preserve">SPREDY EMAQ SERIE </v>
      </c>
      <c r="D2897" s="8">
        <f t="shared" si="825"/>
        <v>46106</v>
      </c>
      <c r="E2897" s="15"/>
      <c r="F2897" s="15"/>
      <c r="G2897" s="15">
        <f t="shared" si="830"/>
        <v>0</v>
      </c>
      <c r="H2897" s="74" t="s">
        <v>233</v>
      </c>
      <c r="I2897" s="10">
        <f t="shared" si="829"/>
        <v>166.66666666666666</v>
      </c>
      <c r="J2897" s="16" t="s">
        <v>16</v>
      </c>
      <c r="K2897" s="15"/>
      <c r="L2897" s="15"/>
      <c r="M2897" s="16"/>
      <c r="N2897" s="8"/>
      <c r="O2897" s="18">
        <f t="shared" si="831"/>
        <v>0</v>
      </c>
      <c r="P2897" s="9"/>
      <c r="Q2897" s="9"/>
      <c r="R2897" s="9"/>
      <c r="S2897" s="10">
        <f t="shared" si="832"/>
        <v>166.66666666666666</v>
      </c>
    </row>
    <row r="2898" spans="2:19" outlineLevel="1">
      <c r="B2898" s="13" t="s">
        <v>244</v>
      </c>
      <c r="C2898" s="7" t="str">
        <f t="shared" si="828"/>
        <v xml:space="preserve">SPREDY EMAQ SERIE </v>
      </c>
      <c r="D2898" s="8">
        <f t="shared" si="825"/>
        <v>46107</v>
      </c>
      <c r="E2898" s="15"/>
      <c r="F2898" s="15"/>
      <c r="G2898" s="15">
        <f t="shared" si="830"/>
        <v>0</v>
      </c>
      <c r="H2898" s="74" t="s">
        <v>233</v>
      </c>
      <c r="I2898" s="10">
        <f t="shared" si="829"/>
        <v>166.66666666666666</v>
      </c>
      <c r="J2898" s="16" t="s">
        <v>16</v>
      </c>
      <c r="K2898" s="15"/>
      <c r="L2898" s="15"/>
      <c r="M2898" s="16"/>
      <c r="N2898" s="8"/>
      <c r="O2898" s="18">
        <f t="shared" si="831"/>
        <v>0</v>
      </c>
      <c r="P2898" s="9"/>
      <c r="Q2898" s="9"/>
      <c r="R2898" s="9"/>
      <c r="S2898" s="10">
        <f t="shared" si="832"/>
        <v>166.66666666666666</v>
      </c>
    </row>
    <row r="2899" spans="2:19" outlineLevel="1">
      <c r="B2899" s="13" t="s">
        <v>244</v>
      </c>
      <c r="C2899" s="7" t="str">
        <f t="shared" si="828"/>
        <v xml:space="preserve">SPREDY EMAQ SERIE </v>
      </c>
      <c r="D2899" s="8">
        <f t="shared" si="825"/>
        <v>46108</v>
      </c>
      <c r="E2899" s="15"/>
      <c r="F2899" s="15"/>
      <c r="G2899" s="15">
        <f t="shared" si="830"/>
        <v>0</v>
      </c>
      <c r="H2899" s="74" t="s">
        <v>233</v>
      </c>
      <c r="I2899" s="10">
        <f t="shared" si="829"/>
        <v>166.66666666666666</v>
      </c>
      <c r="J2899" s="16" t="s">
        <v>16</v>
      </c>
      <c r="K2899" s="15"/>
      <c r="L2899" s="15"/>
      <c r="M2899" s="16"/>
      <c r="N2899" s="8"/>
      <c r="O2899" s="18">
        <f t="shared" si="831"/>
        <v>0</v>
      </c>
      <c r="P2899" s="9"/>
      <c r="Q2899" s="9"/>
      <c r="R2899" s="9"/>
      <c r="S2899" s="10">
        <f t="shared" si="832"/>
        <v>166.66666666666666</v>
      </c>
    </row>
    <row r="2900" spans="2:19" outlineLevel="1">
      <c r="B2900" s="13" t="s">
        <v>244</v>
      </c>
      <c r="C2900" s="7" t="str">
        <f t="shared" si="828"/>
        <v xml:space="preserve">SPREDY EMAQ SERIE </v>
      </c>
      <c r="D2900" s="8">
        <f t="shared" ref="D2900" si="833">D2798</f>
        <v>46109</v>
      </c>
      <c r="E2900" s="15"/>
      <c r="F2900" s="15"/>
      <c r="G2900" s="15">
        <f t="shared" ref="G2900:G2902" si="834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5">SUM(R2900+Q2900+I2900)</f>
        <v>166.66666666666666</v>
      </c>
    </row>
    <row r="2901" spans="2:19" outlineLevel="1">
      <c r="B2901" s="13" t="s">
        <v>244</v>
      </c>
      <c r="C2901" s="7" t="str">
        <f t="shared" si="828"/>
        <v xml:space="preserve">SPREDY EMAQ SERIE </v>
      </c>
      <c r="D2901" s="8">
        <f t="shared" ref="D2901:D2903" si="836">D2799</f>
        <v>46110</v>
      </c>
      <c r="E2901" s="15"/>
      <c r="F2901" s="15"/>
      <c r="G2901" s="15">
        <f t="shared" si="834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5"/>
        <v>166.66666666666666</v>
      </c>
    </row>
    <row r="2902" spans="2:19" outlineLevel="1">
      <c r="B2902" s="13" t="s">
        <v>244</v>
      </c>
      <c r="C2902" s="7" t="str">
        <f t="shared" si="828"/>
        <v xml:space="preserve">SPREDY EMAQ SERIE </v>
      </c>
      <c r="D2902" s="8">
        <f t="shared" si="836"/>
        <v>46111</v>
      </c>
      <c r="E2902" s="15"/>
      <c r="F2902" s="15"/>
      <c r="G2902" s="15">
        <f t="shared" si="834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5"/>
        <v>166.66666666666666</v>
      </c>
    </row>
    <row r="2903" spans="2:19" outlineLevel="1">
      <c r="B2903" s="13" t="s">
        <v>244</v>
      </c>
      <c r="C2903" s="7" t="str">
        <f t="shared" si="828"/>
        <v xml:space="preserve">SPREDY EMAQ SERIE </v>
      </c>
      <c r="D2903" s="8">
        <f t="shared" si="836"/>
        <v>46112</v>
      </c>
      <c r="E2903" s="15"/>
      <c r="F2903" s="15"/>
      <c r="G2903" s="15">
        <f t="shared" si="830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2"/>
        <v>166.66666666666666</v>
      </c>
    </row>
    <row r="2905" spans="2:19">
      <c r="B2905" s="11" t="s">
        <v>339</v>
      </c>
      <c r="C2905" s="3" t="s">
        <v>285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339</v>
      </c>
      <c r="C2907" s="7" t="s">
        <v>285</v>
      </c>
      <c r="D2907" s="8">
        <f t="shared" ref="D2907:D2933" si="837">D2805</f>
        <v>46082</v>
      </c>
      <c r="E2907" s="15">
        <v>0</v>
      </c>
      <c r="F2907" s="15"/>
      <c r="G2907" s="15">
        <f t="shared" ref="G2907:G2916" si="838">F2907-E2907</f>
        <v>0</v>
      </c>
      <c r="H2907" s="74" t="s">
        <v>281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39">SUM(R2907+Q2907+I2907)</f>
        <v>#VALUE!</v>
      </c>
    </row>
    <row r="2908" spans="2:19" outlineLevel="1">
      <c r="B2908" s="13" t="s">
        <v>339</v>
      </c>
      <c r="C2908" s="7" t="s">
        <v>285</v>
      </c>
      <c r="D2908" s="8">
        <f t="shared" si="837"/>
        <v>46083</v>
      </c>
      <c r="E2908" s="15">
        <v>121</v>
      </c>
      <c r="F2908" s="15">
        <v>127</v>
      </c>
      <c r="G2908" s="15">
        <f t="shared" si="838"/>
        <v>6</v>
      </c>
      <c r="H2908" s="74" t="s">
        <v>357</v>
      </c>
      <c r="I2908" s="10">
        <f t="shared" ref="I2908:I2937" si="840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1">SUM(R2908+Q2908+I2908)</f>
        <v>1129.0322580645161</v>
      </c>
    </row>
    <row r="2909" spans="2:19" outlineLevel="1">
      <c r="B2909" s="13" t="s">
        <v>339</v>
      </c>
      <c r="C2909" s="7" t="s">
        <v>285</v>
      </c>
      <c r="D2909" s="8">
        <f t="shared" si="837"/>
        <v>46084</v>
      </c>
      <c r="E2909" s="15">
        <v>127</v>
      </c>
      <c r="F2909" s="15">
        <v>133</v>
      </c>
      <c r="G2909" s="15">
        <f t="shared" si="838"/>
        <v>6</v>
      </c>
      <c r="H2909" s="74" t="s">
        <v>357</v>
      </c>
      <c r="I2909" s="10">
        <f t="shared" si="840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2">O2909/31</f>
        <v>0</v>
      </c>
      <c r="Q2909" s="9"/>
      <c r="R2909" s="9"/>
      <c r="S2909" s="10">
        <f t="shared" si="841"/>
        <v>0</v>
      </c>
    </row>
    <row r="2910" spans="2:19" outlineLevel="1">
      <c r="B2910" s="13" t="s">
        <v>339</v>
      </c>
      <c r="C2910" s="7" t="s">
        <v>285</v>
      </c>
      <c r="D2910" s="8">
        <f t="shared" si="837"/>
        <v>46085</v>
      </c>
      <c r="E2910" s="15">
        <v>133</v>
      </c>
      <c r="F2910" s="15">
        <v>136</v>
      </c>
      <c r="G2910" s="15">
        <f t="shared" si="838"/>
        <v>3</v>
      </c>
      <c r="H2910" s="74" t="s">
        <v>357</v>
      </c>
      <c r="I2910" s="10">
        <f t="shared" si="840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2"/>
        <v>0</v>
      </c>
      <c r="Q2910" s="9"/>
      <c r="R2910" s="9"/>
      <c r="S2910" s="10">
        <f t="shared" si="841"/>
        <v>0</v>
      </c>
    </row>
    <row r="2911" spans="2:19" outlineLevel="1">
      <c r="B2911" s="13" t="s">
        <v>339</v>
      </c>
      <c r="C2911" s="7" t="s">
        <v>285</v>
      </c>
      <c r="D2911" s="8">
        <f t="shared" si="837"/>
        <v>46086</v>
      </c>
      <c r="E2911" s="15">
        <v>136</v>
      </c>
      <c r="F2911" s="15">
        <v>150</v>
      </c>
      <c r="G2911" s="15">
        <f t="shared" si="838"/>
        <v>14</v>
      </c>
      <c r="H2911" s="74" t="s">
        <v>357</v>
      </c>
      <c r="I2911" s="10">
        <f t="shared" si="840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2"/>
        <v>0</v>
      </c>
      <c r="Q2911" s="9"/>
      <c r="R2911" s="9"/>
      <c r="S2911" s="10">
        <f t="shared" si="841"/>
        <v>0</v>
      </c>
    </row>
    <row r="2912" spans="2:19" outlineLevel="1">
      <c r="B2912" s="13" t="s">
        <v>339</v>
      </c>
      <c r="C2912" s="7" t="s">
        <v>285</v>
      </c>
      <c r="D2912" s="8">
        <f t="shared" si="837"/>
        <v>46087</v>
      </c>
      <c r="E2912" s="15">
        <v>150</v>
      </c>
      <c r="F2912" s="15">
        <v>155</v>
      </c>
      <c r="G2912" s="15">
        <f t="shared" si="838"/>
        <v>5</v>
      </c>
      <c r="H2912" s="74" t="s">
        <v>357</v>
      </c>
      <c r="I2912" s="10">
        <f t="shared" si="840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2"/>
        <v>0</v>
      </c>
      <c r="Q2912" s="9"/>
      <c r="R2912" s="9"/>
      <c r="S2912" s="10">
        <f t="shared" si="841"/>
        <v>0</v>
      </c>
    </row>
    <row r="2913" spans="2:19" outlineLevel="1">
      <c r="B2913" s="13" t="s">
        <v>339</v>
      </c>
      <c r="C2913" s="7" t="s">
        <v>285</v>
      </c>
      <c r="D2913" s="8">
        <f t="shared" si="837"/>
        <v>46088</v>
      </c>
      <c r="E2913" s="15"/>
      <c r="F2913" s="15"/>
      <c r="G2913" s="15">
        <f t="shared" si="838"/>
        <v>0</v>
      </c>
      <c r="H2913" s="74" t="s">
        <v>357</v>
      </c>
      <c r="I2913" s="10">
        <f t="shared" si="840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2"/>
        <v>0</v>
      </c>
      <c r="Q2913" s="9"/>
      <c r="R2913" s="9"/>
      <c r="S2913" s="10">
        <f t="shared" si="841"/>
        <v>0</v>
      </c>
    </row>
    <row r="2914" spans="2:19" outlineLevel="1">
      <c r="B2914" s="13" t="s">
        <v>339</v>
      </c>
      <c r="C2914" s="7" t="s">
        <v>285</v>
      </c>
      <c r="D2914" s="8">
        <f t="shared" si="837"/>
        <v>46089</v>
      </c>
      <c r="E2914" s="15"/>
      <c r="F2914" s="15"/>
      <c r="G2914" s="15">
        <f t="shared" si="838"/>
        <v>0</v>
      </c>
      <c r="H2914" s="74" t="s">
        <v>357</v>
      </c>
      <c r="I2914" s="10">
        <f t="shared" si="840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2"/>
        <v>0</v>
      </c>
      <c r="Q2914" s="9"/>
      <c r="R2914" s="9"/>
      <c r="S2914" s="10">
        <f t="shared" si="841"/>
        <v>0</v>
      </c>
    </row>
    <row r="2915" spans="2:19" outlineLevel="1">
      <c r="B2915" s="13" t="s">
        <v>339</v>
      </c>
      <c r="C2915" s="7" t="s">
        <v>285</v>
      </c>
      <c r="D2915" s="8">
        <f t="shared" si="837"/>
        <v>46090</v>
      </c>
      <c r="E2915" s="15"/>
      <c r="F2915" s="15"/>
      <c r="G2915" s="15">
        <f t="shared" si="838"/>
        <v>0</v>
      </c>
      <c r="H2915" s="74" t="s">
        <v>357</v>
      </c>
      <c r="I2915" s="10">
        <f t="shared" si="840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2"/>
        <v>0</v>
      </c>
      <c r="Q2915" s="9"/>
      <c r="R2915" s="9"/>
      <c r="S2915" s="10">
        <f t="shared" si="841"/>
        <v>0</v>
      </c>
    </row>
    <row r="2916" spans="2:19" outlineLevel="1">
      <c r="B2916" s="13" t="s">
        <v>339</v>
      </c>
      <c r="C2916" s="7" t="s">
        <v>285</v>
      </c>
      <c r="D2916" s="8">
        <f t="shared" si="837"/>
        <v>46091</v>
      </c>
      <c r="E2916" s="15"/>
      <c r="F2916" s="15"/>
      <c r="G2916" s="15">
        <f t="shared" si="838"/>
        <v>0</v>
      </c>
      <c r="H2916" s="74" t="s">
        <v>357</v>
      </c>
      <c r="I2916" s="10">
        <f t="shared" si="840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2"/>
        <v>0</v>
      </c>
      <c r="Q2916" s="9"/>
      <c r="R2916" s="9"/>
      <c r="S2916" s="10">
        <f t="shared" si="841"/>
        <v>0</v>
      </c>
    </row>
    <row r="2917" spans="2:19" outlineLevel="1">
      <c r="B2917" s="13" t="s">
        <v>339</v>
      </c>
      <c r="C2917" s="7" t="s">
        <v>285</v>
      </c>
      <c r="D2917" s="8">
        <f t="shared" si="837"/>
        <v>46092</v>
      </c>
      <c r="E2917" s="15">
        <v>155</v>
      </c>
      <c r="F2917" s="15">
        <v>161</v>
      </c>
      <c r="G2917" s="15">
        <f>F2917-E2917</f>
        <v>6</v>
      </c>
      <c r="H2917" s="74" t="s">
        <v>357</v>
      </c>
      <c r="I2917" s="10">
        <f t="shared" si="840"/>
        <v>0</v>
      </c>
      <c r="J2917" s="16"/>
      <c r="K2917" s="15">
        <v>1</v>
      </c>
      <c r="L2917" s="15"/>
      <c r="M2917" s="16"/>
      <c r="N2917" s="8"/>
      <c r="O2917" s="116"/>
      <c r="P2917" s="116">
        <f t="shared" si="842"/>
        <v>0</v>
      </c>
      <c r="Q2917" s="9"/>
      <c r="R2917" s="9"/>
      <c r="S2917" s="10">
        <f t="shared" si="841"/>
        <v>0</v>
      </c>
    </row>
    <row r="2918" spans="2:19" outlineLevel="1">
      <c r="B2918" s="13" t="s">
        <v>339</v>
      </c>
      <c r="C2918" s="7" t="s">
        <v>285</v>
      </c>
      <c r="D2918" s="8">
        <f t="shared" si="837"/>
        <v>46093</v>
      </c>
      <c r="E2918" s="15">
        <v>161</v>
      </c>
      <c r="F2918" s="15">
        <v>162</v>
      </c>
      <c r="G2918" s="15">
        <f t="shared" ref="G2918:G2937" si="843">F2918-E2918</f>
        <v>1</v>
      </c>
      <c r="H2918" s="74" t="s">
        <v>357</v>
      </c>
      <c r="I2918" s="10">
        <f t="shared" si="840"/>
        <v>0</v>
      </c>
      <c r="J2918" s="16"/>
      <c r="K2918" s="15">
        <v>1</v>
      </c>
      <c r="L2918" s="15"/>
      <c r="M2918" s="16"/>
      <c r="N2918" s="8"/>
      <c r="O2918" s="116"/>
      <c r="P2918" s="116">
        <f t="shared" si="842"/>
        <v>0</v>
      </c>
      <c r="Q2918" s="9"/>
      <c r="R2918" s="9"/>
      <c r="S2918" s="10">
        <f t="shared" si="841"/>
        <v>0</v>
      </c>
    </row>
    <row r="2919" spans="2:19" outlineLevel="1">
      <c r="B2919" s="13" t="s">
        <v>339</v>
      </c>
      <c r="C2919" s="7" t="s">
        <v>285</v>
      </c>
      <c r="D2919" s="8">
        <f t="shared" si="837"/>
        <v>46094</v>
      </c>
      <c r="E2919" s="15"/>
      <c r="F2919" s="15"/>
      <c r="G2919" s="15">
        <f t="shared" si="843"/>
        <v>0</v>
      </c>
      <c r="H2919" s="74" t="s">
        <v>357</v>
      </c>
      <c r="I2919" s="10">
        <f t="shared" si="840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2"/>
        <v>0</v>
      </c>
      <c r="Q2919" s="9"/>
      <c r="R2919" s="9"/>
      <c r="S2919" s="10">
        <f t="shared" si="841"/>
        <v>0</v>
      </c>
    </row>
    <row r="2920" spans="2:19" outlineLevel="1">
      <c r="B2920" s="13" t="s">
        <v>339</v>
      </c>
      <c r="C2920" s="7" t="s">
        <v>285</v>
      </c>
      <c r="D2920" s="8">
        <f t="shared" si="837"/>
        <v>46095</v>
      </c>
      <c r="E2920" s="15"/>
      <c r="F2920" s="15"/>
      <c r="G2920" s="15">
        <f t="shared" si="843"/>
        <v>0</v>
      </c>
      <c r="H2920" s="74" t="s">
        <v>357</v>
      </c>
      <c r="I2920" s="10">
        <f t="shared" si="840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2"/>
        <v>0</v>
      </c>
      <c r="Q2920" s="9"/>
      <c r="R2920" s="9"/>
      <c r="S2920" s="10">
        <f t="shared" si="841"/>
        <v>0</v>
      </c>
    </row>
    <row r="2921" spans="2:19" outlineLevel="1">
      <c r="B2921" s="13" t="s">
        <v>339</v>
      </c>
      <c r="C2921" s="7" t="s">
        <v>285</v>
      </c>
      <c r="D2921" s="8">
        <f t="shared" si="837"/>
        <v>46096</v>
      </c>
      <c r="E2921" s="15"/>
      <c r="F2921" s="15"/>
      <c r="G2921" s="15">
        <f t="shared" si="843"/>
        <v>0</v>
      </c>
      <c r="H2921" s="74" t="s">
        <v>357</v>
      </c>
      <c r="I2921" s="10">
        <f t="shared" si="840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2"/>
        <v>0</v>
      </c>
      <c r="Q2921" s="9"/>
      <c r="R2921" s="9"/>
      <c r="S2921" s="10">
        <f t="shared" si="841"/>
        <v>0</v>
      </c>
    </row>
    <row r="2922" spans="2:19" outlineLevel="1">
      <c r="B2922" s="13" t="s">
        <v>339</v>
      </c>
      <c r="C2922" s="7" t="s">
        <v>285</v>
      </c>
      <c r="D2922" s="8">
        <f t="shared" si="837"/>
        <v>46097</v>
      </c>
      <c r="E2922" s="15"/>
      <c r="F2922" s="15"/>
      <c r="G2922" s="15">
        <f t="shared" si="843"/>
        <v>0</v>
      </c>
      <c r="H2922" s="74" t="s">
        <v>357</v>
      </c>
      <c r="I2922" s="10">
        <f t="shared" si="840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2"/>
        <v>0</v>
      </c>
      <c r="Q2922" s="9"/>
      <c r="R2922" s="9"/>
      <c r="S2922" s="10">
        <f t="shared" si="841"/>
        <v>0</v>
      </c>
    </row>
    <row r="2923" spans="2:19" outlineLevel="1">
      <c r="B2923" s="13" t="s">
        <v>339</v>
      </c>
      <c r="C2923" s="7" t="s">
        <v>285</v>
      </c>
      <c r="D2923" s="8">
        <f t="shared" si="837"/>
        <v>46098</v>
      </c>
      <c r="E2923" s="15"/>
      <c r="F2923" s="15"/>
      <c r="G2923" s="15">
        <f t="shared" si="843"/>
        <v>0</v>
      </c>
      <c r="H2923" s="74" t="s">
        <v>357</v>
      </c>
      <c r="I2923" s="10">
        <f t="shared" si="840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2"/>
        <v>0</v>
      </c>
      <c r="Q2923" s="9"/>
      <c r="R2923" s="9"/>
      <c r="S2923" s="10">
        <f t="shared" si="841"/>
        <v>0</v>
      </c>
    </row>
    <row r="2924" spans="2:19" outlineLevel="1">
      <c r="B2924" s="13" t="s">
        <v>339</v>
      </c>
      <c r="C2924" s="7" t="s">
        <v>285</v>
      </c>
      <c r="D2924" s="8">
        <f t="shared" si="837"/>
        <v>46099</v>
      </c>
      <c r="E2924" s="15"/>
      <c r="F2924" s="15"/>
      <c r="G2924" s="15">
        <f t="shared" si="843"/>
        <v>0</v>
      </c>
      <c r="H2924" s="74" t="s">
        <v>357</v>
      </c>
      <c r="I2924" s="10">
        <f t="shared" si="840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2"/>
        <v>0</v>
      </c>
      <c r="Q2924" s="9"/>
      <c r="R2924" s="9"/>
      <c r="S2924" s="10">
        <f t="shared" si="841"/>
        <v>0</v>
      </c>
    </row>
    <row r="2925" spans="2:19" outlineLevel="1">
      <c r="B2925" s="13" t="s">
        <v>339</v>
      </c>
      <c r="C2925" s="7" t="s">
        <v>285</v>
      </c>
      <c r="D2925" s="8">
        <f t="shared" si="837"/>
        <v>46100</v>
      </c>
      <c r="E2925" s="15"/>
      <c r="F2925" s="15"/>
      <c r="G2925" s="15">
        <f t="shared" si="843"/>
        <v>0</v>
      </c>
      <c r="H2925" s="74" t="s">
        <v>357</v>
      </c>
      <c r="I2925" s="10">
        <f t="shared" si="840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2"/>
        <v>0</v>
      </c>
      <c r="Q2925" s="9"/>
      <c r="R2925" s="9"/>
      <c r="S2925" s="10">
        <f t="shared" si="841"/>
        <v>0</v>
      </c>
    </row>
    <row r="2926" spans="2:19" outlineLevel="1">
      <c r="B2926" s="13" t="s">
        <v>339</v>
      </c>
      <c r="C2926" s="7" t="s">
        <v>285</v>
      </c>
      <c r="D2926" s="8">
        <f t="shared" si="837"/>
        <v>46101</v>
      </c>
      <c r="E2926" s="15"/>
      <c r="F2926" s="15"/>
      <c r="G2926" s="15">
        <f t="shared" si="843"/>
        <v>0</v>
      </c>
      <c r="H2926" s="74" t="s">
        <v>357</v>
      </c>
      <c r="I2926" s="10">
        <f t="shared" si="840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2"/>
        <v>0</v>
      </c>
      <c r="Q2926" s="9"/>
      <c r="R2926" s="9"/>
      <c r="S2926" s="10">
        <f t="shared" si="841"/>
        <v>0</v>
      </c>
    </row>
    <row r="2927" spans="2:19" outlineLevel="1">
      <c r="B2927" s="13" t="s">
        <v>339</v>
      </c>
      <c r="C2927" s="7" t="s">
        <v>285</v>
      </c>
      <c r="D2927" s="8">
        <f t="shared" si="837"/>
        <v>46102</v>
      </c>
      <c r="E2927" s="15"/>
      <c r="F2927" s="15"/>
      <c r="G2927" s="15">
        <f t="shared" si="843"/>
        <v>0</v>
      </c>
      <c r="H2927" s="74" t="s">
        <v>357</v>
      </c>
      <c r="I2927" s="10">
        <f t="shared" si="840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2"/>
        <v>0</v>
      </c>
      <c r="Q2927" s="9"/>
      <c r="R2927" s="9"/>
      <c r="S2927" s="10">
        <f t="shared" si="841"/>
        <v>0</v>
      </c>
    </row>
    <row r="2928" spans="2:19" outlineLevel="1">
      <c r="B2928" s="13" t="s">
        <v>339</v>
      </c>
      <c r="C2928" s="7" t="s">
        <v>285</v>
      </c>
      <c r="D2928" s="8">
        <f t="shared" si="837"/>
        <v>46103</v>
      </c>
      <c r="E2928" s="15"/>
      <c r="F2928" s="15"/>
      <c r="G2928" s="15">
        <f t="shared" si="843"/>
        <v>0</v>
      </c>
      <c r="H2928" s="74" t="s">
        <v>357</v>
      </c>
      <c r="I2928" s="10">
        <f t="shared" si="840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2"/>
        <v>0</v>
      </c>
      <c r="Q2928" s="9"/>
      <c r="R2928" s="9"/>
      <c r="S2928" s="10">
        <f t="shared" si="841"/>
        <v>0</v>
      </c>
    </row>
    <row r="2929" spans="2:19" outlineLevel="1">
      <c r="B2929" s="13" t="s">
        <v>339</v>
      </c>
      <c r="C2929" s="7" t="s">
        <v>285</v>
      </c>
      <c r="D2929" s="8">
        <f t="shared" si="837"/>
        <v>46104</v>
      </c>
      <c r="E2929" s="15"/>
      <c r="F2929" s="15"/>
      <c r="G2929" s="15">
        <f t="shared" si="843"/>
        <v>0</v>
      </c>
      <c r="H2929" s="74" t="s">
        <v>357</v>
      </c>
      <c r="I2929" s="10">
        <f t="shared" si="840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2"/>
        <v>0</v>
      </c>
      <c r="Q2929" s="9"/>
      <c r="R2929" s="9"/>
      <c r="S2929" s="10">
        <f t="shared" si="841"/>
        <v>0</v>
      </c>
    </row>
    <row r="2930" spans="2:19" outlineLevel="1">
      <c r="B2930" s="13" t="s">
        <v>339</v>
      </c>
      <c r="C2930" s="7" t="s">
        <v>285</v>
      </c>
      <c r="D2930" s="8">
        <f t="shared" si="837"/>
        <v>46105</v>
      </c>
      <c r="E2930" s="15"/>
      <c r="F2930" s="15"/>
      <c r="G2930" s="15">
        <f t="shared" si="843"/>
        <v>0</v>
      </c>
      <c r="H2930" s="74" t="s">
        <v>357</v>
      </c>
      <c r="I2930" s="10">
        <f t="shared" si="840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2"/>
        <v>0</v>
      </c>
      <c r="Q2930" s="9"/>
      <c r="R2930" s="9"/>
      <c r="S2930" s="10">
        <f t="shared" si="841"/>
        <v>0</v>
      </c>
    </row>
    <row r="2931" spans="2:19" outlineLevel="1">
      <c r="B2931" s="13" t="s">
        <v>339</v>
      </c>
      <c r="C2931" s="7" t="s">
        <v>285</v>
      </c>
      <c r="D2931" s="8">
        <f t="shared" si="837"/>
        <v>46106</v>
      </c>
      <c r="E2931" s="15"/>
      <c r="F2931" s="15"/>
      <c r="G2931" s="15">
        <f t="shared" si="843"/>
        <v>0</v>
      </c>
      <c r="H2931" s="74" t="s">
        <v>357</v>
      </c>
      <c r="I2931" s="10">
        <f t="shared" si="840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2"/>
        <v>0</v>
      </c>
      <c r="Q2931" s="9"/>
      <c r="R2931" s="9"/>
      <c r="S2931" s="10">
        <f t="shared" si="841"/>
        <v>0</v>
      </c>
    </row>
    <row r="2932" spans="2:19" outlineLevel="1">
      <c r="B2932" s="13" t="s">
        <v>339</v>
      </c>
      <c r="C2932" s="7" t="s">
        <v>285</v>
      </c>
      <c r="D2932" s="8">
        <f t="shared" si="837"/>
        <v>46107</v>
      </c>
      <c r="E2932" s="15"/>
      <c r="F2932" s="15"/>
      <c r="G2932" s="15">
        <f t="shared" si="843"/>
        <v>0</v>
      </c>
      <c r="H2932" s="74" t="s">
        <v>357</v>
      </c>
      <c r="I2932" s="10">
        <f t="shared" si="840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2"/>
        <v>0</v>
      </c>
      <c r="Q2932" s="9"/>
      <c r="R2932" s="9"/>
      <c r="S2932" s="10">
        <f t="shared" si="841"/>
        <v>0</v>
      </c>
    </row>
    <row r="2933" spans="2:19" outlineLevel="1">
      <c r="B2933" s="13" t="s">
        <v>339</v>
      </c>
      <c r="C2933" s="7" t="s">
        <v>285</v>
      </c>
      <c r="D2933" s="8">
        <f t="shared" si="837"/>
        <v>46108</v>
      </c>
      <c r="E2933" s="15"/>
      <c r="F2933" s="15"/>
      <c r="G2933" s="15">
        <f t="shared" si="843"/>
        <v>0</v>
      </c>
      <c r="H2933" s="74" t="s">
        <v>357</v>
      </c>
      <c r="I2933" s="10">
        <f t="shared" si="840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2"/>
        <v>0</v>
      </c>
      <c r="Q2933" s="9"/>
      <c r="R2933" s="9"/>
      <c r="S2933" s="10">
        <f t="shared" si="841"/>
        <v>0</v>
      </c>
    </row>
    <row r="2934" spans="2:19" outlineLevel="1">
      <c r="B2934" s="13" t="s">
        <v>339</v>
      </c>
      <c r="C2934" s="7" t="s">
        <v>285</v>
      </c>
      <c r="D2934" s="8">
        <f t="shared" ref="D2934" si="844">D2832</f>
        <v>46109</v>
      </c>
      <c r="E2934" s="15"/>
      <c r="F2934" s="15"/>
      <c r="G2934" s="15">
        <f t="shared" si="843"/>
        <v>0</v>
      </c>
      <c r="H2934" s="74" t="s">
        <v>357</v>
      </c>
      <c r="I2934" s="10">
        <f t="shared" si="840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2"/>
        <v>0</v>
      </c>
      <c r="Q2934" s="9"/>
      <c r="R2934" s="9"/>
      <c r="S2934" s="10">
        <f t="shared" si="841"/>
        <v>0</v>
      </c>
    </row>
    <row r="2935" spans="2:19" outlineLevel="1">
      <c r="B2935" s="13" t="s">
        <v>339</v>
      </c>
      <c r="C2935" s="7" t="s">
        <v>285</v>
      </c>
      <c r="D2935" s="8">
        <f t="shared" ref="D2935:D2937" si="845">D2833</f>
        <v>46110</v>
      </c>
      <c r="E2935" s="15"/>
      <c r="F2935" s="15"/>
      <c r="G2935" s="15">
        <f t="shared" si="843"/>
        <v>0</v>
      </c>
      <c r="H2935" s="74" t="s">
        <v>357</v>
      </c>
      <c r="I2935" s="10">
        <f t="shared" si="840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2"/>
        <v>0</v>
      </c>
      <c r="Q2935" s="9"/>
      <c r="R2935" s="9"/>
      <c r="S2935" s="10">
        <f t="shared" si="841"/>
        <v>0</v>
      </c>
    </row>
    <row r="2936" spans="2:19" outlineLevel="1">
      <c r="B2936" s="13" t="s">
        <v>339</v>
      </c>
      <c r="C2936" s="7" t="s">
        <v>285</v>
      </c>
      <c r="D2936" s="8">
        <f t="shared" si="845"/>
        <v>46111</v>
      </c>
      <c r="E2936" s="15"/>
      <c r="F2936" s="15"/>
      <c r="G2936" s="15">
        <f t="shared" si="843"/>
        <v>0</v>
      </c>
      <c r="H2936" s="74" t="s">
        <v>357</v>
      </c>
      <c r="I2936" s="10">
        <f t="shared" si="840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2"/>
        <v>0</v>
      </c>
      <c r="Q2936" s="9"/>
      <c r="R2936" s="9"/>
      <c r="S2936" s="10">
        <f t="shared" si="841"/>
        <v>0</v>
      </c>
    </row>
    <row r="2937" spans="2:19" outlineLevel="1">
      <c r="B2937" s="13" t="s">
        <v>339</v>
      </c>
      <c r="C2937" s="7" t="s">
        <v>285</v>
      </c>
      <c r="D2937" s="8">
        <f t="shared" si="845"/>
        <v>46112</v>
      </c>
      <c r="E2937" s="15"/>
      <c r="F2937" s="15"/>
      <c r="G2937" s="15">
        <f t="shared" si="843"/>
        <v>0</v>
      </c>
      <c r="H2937" s="74" t="s">
        <v>357</v>
      </c>
      <c r="I2937" s="10">
        <f t="shared" si="840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2"/>
        <v>0</v>
      </c>
      <c r="Q2937" s="9"/>
      <c r="R2937" s="9"/>
      <c r="S2937" s="10">
        <f t="shared" si="841"/>
        <v>0</v>
      </c>
    </row>
  </sheetData>
  <mergeCells count="174"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282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281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283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312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322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317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318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319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324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334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272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276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284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273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286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287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288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273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286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287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288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304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297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270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280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271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277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335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46.85546875" bestFit="1" customWidth="1"/>
    <col min="3" max="3" width="15.71093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347</v>
      </c>
      <c r="D4" s="145">
        <v>8</v>
      </c>
      <c r="E4" s="145">
        <v>7</v>
      </c>
      <c r="F4" s="47">
        <v>15400</v>
      </c>
      <c r="G4" s="47"/>
      <c r="H4" s="48"/>
      <c r="I4" s="47">
        <v>3974.1935483870975</v>
      </c>
    </row>
    <row r="5" spans="1:9">
      <c r="A5" s="28"/>
      <c r="B5" s="28"/>
      <c r="C5" s="28" t="s">
        <v>360</v>
      </c>
      <c r="D5" s="145">
        <v>3</v>
      </c>
      <c r="E5" s="145">
        <v>2</v>
      </c>
      <c r="F5" s="47"/>
      <c r="G5" s="47"/>
      <c r="H5" s="48"/>
      <c r="I5" s="47">
        <v>1490.3225806451612</v>
      </c>
    </row>
    <row r="6" spans="1:9">
      <c r="A6" s="28"/>
      <c r="B6" s="28"/>
      <c r="C6" s="28" t="s">
        <v>361</v>
      </c>
      <c r="D6" s="145">
        <v>20</v>
      </c>
      <c r="E6" s="145">
        <v>19</v>
      </c>
      <c r="F6" s="47">
        <v>0</v>
      </c>
      <c r="G6" s="47"/>
      <c r="H6" s="48"/>
      <c r="I6" s="47">
        <v>9935.4838709677424</v>
      </c>
    </row>
    <row r="7" spans="1:9">
      <c r="A7" s="28" t="s">
        <v>223</v>
      </c>
      <c r="B7" s="28"/>
      <c r="C7" s="28"/>
      <c r="D7" s="145">
        <v>31</v>
      </c>
      <c r="E7" s="145">
        <v>28</v>
      </c>
      <c r="F7" s="47">
        <v>15400</v>
      </c>
      <c r="G7" s="47"/>
      <c r="H7" s="48"/>
      <c r="I7" s="47">
        <v>15399.999999999993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250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298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323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325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326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327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328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329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330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332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333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337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280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271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277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338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291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289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290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292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293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294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349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350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351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340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341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342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343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344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302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303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314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320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321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331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336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278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261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272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276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284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271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277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335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315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316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352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353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349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350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349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350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354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355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356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296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297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278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345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346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336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278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261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261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279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323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298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295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298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300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301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302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303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305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306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307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308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309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310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313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311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268</v>
      </c>
      <c r="B4" s="28" t="s">
        <v>269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244</v>
      </c>
      <c r="B4" s="28" t="s">
        <v>253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267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2026-03-16T17:58:47Z</dcterms:modified>
  <cp:category/>
  <cp:contentStatus/>
</cp:coreProperties>
</file>