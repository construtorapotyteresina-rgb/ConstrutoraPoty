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2EA444D3-7C14-4CE5-83AF-F45EA44F686E}" xr6:coauthVersionLast="47" xr6:coauthVersionMax="47" xr10:uidLastSave="{00000000-0000-0000-0000-000000000000}"/>
  <bookViews>
    <workbookView xWindow="-120" yWindow="-120" windowWidth="20730" windowHeight="11160" tabRatio="833" firstSheet="1" activeTab="4" xr2:uid="{CE15E78E-CC53-471C-935E-B218B6B31BED}"/>
  </bookViews>
  <sheets>
    <sheet name="Planilha2" sheetId="105" state="hidden" r:id="rId1"/>
    <sheet name="BANCO DADOS" sheetId="62" r:id="rId2"/>
    <sheet name="BM 02.010" sheetId="106" r:id="rId3"/>
    <sheet name="BM 06.021" sheetId="89" r:id="rId4"/>
    <sheet name="BM 06.059" sheetId="103" r:id="rId5"/>
  </sheets>
  <definedNames>
    <definedName name="_xlnm.Print_Area" localSheetId="1">'BANCO DADOS'!$A$1:$M$98</definedName>
    <definedName name="_xlnm.Print_Area" localSheetId="2">'BM 02.010'!$A$1:$H$70</definedName>
    <definedName name="_xlnm.Print_Area" localSheetId="3">'BM 06.021'!$A$1:$J$39</definedName>
    <definedName name="_xlnm.Print_Area" localSheetId="4">'BM 06.059'!$A$1:$H$55</definedName>
  </definedNames>
  <calcPr calcId="191028" iterate="1"/>
  <pivotCaches>
    <pivotCache cacheId="26" r:id="rId6"/>
    <pivotCache cacheId="32" r:id="rId7"/>
    <pivotCache cacheId="4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3" i="62" l="1"/>
  <c r="M44" i="62"/>
  <c r="M45" i="62"/>
  <c r="M46" i="62"/>
  <c r="M47" i="62"/>
  <c r="M48" i="62"/>
  <c r="M49" i="62"/>
  <c r="M50" i="62"/>
  <c r="M51" i="62"/>
  <c r="M52" i="62"/>
  <c r="M53" i="62"/>
  <c r="M54" i="62"/>
  <c r="M55" i="62"/>
  <c r="M56" i="62"/>
  <c r="M57" i="62"/>
  <c r="M58" i="62"/>
  <c r="M59" i="62"/>
  <c r="M60" i="62"/>
  <c r="M61" i="62"/>
  <c r="M62" i="62"/>
  <c r="M63" i="62"/>
  <c r="M64" i="62"/>
  <c r="M65" i="62"/>
  <c r="M66" i="62"/>
  <c r="M67" i="62"/>
  <c r="M68" i="62"/>
  <c r="M69" i="62"/>
  <c r="M70" i="62"/>
  <c r="M71" i="62"/>
  <c r="M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5" i="62"/>
  <c r="L66" i="62"/>
  <c r="L67" i="62"/>
  <c r="L68" i="62"/>
  <c r="L69" i="62"/>
  <c r="L70" i="62"/>
  <c r="L71" i="62"/>
  <c r="L42" i="62"/>
  <c r="E96" i="62"/>
  <c r="E97" i="62"/>
  <c r="E95" i="62"/>
  <c r="G94" i="62"/>
  <c r="J94" i="62" s="1"/>
  <c r="L94" i="62" s="1"/>
  <c r="M94" i="62" s="1"/>
  <c r="E78" i="62"/>
  <c r="E79" i="62"/>
  <c r="E80" i="62"/>
  <c r="E81" i="62"/>
  <c r="E82" i="62"/>
  <c r="E83" i="62"/>
  <c r="E84" i="62"/>
  <c r="E85" i="62"/>
  <c r="E86" i="62"/>
  <c r="E87" i="62"/>
  <c r="E88" i="62"/>
  <c r="E89" i="62"/>
  <c r="E90" i="62"/>
  <c r="E91" i="62"/>
  <c r="E92" i="62"/>
  <c r="E93" i="62"/>
  <c r="E77" i="62"/>
  <c r="G10" i="62" l="1"/>
  <c r="J10" i="62" s="1"/>
  <c r="L10" i="62" s="1"/>
  <c r="M10" i="62" s="1"/>
  <c r="G11" i="62"/>
  <c r="J11" i="62" s="1"/>
  <c r="L11" i="62" s="1"/>
  <c r="M11" i="62" s="1"/>
  <c r="G13" i="62"/>
  <c r="J13" i="62" s="1"/>
  <c r="L13" i="62" s="1"/>
  <c r="M13" i="62" s="1"/>
  <c r="G14" i="62"/>
  <c r="J14" i="62" s="1"/>
  <c r="L14" i="62" s="1"/>
  <c r="M14" i="62" s="1"/>
  <c r="G15" i="62"/>
  <c r="J15" i="62" s="1"/>
  <c r="L15" i="62" s="1"/>
  <c r="M15" i="62" s="1"/>
  <c r="G16" i="62"/>
  <c r="J16" i="62" s="1"/>
  <c r="L16" i="62" s="1"/>
  <c r="M16" i="62" s="1"/>
  <c r="G17" i="62"/>
  <c r="J17" i="62" s="1"/>
  <c r="L17" i="62" s="1"/>
  <c r="M17" i="62" s="1"/>
  <c r="G18" i="62"/>
  <c r="J18" i="62" s="1"/>
  <c r="L18" i="62" s="1"/>
  <c r="M18" i="62" s="1"/>
  <c r="G19" i="62"/>
  <c r="J19" i="62" s="1"/>
  <c r="L19" i="62" s="1"/>
  <c r="M19" i="62" s="1"/>
  <c r="G20" i="62"/>
  <c r="J20" i="62" s="1"/>
  <c r="L20" i="62" s="1"/>
  <c r="M20" i="62" s="1"/>
  <c r="G21" i="62"/>
  <c r="J21" i="62" s="1"/>
  <c r="L21" i="62" s="1"/>
  <c r="M21" i="62" s="1"/>
  <c r="G22" i="62"/>
  <c r="J22" i="62" s="1"/>
  <c r="L22" i="62" s="1"/>
  <c r="M22" i="62" s="1"/>
  <c r="G23" i="62"/>
  <c r="J23" i="62" s="1"/>
  <c r="L23" i="62" s="1"/>
  <c r="M23" i="62" s="1"/>
  <c r="G24" i="62"/>
  <c r="J24" i="62" s="1"/>
  <c r="L24" i="62" s="1"/>
  <c r="M24" i="62" s="1"/>
  <c r="G25" i="62"/>
  <c r="J25" i="62" s="1"/>
  <c r="L25" i="62" s="1"/>
  <c r="M25" i="62" s="1"/>
  <c r="G26" i="62"/>
  <c r="J26" i="62" s="1"/>
  <c r="L26" i="62" s="1"/>
  <c r="M26" i="62" s="1"/>
  <c r="G27" i="62"/>
  <c r="J27" i="62" s="1"/>
  <c r="L27" i="62" s="1"/>
  <c r="M27" i="62" s="1"/>
  <c r="G28" i="62"/>
  <c r="J28" i="62" s="1"/>
  <c r="L28" i="62" s="1"/>
  <c r="M28" i="62" s="1"/>
  <c r="G29" i="62"/>
  <c r="J29" i="62" s="1"/>
  <c r="L29" i="62" s="1"/>
  <c r="M29" i="62" s="1"/>
  <c r="G30" i="62"/>
  <c r="J30" i="62" s="1"/>
  <c r="L30" i="62" s="1"/>
  <c r="M30" i="62" s="1"/>
  <c r="G31" i="62"/>
  <c r="J31" i="62" s="1"/>
  <c r="L31" i="62" s="1"/>
  <c r="M31" i="62" s="1"/>
  <c r="G32" i="62"/>
  <c r="J32" i="62" s="1"/>
  <c r="L32" i="62" s="1"/>
  <c r="M32" i="62" s="1"/>
  <c r="G33" i="62"/>
  <c r="J33" i="62" s="1"/>
  <c r="L33" i="62" s="1"/>
  <c r="M33" i="62" s="1"/>
  <c r="G34" i="62"/>
  <c r="J34" i="62" s="1"/>
  <c r="L34" i="62" s="1"/>
  <c r="M34" i="62" s="1"/>
  <c r="G35" i="62"/>
  <c r="J35" i="62" s="1"/>
  <c r="L35" i="62" s="1"/>
  <c r="M35" i="62" s="1"/>
  <c r="G36" i="62"/>
  <c r="J36" i="62" s="1"/>
  <c r="L36" i="62" s="1"/>
  <c r="M36" i="62" s="1"/>
  <c r="G37" i="62"/>
  <c r="J37" i="62" s="1"/>
  <c r="L37" i="62" s="1"/>
  <c r="M37" i="62" s="1"/>
  <c r="G9" i="62"/>
  <c r="J9" i="62" s="1"/>
  <c r="L9" i="62" s="1"/>
  <c r="M9" i="62" s="1"/>
  <c r="G12" i="62"/>
  <c r="J12" i="62" s="1"/>
  <c r="L12" i="62" s="1"/>
  <c r="M12" i="62" s="1"/>
  <c r="G8" i="62"/>
  <c r="J8" i="62" s="1"/>
  <c r="L8" i="62" s="1"/>
  <c r="M8" i="62" s="1"/>
  <c r="G78" i="62" l="1"/>
  <c r="J78" i="62" s="1"/>
  <c r="L78" i="62" s="1"/>
  <c r="M78" i="62" s="1"/>
  <c r="G79" i="62"/>
  <c r="J79" i="62" s="1"/>
  <c r="L79" i="62" s="1"/>
  <c r="M79" i="62" s="1"/>
  <c r="G80" i="62"/>
  <c r="J80" i="62" s="1"/>
  <c r="L80" i="62" s="1"/>
  <c r="M80" i="62" s="1"/>
  <c r="G81" i="62"/>
  <c r="J81" i="62" s="1"/>
  <c r="L81" i="62" s="1"/>
  <c r="M81" i="62" s="1"/>
  <c r="G82" i="62"/>
  <c r="J82" i="62" s="1"/>
  <c r="L82" i="62" s="1"/>
  <c r="M82" i="62" s="1"/>
  <c r="G83" i="62"/>
  <c r="J83" i="62" s="1"/>
  <c r="L83" i="62" s="1"/>
  <c r="M83" i="62" s="1"/>
  <c r="G85" i="62"/>
  <c r="J85" i="62" s="1"/>
  <c r="L85" i="62" s="1"/>
  <c r="M85" i="62" s="1"/>
  <c r="G86" i="62"/>
  <c r="J86" i="62" s="1"/>
  <c r="L86" i="62" s="1"/>
  <c r="M86" i="62" s="1"/>
  <c r="G87" i="62"/>
  <c r="J87" i="62" s="1"/>
  <c r="L87" i="62" s="1"/>
  <c r="M87" i="62" s="1"/>
  <c r="G88" i="62"/>
  <c r="J88" i="62" s="1"/>
  <c r="L88" i="62" s="1"/>
  <c r="M88" i="62" s="1"/>
  <c r="G89" i="62"/>
  <c r="J89" i="62" s="1"/>
  <c r="L89" i="62" s="1"/>
  <c r="M89" i="62" s="1"/>
  <c r="G90" i="62"/>
  <c r="J90" i="62" s="1"/>
  <c r="L90" i="62" s="1"/>
  <c r="M90" i="62" s="1"/>
  <c r="G91" i="62"/>
  <c r="J91" i="62" s="1"/>
  <c r="L91" i="62" s="1"/>
  <c r="M91" i="62" s="1"/>
  <c r="G92" i="62"/>
  <c r="J92" i="62" s="1"/>
  <c r="L92" i="62" s="1"/>
  <c r="M92" i="62" s="1"/>
  <c r="G93" i="62"/>
  <c r="J93" i="62" s="1"/>
  <c r="L93" i="62" s="1"/>
  <c r="M93" i="62" s="1"/>
  <c r="G95" i="62"/>
  <c r="J95" i="62" s="1"/>
  <c r="L95" i="62" s="1"/>
  <c r="M95" i="62" s="1"/>
  <c r="G96" i="62"/>
  <c r="J96" i="62" s="1"/>
  <c r="L96" i="62" s="1"/>
  <c r="M96" i="62" s="1"/>
  <c r="G97" i="62"/>
  <c r="J97" i="62" s="1"/>
  <c r="L97" i="62" s="1"/>
  <c r="M97" i="62" s="1"/>
  <c r="G77" i="62"/>
  <c r="J77" i="62" s="1"/>
  <c r="L77" i="62" s="1"/>
  <c r="M77" i="62" s="1"/>
  <c r="G84" i="62"/>
  <c r="J84" i="62" s="1"/>
  <c r="L84" i="62" s="1"/>
  <c r="M84" i="62" s="1"/>
  <c r="G76" i="62"/>
  <c r="J76" i="62" s="1"/>
  <c r="L76" i="62" s="1"/>
  <c r="M76" i="62" s="1"/>
  <c r="C35" i="62" l="1"/>
  <c r="C36" i="62"/>
  <c r="C37" i="62"/>
  <c r="C34" i="62" l="1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C14" i="62"/>
  <c r="C13" i="62"/>
  <c r="C12" i="62"/>
  <c r="C11" i="62"/>
  <c r="C10" i="62"/>
  <c r="C9" i="62"/>
  <c r="C8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tc={FA0F76B8-DCD4-4E73-AEEF-2BB4172092C5}</author>
  </authors>
  <commentList>
    <comment ref="B40" authorId="0" shapeId="0" xr:uid="{FA0F76B8-DCD4-4E73-AEEF-2BB4172092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sharedStrings.xml><?xml version="1.0" encoding="utf-8"?>
<sst xmlns="http://schemas.openxmlformats.org/spreadsheetml/2006/main" count="284" uniqueCount="61">
  <si>
    <t>ATIVO FIXO</t>
  </si>
  <si>
    <t>DESCRIÇÃO DO EQUIPAMENTO</t>
  </si>
  <si>
    <t>OP/MOTORISTA</t>
  </si>
  <si>
    <t>DATA</t>
  </si>
  <si>
    <t>KM/HORA INIC</t>
  </si>
  <si>
    <t>KM/HORA FIM</t>
  </si>
  <si>
    <t>TOTAL</t>
  </si>
  <si>
    <t>VL LOC.</t>
  </si>
  <si>
    <t>DIAS TRABALHADOS</t>
  </si>
  <si>
    <t>VL DIARIA</t>
  </si>
  <si>
    <t>VL TOTAL BM</t>
  </si>
  <si>
    <t xml:space="preserve">MOTORISTA / OPERADOR: </t>
  </si>
  <si>
    <t xml:space="preserve">PERIODO </t>
  </si>
  <si>
    <t>Soma de DIAS TRABALHADOS</t>
  </si>
  <si>
    <t>VL. TOTAL BM</t>
  </si>
  <si>
    <t>Total Geral</t>
  </si>
  <si>
    <t>CADOZ</t>
  </si>
  <si>
    <t>02.010</t>
  </si>
  <si>
    <t>PLATAFORMA IVECO POTY PIN 0D51</t>
  </si>
  <si>
    <t>06.059</t>
  </si>
  <si>
    <t>CAVALO METEOR 6X4 VERMELHO ANO 2023 PL QWB7A30</t>
  </si>
  <si>
    <t>06.021</t>
  </si>
  <si>
    <t>CAVALO WV METEOR 29530 CHASSIS RR201566 - O.S TERRA PL SNR1G98</t>
  </si>
  <si>
    <t>PLANILHA DE BOLETIM DE MEDIÇÃO DAS PRANCHAS</t>
  </si>
  <si>
    <t>DESTINO</t>
  </si>
  <si>
    <t>TERESINA</t>
  </si>
  <si>
    <t>PORTO</t>
  </si>
  <si>
    <t>FLORIANO</t>
  </si>
  <si>
    <t>AMARANTE</t>
  </si>
  <si>
    <t>Rótulos de Linha</t>
  </si>
  <si>
    <t>Soma de KM/HORA INIC</t>
  </si>
  <si>
    <t>Soma de KM/HORA FIM</t>
  </si>
  <si>
    <t>Soma de TOTAL</t>
  </si>
  <si>
    <t>Soma de VL TOTAL BM</t>
  </si>
  <si>
    <t>CIDADES</t>
  </si>
  <si>
    <t>CADOZ \ FLORIANO</t>
  </si>
  <si>
    <t>FLORIANO \ FLORIANO</t>
  </si>
  <si>
    <t>(vazio)</t>
  </si>
  <si>
    <t>VIAGENS</t>
  </si>
  <si>
    <t>COMPETÊNCIA: ABRIL/2026</t>
  </si>
  <si>
    <t>BARRAS \ AMARANTE</t>
  </si>
  <si>
    <t>AMARANTE \ LAGOA DO BARRO</t>
  </si>
  <si>
    <t>PORTO \ COCAL DE TELHA</t>
  </si>
  <si>
    <t>ESPERANTINA  \ PORTO</t>
  </si>
  <si>
    <t>PORTO \ ESPERANTINA</t>
  </si>
  <si>
    <t>LAGOA DO BARRO \ COIVARAS</t>
  </si>
  <si>
    <t>USINA TERESINA \ CADOZ</t>
  </si>
  <si>
    <t>FLORIANO \ USINA TERESINA</t>
  </si>
  <si>
    <t>USINA TERESINA \ PORTO</t>
  </si>
  <si>
    <t>LAGOA DO BARRO \ USINA TERESINA</t>
  </si>
  <si>
    <t>COCAL DE TELHA \ USINA TERESINA</t>
  </si>
  <si>
    <t>USINA TERESINA \ ESPERANTINA</t>
  </si>
  <si>
    <t>PORTO \ USINA TERESINA</t>
  </si>
  <si>
    <t>USINA TERESINA \ LAGOA DO BARRO</t>
  </si>
  <si>
    <t>COIVARAS \ USINA TERESINA</t>
  </si>
  <si>
    <t>USINA TERESINA \ TERESINA</t>
  </si>
  <si>
    <t>USINA TERESINA</t>
  </si>
  <si>
    <t>LAGOA DO BARRO</t>
  </si>
  <si>
    <t>COCAL DE TELHA</t>
  </si>
  <si>
    <t>ESPERANTINA</t>
  </si>
  <si>
    <t>COIVARAS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</si>
</sst>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56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0" fontId="2" fillId="3" borderId="2" xfId="0" applyFont="1" applyFill="1" applyBorder="1"/>
    <xf numFmtId="0" fontId="2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/>
    <xf numFmtId="44" fontId="0" fillId="0" borderId="0" xfId="0" applyNumberFormat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3" fontId="0" fillId="0" borderId="0" xfId="1" applyFont="1" applyBorder="1"/>
    <xf numFmtId="14" fontId="2" fillId="7" borderId="1" xfId="0" applyNumberFormat="1" applyFont="1" applyFill="1" applyBorder="1" applyAlignment="1">
      <alignment horizontal="center" vertical="center"/>
    </xf>
    <xf numFmtId="43" fontId="0" fillId="3" borderId="0" xfId="1" applyFont="1" applyFill="1" applyBorder="1"/>
    <xf numFmtId="0" fontId="0" fillId="3" borderId="0" xfId="0" applyFill="1"/>
    <xf numFmtId="43" fontId="0" fillId="0" borderId="0" xfId="0" applyNumberFormat="1"/>
    <xf numFmtId="41" fontId="0" fillId="3" borderId="1" xfId="1" applyNumberFormat="1" applyFont="1" applyFill="1" applyBorder="1"/>
    <xf numFmtId="3" fontId="0" fillId="3" borderId="1" xfId="1" applyNumberFormat="1" applyFont="1" applyFill="1" applyBorder="1"/>
    <xf numFmtId="49" fontId="2" fillId="8" borderId="0" xfId="0" applyNumberFormat="1" applyFont="1" applyFill="1"/>
    <xf numFmtId="0" fontId="2" fillId="8" borderId="0" xfId="0" applyFont="1" applyFill="1"/>
    <xf numFmtId="43" fontId="2" fillId="8" borderId="0" xfId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41" fontId="0" fillId="0" borderId="0" xfId="0" applyNumberFormat="1"/>
    <xf numFmtId="44" fontId="2" fillId="3" borderId="2" xfId="2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49" fontId="6" fillId="8" borderId="3" xfId="0" applyNumberFormat="1" applyFont="1" applyFill="1" applyBorder="1" applyAlignment="1">
      <alignment horizontal="center" vertical="center"/>
    </xf>
    <xf numFmtId="49" fontId="6" fillId="8" borderId="4" xfId="0" applyNumberFormat="1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49" fontId="6" fillId="8" borderId="6" xfId="0" applyNumberFormat="1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left"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49" fontId="2" fillId="6" borderId="0" xfId="0" applyNumberFormat="1" applyFont="1" applyFill="1"/>
    <xf numFmtId="0" fontId="2" fillId="6" borderId="0" xfId="0" applyFont="1" applyFill="1"/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23"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190499</xdr:rowOff>
    </xdr:from>
    <xdr:to>
      <xdr:col>7</xdr:col>
      <xdr:colOff>889000</xdr:colOff>
      <xdr:row>52</xdr:row>
      <xdr:rowOff>79374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82DF6B-4C81-8E11-A6DD-D890686AD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03749"/>
          <a:ext cx="17637125" cy="56038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0.455225578706" createdVersion="8" refreshedVersion="8" minRefreshableVersion="3" recordCount="22" xr:uid="{92FE2CD7-3C03-4535-9911-CD9500E596F6}">
  <cacheSource type="worksheet">
    <worksheetSource ref="B75:M97" sheet="BANCO DADOS"/>
  </cacheSource>
  <cacheFields count="12">
    <cacheField name="ATIVO FIXO" numFmtId="49">
      <sharedItems count="1">
        <s v="06.059"/>
      </sharedItems>
    </cacheField>
    <cacheField name="DESCRIÇÃO DO EQUIPAMENTO" numFmtId="0">
      <sharedItems count="1">
        <s v="CAVALO METEOR 6X4 VERMELHO ANO 2023 PL QWB7A30"/>
      </sharedItems>
    </cacheField>
    <cacheField name="DATA" numFmtId="14">
      <sharedItems containsSemiMixedTypes="0" containsNonDate="0" containsDate="1" containsString="0" minDate="2026-03-02T00:00:00" maxDate="2026-04-28T00:00:00" count="34">
        <d v="2026-04-08T00:00:00"/>
        <d v="2026-04-10T00:00:00"/>
        <d v="2026-04-13T00:00:00"/>
        <d v="2026-04-14T00:00:00"/>
        <d v="2026-04-15T00:00:00"/>
        <d v="2026-04-16T00:00:00"/>
        <d v="2026-04-18T00:00:00"/>
        <d v="2026-04-21T00:00:00"/>
        <d v="2026-04-23T00:00:00"/>
        <d v="2026-04-24T00:00:00"/>
        <d v="2026-04-26T00:00:00"/>
        <d v="2026-04-27T00:00:00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9T00:00:00" u="1"/>
        <d v="2026-03-10T00:00:00" u="1"/>
        <d v="2026-03-11T00:00:00" u="1"/>
        <d v="2026-03-12T00:00:00" u="1"/>
        <d v="2026-03-13T00:00:00" u="1"/>
        <d v="2026-03-15T00:00:00" u="1"/>
        <d v="2026-03-16T00:00:00" u="1"/>
        <d v="2026-03-19T00:00:00" u="1"/>
        <d v="2026-03-20T00:00:00" u="1"/>
        <d v="2026-03-24T00:00:00" u="1"/>
        <d v="2026-03-25T00:00:00" u="1"/>
        <d v="2026-03-26T00:00:00" u="1"/>
        <d v="2026-03-27T00:00:00" u="1"/>
        <d v="2026-03-28T00:00:00" u="1"/>
        <d v="2026-03-30T00:00:00" u="1"/>
        <d v="2026-03-31T00:00:00" u="1"/>
      </sharedItems>
    </cacheField>
    <cacheField name="KM/HORA INIC" numFmtId="3">
      <sharedItems containsSemiMixedTypes="0" containsString="0" containsNumber="1" containsInteger="1" minValue="253368" maxValue="258897"/>
    </cacheField>
    <cacheField name="KM/HORA FIM" numFmtId="3">
      <sharedItems containsSemiMixedTypes="0" containsString="0" containsNumber="1" containsInteger="1" minValue="253732" maxValue="258949"/>
    </cacheField>
    <cacheField name="TOTAL" numFmtId="41">
      <sharedItems containsSemiMixedTypes="0" containsString="0" containsNumber="1" containsInteger="1" minValue="11" maxValue="674"/>
    </cacheField>
    <cacheField name="CIDADES" numFmtId="0">
      <sharedItems count="54">
        <s v="USINA TERESINA \ CADOZ"/>
        <s v="CADOZ \ FLORIANO"/>
        <s v="FLORIANO \ FLORIANO"/>
        <s v="FLORIANO \ USINA TERESINA"/>
        <s v="USINA TERESINA \ PORTO"/>
        <s v="BARRAS \ AMARANTE"/>
        <s v="AMARANTE \ LAGOA DO BARRO"/>
        <s v="LAGOA DO BARRO \ USINA TERESINA"/>
        <s v="PORTO \ COCAL DE TELHA"/>
        <s v="COCAL DE TELHA \ USINA TERESINA"/>
        <s v="USINA TERESINA \ ESPERANTINA"/>
        <s v="ESPERANTINA  \ PORTO"/>
        <s v="PORTO \ ESPERANTINA"/>
        <s v="PORTO \ USINA TERESINA"/>
        <s v="USINA TERESINA \ LAGOA DO BARRO"/>
        <s v="LAGOA DO BARRO \ COIVARAS"/>
        <s v="COIVARAS \ USINA TERESINA"/>
        <s v="USINA TERESINA \ TERESINA"/>
        <s v="USINA CENTRAL \ TERESINA" u="1"/>
        <s v="TERESINA \ JOSE DE FREITAS" u="1"/>
        <s v="JOSE DE FREITAS \ AGUA BRANCA" u="1"/>
        <s v="AGUA BRANCA \ CONCEIÇÃO DO CANINDÉ" u="1"/>
        <s v="CONCEIÇÃO DO CANINDE \ S. FRANCISCO DE ASSIS" u="1"/>
        <s v="S.FRANCISCO DE ASSIS \ S. JOAO" u="1"/>
        <s v="S. JOAO \ SIMPLICIO MENDES" u="1"/>
        <s v="SIMPLICIO MENDES \ S. PEDRO DO PIAUI" u="1"/>
        <s v="S. PEDRO DO PIAUI \ JARDIM DO MULATO" u="1"/>
        <s v="JARDIM DO MULATO \ USINA CENTRAL" u="1"/>
        <s v="USINA CENTRAL \ PORTO" u="1"/>
        <s v="PORTO \ LAGOA DO S. FRANCISCO" u="1"/>
        <s v="LAGOA DO S. FRANCISCO \ PORTO" u="1"/>
        <s v="LAGOA DO S. FRANCISCO \ BARRAS" u="1"/>
        <s v="BARRAS \ USINA CENTRAL" u="1"/>
        <s v="USINA CENTRAL \ LAGOA DO S. FRANCISCO" u="1"/>
        <s v="LAGOA S. FRANCISCO \ PEDRO II" u="1"/>
        <s v="PEDRO II \ PORTO" u="1"/>
        <s v="PORTO \ PIRIPIRI" u="1"/>
        <s v="PIRIPIRI \ USINA CENTRAL" u="1"/>
        <s v="USINA CENTRAL \ CADOZ" u="1"/>
        <s v="CADOZ \ USINA CENTRAL" u="1"/>
        <s v="USIN A CENTRAL \ PIRIPIRI" u="1"/>
        <s v="PIRIPIRI \ PIRIPIRI" u="1"/>
        <s v="USINA CENTRAL \ OEIRAS" u="1"/>
        <s v="OEIRAS \ FLORIANO" u="1"/>
        <s v="FLORIANO \ ANTONIO ALMEIDA" u="1"/>
        <s v="ANTONIO ALMEIDA \ FLORIANO" u="1"/>
        <s v="FLORIANO \ REGENERAÇÃO" u="1"/>
        <s v="POVOADO JACARÉ \ AMARANTE" u="1"/>
        <s v="AMARANTE \ USINA CENTRAL" u="1"/>
        <s v="USINA CENTRAL \ FLORIANO" u="1"/>
        <s v="FLORIANO \ CADOZ" u="1"/>
        <s v="FLORIANO \ NOVA SANTA RITA" u="1"/>
        <s v="NOVA SANTA RITA \ SIMPLICIO MENDES" u="1"/>
        <s v="SIMPLICIO MENDES \ USINA CENTRAL" u="1"/>
      </sharedItems>
    </cacheField>
    <cacheField name="DESTINO" numFmtId="0">
      <sharedItems/>
    </cacheField>
    <cacheField name="VL LOC." numFmtId="43">
      <sharedItems containsSemiMixedTypes="0" containsString="0" containsNumber="1" containsInteger="1" minValue="-370" maxValue="6740" count="59">
        <n v="3640"/>
        <n v="5680"/>
        <n v="110"/>
        <n v="130"/>
        <n v="2480"/>
        <n v="1510"/>
        <n v="2940"/>
        <n v="4520"/>
        <n v="6480"/>
        <n v="2100"/>
        <n v="1870"/>
        <n v="1310"/>
        <n v="2200"/>
        <n v="1470"/>
        <n v="1540"/>
        <n v="1430"/>
        <n v="2130"/>
        <n v="6110"/>
        <n v="6740"/>
        <n v="700"/>
        <n v="520"/>
        <n v="490" u="1"/>
        <n v="730" u="1"/>
        <n v="1580" u="1"/>
        <n v="4020" u="1"/>
        <n v="500" u="1"/>
        <n v="1600" u="1"/>
        <n v="810" u="1"/>
        <n v="3490" u="1"/>
        <n v="350" u="1"/>
        <n v="1450" u="1"/>
        <n v="2170" u="1"/>
        <n v="2550" u="1"/>
        <n v="2590" u="1"/>
        <n v="2560" u="1"/>
        <n v="1880" u="1"/>
        <n v="3340" u="1"/>
        <n v="370" u="1"/>
        <n v="2820" u="1"/>
        <n v="1920" u="1"/>
        <n v="2630" u="1"/>
        <n v="4040" u="1"/>
        <n v="3410" u="1"/>
        <n v="1670" u="1"/>
        <n v="100" u="1"/>
        <n v="1660" u="1"/>
        <n v="3420" u="1"/>
        <n v="3090" u="1"/>
        <n v="-370" u="1"/>
        <n v="2530" u="1"/>
        <n v="2370" u="1"/>
        <n v="5510" u="1"/>
        <n v="5860" u="1"/>
        <n v="240" u="1"/>
        <n v="270" u="1"/>
        <n v="260" u="1"/>
        <n v="2930" u="1"/>
        <n v="300" u="1"/>
        <n v="4440" u="1"/>
      </sharedItems>
    </cacheField>
    <cacheField name="DIAS TRABALHADOS" numFmtId="43">
      <sharedItems containsSemiMixedTypes="0" containsString="0" containsNumber="1" containsInteger="1" minValue="1" maxValue="1"/>
    </cacheField>
    <cacheField name="VL DIARIA" numFmtId="43">
      <sharedItems containsSemiMixedTypes="0" containsString="0" containsNumber="1" containsInteger="1" minValue="800" maxValue="6740" count="45">
        <n v="3640"/>
        <n v="5680"/>
        <n v="800"/>
        <n v="2480"/>
        <n v="1510"/>
        <n v="2940"/>
        <n v="4520"/>
        <n v="6480"/>
        <n v="2100"/>
        <n v="1870"/>
        <n v="1310"/>
        <n v="2200"/>
        <n v="1470"/>
        <n v="1540"/>
        <n v="1430"/>
        <n v="2130"/>
        <n v="6110"/>
        <n v="6740"/>
        <n v="1580" u="1"/>
        <n v="4020" u="1"/>
        <n v="1600" u="1"/>
        <n v="810" u="1"/>
        <n v="3490" u="1"/>
        <n v="1450" u="1"/>
        <n v="2170" u="1"/>
        <n v="2550" u="1"/>
        <n v="2590" u="1"/>
        <n v="2560" u="1"/>
        <n v="1880" u="1"/>
        <n v="3340" u="1"/>
        <n v="2820" u="1"/>
        <n v="1920" u="1"/>
        <n v="2630" u="1"/>
        <n v="4040" u="1"/>
        <n v="3410" u="1"/>
        <n v="1670" u="1"/>
        <n v="1660" u="1"/>
        <n v="3420" u="1"/>
        <n v="3090" u="1"/>
        <n v="2530" u="1"/>
        <n v="2370" u="1"/>
        <n v="5510" u="1"/>
        <n v="5860" u="1"/>
        <n v="2930" u="1"/>
        <n v="4440" u="1"/>
      </sharedItems>
    </cacheField>
    <cacheField name="VL TOTAL BM" numFmtId="43">
      <sharedItems containsSemiMixedTypes="0" containsString="0" containsNumber="1" containsInteger="1" minValue="800" maxValue="6740"/>
    </cacheField>
  </cacheFields>
  <extLst>
    <ext xmlns:x14="http://schemas.microsoft.com/office/spreadsheetml/2009/9/main" uri="{725AE2AE-9491-48be-B2B4-4EB974FC3084}">
      <x14:pivotCacheDefinition pivotCacheId="65157547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0.456305208332" createdVersion="8" refreshedVersion="8" minRefreshableVersion="3" recordCount="30" xr:uid="{D49CA5CB-CA4B-491C-BF34-2943C984961E}">
  <cacheSource type="worksheet">
    <worksheetSource ref="B7:M37" sheet="BANCO DADOS"/>
  </cacheSource>
  <cacheFields count="12">
    <cacheField name="ATIVO FIXO" numFmtId="49">
      <sharedItems count="1">
        <s v="02.010"/>
      </sharedItems>
    </cacheField>
    <cacheField name="DESCRIÇÃO DO EQUIPAMENTO" numFmtId="0">
      <sharedItems count="1">
        <s v="PLATAFORMA IVECO POTY PIN 0D5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3">
      <sharedItems containsNonDate="0" containsString="0" containsBlank="1"/>
    </cacheField>
    <cacheField name="KM/HORA FIM" numFmtId="3">
      <sharedItems containsNonDate="0" containsString="0" containsBlank="1"/>
    </cacheField>
    <cacheField name="TOTAL" numFmtId="41">
      <sharedItems containsSemiMixedTypes="0" containsString="0" containsNumber="1" containsInteger="1" minValue="0" maxValue="0"/>
    </cacheField>
    <cacheField name="CIDADES" numFmtId="0">
      <sharedItems containsNonDate="0" containsBlank="1" count="32">
        <m/>
        <s v="USINA \ BARRAS" u="1"/>
        <s v="BARRAS \ N. S. REMEDIOS" u="1"/>
        <s v="N. S. REMEDIOS \ BARRAS" u="1"/>
        <s v="BARRAS \ PORTO" u="1"/>
        <s v="PORTO \ PIRIPIRI" u="1"/>
        <s v="PIRIPIRI \ BARRAS" u="1"/>
        <s v="BARRAS \ JOCA MARQUES" u="1"/>
        <s v="JOCA MARQUES \ USINA" u="1"/>
        <s v="USINA \ JOAQUIM PIRES" u="1"/>
        <s v="JOAQUIM PIRES \ JARDIM DO MULATO" u="1"/>
        <s v="JARDIM DO MULATO \ LAGOA DOS COCO" u="1"/>
        <s v="LAGOA DOS COCO \ S. FRANCISCO DE ASSIS" u="1"/>
        <s v="S. FRANCISCO DE ASSIS \ NOVA SANTA RITA" u="1"/>
        <s v="NOVA SANTA RITA \ LAGOA DOS COCO" u="1"/>
        <s v="LAGOA DOS COCO \ JARDIM DO MULATO" u="1"/>
        <s v="JARDIM DO MULATO \ S. MIGUEL DO TAPUIO" u="1"/>
        <s v="S. MIGUEL DO TAPUIO \ AGUA BRANCA" u="1"/>
        <s v="AGUA BRANCA \ REGENERAÇÃO" u="1"/>
        <s v="REGENERAÇÃO \ BREJO DA ONÇA" u="1"/>
        <s v="BREJO DA ONÇA \ S. MIGUEL DO TAPUIO" u="1"/>
        <s v="S. MIGUEL DO TAPUIO \ USINA" u="1"/>
        <s v="USINA \ S. MIGUEL DO TAPUIO" u="1"/>
        <s v="S. MIGUEL DO TAPUIO \ S. MIGUEL DO TAPUIO" u="1"/>
        <s v="S. MIGUEL DO TAPUIO \ PORTO" u="1"/>
        <s v="PORTO \ USINA" u="1"/>
        <s v="USINA \ SETA" u="1"/>
        <s v="SETA \ ENGENDRA" u="1"/>
        <s v="ENGENDRA \ USINA" u="1"/>
        <s v="USINA \ PORTO" u="1"/>
        <s v="PORTO \ PORTO" u="1"/>
        <s v="PORTO \ ESTREITO" u="1"/>
      </sharedItems>
    </cacheField>
    <cacheField name="DESTINO" numFmtId="0">
      <sharedItems containsNonDate="0" containsString="0" containsBlank="1"/>
    </cacheField>
    <cacheField name="VL LOC." numFmtId="43">
      <sharedItems containsSemiMixedTypes="0" containsString="0" containsNumber="1" containsInteger="1" minValue="0" maxValue="0"/>
    </cacheField>
    <cacheField name="DIAS TRABALHADOS" numFmtId="43">
      <sharedItems containsSemiMixedTypes="0" containsString="0" containsNumber="1" containsInteger="1" minValue="1" maxValue="1"/>
    </cacheField>
    <cacheField name="VL DIARIA" numFmtId="43">
      <sharedItems containsSemiMixedTypes="0" containsString="0" containsNumber="1" containsInteger="1" minValue="800" maxValue="800"/>
    </cacheField>
    <cacheField name="VL TOTAL BM" numFmtId="43">
      <sharedItems containsSemiMixedTypes="0" containsString="0" containsNumber="1" containsInteger="1" minValue="80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0.458271875003" createdVersion="8" refreshedVersion="8" minRefreshableVersion="3" recordCount="30" xr:uid="{51226A40-606E-4387-A219-D1ABDE296526}">
  <cacheSource type="worksheet">
    <worksheetSource ref="B41:M71" sheet="BANCO DADOS"/>
  </cacheSource>
  <cacheFields count="12">
    <cacheField name="ATIVO FIXO" numFmtId="49">
      <sharedItems count="1">
        <s v="06.021"/>
      </sharedItems>
    </cacheField>
    <cacheField name="DESCRIÇÃO DO EQUIPAMENTO" numFmtId="0">
      <sharedItems count="1">
        <s v="CAVALO WV METEOR 29530 CHASSIS RR201566 - O.S TERRA PL SNR1G98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3">
      <sharedItems containsNonDate="0" containsString="0" containsBlank="1"/>
    </cacheField>
    <cacheField name="KM/HORA FIM" numFmtId="3">
      <sharedItems containsNonDate="0" containsString="0" containsBlank="1"/>
    </cacheField>
    <cacheField name="TOTAL" numFmtId="41">
      <sharedItems containsNonDate="0" containsString="0" containsBlank="1"/>
    </cacheField>
    <cacheField name="CIDADES" numFmtId="0">
      <sharedItems containsNonDate="0" containsBlank="1" count="5">
        <m/>
        <s v="USINA \ PIRIPIRI" u="1"/>
        <s v="PIRIPIRI \ CADOZ" u="1"/>
        <s v="CADOZ \ PIRIPIRI" u="1"/>
        <s v="CADOZ \ USINA" u="1"/>
      </sharedItems>
    </cacheField>
    <cacheField name="DESTINO" numFmtId="0">
      <sharedItems containsNonDate="0" containsString="0" containsBlank="1"/>
    </cacheField>
    <cacheField name="VL LOC." numFmtId="43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VL DIARIA" numFmtId="43">
      <sharedItems containsSemiMixedTypes="0" containsString="0" containsNumber="1" containsInteger="1" minValue="800" maxValue="800"/>
    </cacheField>
    <cacheField name="VL TOTAL BM" numFmtId="43">
      <sharedItems containsSemiMixedTypes="0" containsString="0" containsNumber="1" containsInteger="1" minValue="80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253368"/>
    <n v="253732"/>
    <n v="364"/>
    <x v="0"/>
    <s v="CADOZ"/>
    <x v="0"/>
    <n v="1"/>
    <x v="0"/>
    <n v="3640"/>
  </r>
  <r>
    <x v="0"/>
    <x v="0"/>
    <x v="1"/>
    <n v="253732"/>
    <n v="254300"/>
    <n v="568"/>
    <x v="1"/>
    <s v="FLORIANO"/>
    <x v="1"/>
    <n v="1"/>
    <x v="1"/>
    <n v="5680"/>
  </r>
  <r>
    <x v="0"/>
    <x v="0"/>
    <x v="2"/>
    <n v="254300"/>
    <n v="254311"/>
    <n v="11"/>
    <x v="2"/>
    <s v="FLORIANO"/>
    <x v="2"/>
    <n v="1"/>
    <x v="2"/>
    <n v="800"/>
  </r>
  <r>
    <x v="0"/>
    <x v="0"/>
    <x v="2"/>
    <n v="254311"/>
    <n v="254324"/>
    <n v="13"/>
    <x v="2"/>
    <s v="FLORIANO"/>
    <x v="3"/>
    <n v="1"/>
    <x v="2"/>
    <n v="800"/>
  </r>
  <r>
    <x v="0"/>
    <x v="0"/>
    <x v="2"/>
    <n v="254324"/>
    <n v="254335"/>
    <n v="11"/>
    <x v="2"/>
    <s v="FLORIANO"/>
    <x v="2"/>
    <n v="1"/>
    <x v="2"/>
    <n v="800"/>
  </r>
  <r>
    <x v="0"/>
    <x v="0"/>
    <x v="2"/>
    <n v="254335"/>
    <n v="254583"/>
    <n v="248"/>
    <x v="3"/>
    <s v="USINA TERESINA"/>
    <x v="4"/>
    <n v="1"/>
    <x v="3"/>
    <n v="2480"/>
  </r>
  <r>
    <x v="0"/>
    <x v="0"/>
    <x v="2"/>
    <n v="254583"/>
    <n v="254734"/>
    <n v="151"/>
    <x v="4"/>
    <s v="PORTO"/>
    <x v="5"/>
    <n v="1"/>
    <x v="4"/>
    <n v="1510"/>
  </r>
  <r>
    <x v="0"/>
    <x v="0"/>
    <x v="3"/>
    <n v="254734"/>
    <n v="255028"/>
    <n v="294"/>
    <x v="5"/>
    <s v="AMARANTE"/>
    <x v="6"/>
    <n v="1"/>
    <x v="5"/>
    <n v="2940"/>
  </r>
  <r>
    <x v="0"/>
    <x v="0"/>
    <x v="4"/>
    <n v="255028"/>
    <n v="255480"/>
    <n v="452"/>
    <x v="6"/>
    <s v="LAGOA DO BARRO"/>
    <x v="7"/>
    <n v="1"/>
    <x v="6"/>
    <n v="4520"/>
  </r>
  <r>
    <x v="0"/>
    <x v="0"/>
    <x v="4"/>
    <n v="255480"/>
    <n v="256128"/>
    <n v="648"/>
    <x v="7"/>
    <s v="USINA TERESINA"/>
    <x v="8"/>
    <n v="1"/>
    <x v="7"/>
    <n v="6480"/>
  </r>
  <r>
    <x v="0"/>
    <x v="0"/>
    <x v="5"/>
    <n v="256128"/>
    <n v="256338"/>
    <n v="210"/>
    <x v="4"/>
    <s v="PORTO"/>
    <x v="9"/>
    <n v="1"/>
    <x v="8"/>
    <n v="2100"/>
  </r>
  <r>
    <x v="0"/>
    <x v="0"/>
    <x v="5"/>
    <n v="256338"/>
    <n v="256525"/>
    <n v="187"/>
    <x v="8"/>
    <s v="COCAL DE TELHA"/>
    <x v="10"/>
    <n v="1"/>
    <x v="9"/>
    <n v="1870"/>
  </r>
  <r>
    <x v="0"/>
    <x v="0"/>
    <x v="6"/>
    <n v="256525"/>
    <n v="256656"/>
    <n v="131"/>
    <x v="9"/>
    <s v="USINA TERESINA"/>
    <x v="11"/>
    <n v="1"/>
    <x v="10"/>
    <n v="1310"/>
  </r>
  <r>
    <x v="0"/>
    <x v="0"/>
    <x v="7"/>
    <n v="256656"/>
    <n v="256876"/>
    <n v="220"/>
    <x v="10"/>
    <s v="ESPERANTINA"/>
    <x v="12"/>
    <n v="1"/>
    <x v="11"/>
    <n v="2200"/>
  </r>
  <r>
    <x v="0"/>
    <x v="0"/>
    <x v="8"/>
    <n v="256876"/>
    <n v="257023"/>
    <n v="147"/>
    <x v="11"/>
    <s v="PORTO"/>
    <x v="13"/>
    <n v="1"/>
    <x v="12"/>
    <n v="1470"/>
  </r>
  <r>
    <x v="0"/>
    <x v="0"/>
    <x v="8"/>
    <n v="257023"/>
    <n v="257177"/>
    <n v="154"/>
    <x v="12"/>
    <s v="ESPERANTINA"/>
    <x v="14"/>
    <n v="1"/>
    <x v="13"/>
    <n v="1540"/>
  </r>
  <r>
    <x v="0"/>
    <x v="0"/>
    <x v="8"/>
    <n v="257177"/>
    <n v="257320"/>
    <n v="143"/>
    <x v="11"/>
    <s v="PORTO"/>
    <x v="15"/>
    <n v="1"/>
    <x v="14"/>
    <n v="1430"/>
  </r>
  <r>
    <x v="0"/>
    <x v="0"/>
    <x v="9"/>
    <n v="257320"/>
    <n v="257533"/>
    <n v="213"/>
    <x v="13"/>
    <s v="USINA TERESINA"/>
    <x v="16"/>
    <n v="1"/>
    <x v="15"/>
    <n v="2130"/>
  </r>
  <r>
    <x v="0"/>
    <x v="0"/>
    <x v="9"/>
    <n v="257542"/>
    <n v="258153"/>
    <n v="611"/>
    <x v="14"/>
    <s v="USINA TERESINA"/>
    <x v="17"/>
    <n v="1"/>
    <x v="16"/>
    <n v="6110"/>
  </r>
  <r>
    <x v="0"/>
    <x v="0"/>
    <x v="9"/>
    <n v="258153"/>
    <n v="258827"/>
    <n v="674"/>
    <x v="15"/>
    <s v="LAGOA DO BARRO"/>
    <x v="18"/>
    <n v="1"/>
    <x v="17"/>
    <n v="6740"/>
  </r>
  <r>
    <x v="0"/>
    <x v="0"/>
    <x v="10"/>
    <n v="258827"/>
    <n v="258897"/>
    <n v="70"/>
    <x v="16"/>
    <s v="COIVARAS"/>
    <x v="19"/>
    <n v="1"/>
    <x v="2"/>
    <n v="800"/>
  </r>
  <r>
    <x v="0"/>
    <x v="0"/>
    <x v="11"/>
    <n v="258897"/>
    <n v="258949"/>
    <n v="52"/>
    <x v="17"/>
    <s v="TERESINA"/>
    <x v="20"/>
    <n v="1"/>
    <x v="2"/>
    <n v="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m/>
    <n v="0"/>
    <n v="1"/>
    <n v="800"/>
    <n v="800"/>
  </r>
  <r>
    <x v="0"/>
    <x v="0"/>
    <d v="2026-04-02T00:00:00"/>
    <m/>
    <m/>
    <n v="0"/>
    <x v="0"/>
    <m/>
    <n v="0"/>
    <n v="1"/>
    <n v="800"/>
    <n v="800"/>
  </r>
  <r>
    <x v="0"/>
    <x v="0"/>
    <d v="2026-04-03T00:00:00"/>
    <m/>
    <m/>
    <n v="0"/>
    <x v="0"/>
    <m/>
    <n v="0"/>
    <n v="1"/>
    <n v="800"/>
    <n v="800"/>
  </r>
  <r>
    <x v="0"/>
    <x v="0"/>
    <d v="2026-04-04T00:00:00"/>
    <m/>
    <m/>
    <n v="0"/>
    <x v="0"/>
    <m/>
    <n v="0"/>
    <n v="1"/>
    <n v="800"/>
    <n v="800"/>
  </r>
  <r>
    <x v="0"/>
    <x v="0"/>
    <d v="2026-04-05T00:00:00"/>
    <m/>
    <m/>
    <n v="0"/>
    <x v="0"/>
    <m/>
    <n v="0"/>
    <n v="1"/>
    <n v="800"/>
    <n v="800"/>
  </r>
  <r>
    <x v="0"/>
    <x v="0"/>
    <d v="2026-04-06T00:00:00"/>
    <m/>
    <m/>
    <n v="0"/>
    <x v="0"/>
    <m/>
    <n v="0"/>
    <n v="1"/>
    <n v="800"/>
    <n v="800"/>
  </r>
  <r>
    <x v="0"/>
    <x v="0"/>
    <d v="2026-04-07T00:00:00"/>
    <m/>
    <m/>
    <n v="0"/>
    <x v="0"/>
    <m/>
    <n v="0"/>
    <n v="1"/>
    <n v="800"/>
    <n v="800"/>
  </r>
  <r>
    <x v="0"/>
    <x v="0"/>
    <d v="2026-04-08T00:00:00"/>
    <m/>
    <m/>
    <n v="0"/>
    <x v="0"/>
    <m/>
    <n v="0"/>
    <n v="1"/>
    <n v="800"/>
    <n v="800"/>
  </r>
  <r>
    <x v="0"/>
    <x v="0"/>
    <d v="2026-04-09T00:00:00"/>
    <m/>
    <m/>
    <n v="0"/>
    <x v="0"/>
    <m/>
    <n v="0"/>
    <n v="1"/>
    <n v="800"/>
    <n v="800"/>
  </r>
  <r>
    <x v="0"/>
    <x v="0"/>
    <d v="2026-04-10T00:00:00"/>
    <m/>
    <m/>
    <n v="0"/>
    <x v="0"/>
    <m/>
    <n v="0"/>
    <n v="1"/>
    <n v="800"/>
    <n v="800"/>
  </r>
  <r>
    <x v="0"/>
    <x v="0"/>
    <d v="2026-04-11T00:00:00"/>
    <m/>
    <m/>
    <n v="0"/>
    <x v="0"/>
    <m/>
    <n v="0"/>
    <n v="1"/>
    <n v="800"/>
    <n v="800"/>
  </r>
  <r>
    <x v="0"/>
    <x v="0"/>
    <d v="2026-04-12T00:00:00"/>
    <m/>
    <m/>
    <n v="0"/>
    <x v="0"/>
    <m/>
    <n v="0"/>
    <n v="1"/>
    <n v="800"/>
    <n v="800"/>
  </r>
  <r>
    <x v="0"/>
    <x v="0"/>
    <d v="2026-04-13T00:00:00"/>
    <m/>
    <m/>
    <n v="0"/>
    <x v="0"/>
    <m/>
    <n v="0"/>
    <n v="1"/>
    <n v="800"/>
    <n v="800"/>
  </r>
  <r>
    <x v="0"/>
    <x v="0"/>
    <d v="2026-04-14T00:00:00"/>
    <m/>
    <m/>
    <n v="0"/>
    <x v="0"/>
    <m/>
    <n v="0"/>
    <n v="1"/>
    <n v="800"/>
    <n v="800"/>
  </r>
  <r>
    <x v="0"/>
    <x v="0"/>
    <d v="2026-04-15T00:00:00"/>
    <m/>
    <m/>
    <n v="0"/>
    <x v="0"/>
    <m/>
    <n v="0"/>
    <n v="1"/>
    <n v="800"/>
    <n v="800"/>
  </r>
  <r>
    <x v="0"/>
    <x v="0"/>
    <d v="2026-04-16T00:00:00"/>
    <m/>
    <m/>
    <n v="0"/>
    <x v="0"/>
    <m/>
    <n v="0"/>
    <n v="1"/>
    <n v="800"/>
    <n v="800"/>
  </r>
  <r>
    <x v="0"/>
    <x v="0"/>
    <d v="2026-04-17T00:00:00"/>
    <m/>
    <m/>
    <n v="0"/>
    <x v="0"/>
    <m/>
    <n v="0"/>
    <n v="1"/>
    <n v="800"/>
    <n v="800"/>
  </r>
  <r>
    <x v="0"/>
    <x v="0"/>
    <d v="2026-04-18T00:00:00"/>
    <m/>
    <m/>
    <n v="0"/>
    <x v="0"/>
    <m/>
    <n v="0"/>
    <n v="1"/>
    <n v="800"/>
    <n v="800"/>
  </r>
  <r>
    <x v="0"/>
    <x v="0"/>
    <d v="2026-04-19T00:00:00"/>
    <m/>
    <m/>
    <n v="0"/>
    <x v="0"/>
    <m/>
    <n v="0"/>
    <n v="1"/>
    <n v="800"/>
    <n v="800"/>
  </r>
  <r>
    <x v="0"/>
    <x v="0"/>
    <d v="2026-04-20T00:00:00"/>
    <m/>
    <m/>
    <n v="0"/>
    <x v="0"/>
    <m/>
    <n v="0"/>
    <n v="1"/>
    <n v="800"/>
    <n v="800"/>
  </r>
  <r>
    <x v="0"/>
    <x v="0"/>
    <d v="2026-04-21T00:00:00"/>
    <m/>
    <m/>
    <n v="0"/>
    <x v="0"/>
    <m/>
    <n v="0"/>
    <n v="1"/>
    <n v="800"/>
    <n v="800"/>
  </r>
  <r>
    <x v="0"/>
    <x v="0"/>
    <d v="2026-04-22T00:00:00"/>
    <m/>
    <m/>
    <n v="0"/>
    <x v="0"/>
    <m/>
    <n v="0"/>
    <n v="1"/>
    <n v="800"/>
    <n v="800"/>
  </r>
  <r>
    <x v="0"/>
    <x v="0"/>
    <d v="2026-04-23T00:00:00"/>
    <m/>
    <m/>
    <n v="0"/>
    <x v="0"/>
    <m/>
    <n v="0"/>
    <n v="1"/>
    <n v="800"/>
    <n v="800"/>
  </r>
  <r>
    <x v="0"/>
    <x v="0"/>
    <d v="2026-04-24T00:00:00"/>
    <m/>
    <m/>
    <n v="0"/>
    <x v="0"/>
    <m/>
    <n v="0"/>
    <n v="1"/>
    <n v="800"/>
    <n v="800"/>
  </r>
  <r>
    <x v="0"/>
    <x v="0"/>
    <d v="2026-04-25T00:00:00"/>
    <m/>
    <m/>
    <n v="0"/>
    <x v="0"/>
    <m/>
    <n v="0"/>
    <n v="1"/>
    <n v="800"/>
    <n v="800"/>
  </r>
  <r>
    <x v="0"/>
    <x v="0"/>
    <d v="2026-04-26T00:00:00"/>
    <m/>
    <m/>
    <n v="0"/>
    <x v="0"/>
    <m/>
    <n v="0"/>
    <n v="1"/>
    <n v="800"/>
    <n v="800"/>
  </r>
  <r>
    <x v="0"/>
    <x v="0"/>
    <d v="2026-04-27T00:00:00"/>
    <m/>
    <m/>
    <n v="0"/>
    <x v="0"/>
    <m/>
    <n v="0"/>
    <n v="1"/>
    <n v="800"/>
    <n v="800"/>
  </r>
  <r>
    <x v="0"/>
    <x v="0"/>
    <d v="2026-04-28T00:00:00"/>
    <m/>
    <m/>
    <n v="0"/>
    <x v="0"/>
    <m/>
    <n v="0"/>
    <n v="1"/>
    <n v="800"/>
    <n v="800"/>
  </r>
  <r>
    <x v="0"/>
    <x v="0"/>
    <d v="2026-04-29T00:00:00"/>
    <m/>
    <m/>
    <n v="0"/>
    <x v="0"/>
    <m/>
    <n v="0"/>
    <n v="1"/>
    <n v="800"/>
    <n v="800"/>
  </r>
  <r>
    <x v="0"/>
    <x v="0"/>
    <d v="2026-04-30T00:00:00"/>
    <m/>
    <m/>
    <n v="0"/>
    <x v="0"/>
    <m/>
    <n v="0"/>
    <n v="1"/>
    <n v="800"/>
    <n v="8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m/>
    <m/>
    <n v="1"/>
    <n v="800"/>
    <n v="800"/>
  </r>
  <r>
    <x v="0"/>
    <x v="0"/>
    <d v="2026-04-02T00:00:00"/>
    <m/>
    <m/>
    <m/>
    <x v="0"/>
    <m/>
    <m/>
    <n v="1"/>
    <n v="800"/>
    <n v="800"/>
  </r>
  <r>
    <x v="0"/>
    <x v="0"/>
    <d v="2026-04-03T00:00:00"/>
    <m/>
    <m/>
    <m/>
    <x v="0"/>
    <m/>
    <m/>
    <n v="1"/>
    <n v="800"/>
    <n v="800"/>
  </r>
  <r>
    <x v="0"/>
    <x v="0"/>
    <d v="2026-04-04T00:00:00"/>
    <m/>
    <m/>
    <m/>
    <x v="0"/>
    <m/>
    <m/>
    <n v="1"/>
    <n v="800"/>
    <n v="800"/>
  </r>
  <r>
    <x v="0"/>
    <x v="0"/>
    <d v="2026-04-05T00:00:00"/>
    <m/>
    <m/>
    <m/>
    <x v="0"/>
    <m/>
    <m/>
    <n v="1"/>
    <n v="800"/>
    <n v="800"/>
  </r>
  <r>
    <x v="0"/>
    <x v="0"/>
    <d v="2026-04-06T00:00:00"/>
    <m/>
    <m/>
    <m/>
    <x v="0"/>
    <m/>
    <m/>
    <n v="1"/>
    <n v="800"/>
    <n v="800"/>
  </r>
  <r>
    <x v="0"/>
    <x v="0"/>
    <d v="2026-04-07T00:00:00"/>
    <m/>
    <m/>
    <m/>
    <x v="0"/>
    <m/>
    <m/>
    <n v="1"/>
    <n v="800"/>
    <n v="800"/>
  </r>
  <r>
    <x v="0"/>
    <x v="0"/>
    <d v="2026-04-08T00:00:00"/>
    <m/>
    <m/>
    <m/>
    <x v="0"/>
    <m/>
    <m/>
    <n v="1"/>
    <n v="800"/>
    <n v="800"/>
  </r>
  <r>
    <x v="0"/>
    <x v="0"/>
    <d v="2026-04-09T00:00:00"/>
    <m/>
    <m/>
    <m/>
    <x v="0"/>
    <m/>
    <m/>
    <n v="1"/>
    <n v="800"/>
    <n v="800"/>
  </r>
  <r>
    <x v="0"/>
    <x v="0"/>
    <d v="2026-04-10T00:00:00"/>
    <m/>
    <m/>
    <m/>
    <x v="0"/>
    <m/>
    <m/>
    <n v="1"/>
    <n v="800"/>
    <n v="800"/>
  </r>
  <r>
    <x v="0"/>
    <x v="0"/>
    <d v="2026-04-11T00:00:00"/>
    <m/>
    <m/>
    <m/>
    <x v="0"/>
    <m/>
    <m/>
    <n v="1"/>
    <n v="800"/>
    <n v="800"/>
  </r>
  <r>
    <x v="0"/>
    <x v="0"/>
    <d v="2026-04-12T00:00:00"/>
    <m/>
    <m/>
    <m/>
    <x v="0"/>
    <m/>
    <m/>
    <n v="1"/>
    <n v="800"/>
    <n v="800"/>
  </r>
  <r>
    <x v="0"/>
    <x v="0"/>
    <d v="2026-04-13T00:00:00"/>
    <m/>
    <m/>
    <m/>
    <x v="0"/>
    <m/>
    <m/>
    <n v="1"/>
    <n v="800"/>
    <n v="800"/>
  </r>
  <r>
    <x v="0"/>
    <x v="0"/>
    <d v="2026-04-14T00:00:00"/>
    <m/>
    <m/>
    <m/>
    <x v="0"/>
    <m/>
    <m/>
    <n v="1"/>
    <n v="800"/>
    <n v="800"/>
  </r>
  <r>
    <x v="0"/>
    <x v="0"/>
    <d v="2026-04-15T00:00:00"/>
    <m/>
    <m/>
    <m/>
    <x v="0"/>
    <m/>
    <m/>
    <n v="1"/>
    <n v="800"/>
    <n v="800"/>
  </r>
  <r>
    <x v="0"/>
    <x v="0"/>
    <d v="2026-04-16T00:00:00"/>
    <m/>
    <m/>
    <m/>
    <x v="0"/>
    <m/>
    <m/>
    <n v="1"/>
    <n v="800"/>
    <n v="800"/>
  </r>
  <r>
    <x v="0"/>
    <x v="0"/>
    <d v="2026-04-17T00:00:00"/>
    <m/>
    <m/>
    <m/>
    <x v="0"/>
    <m/>
    <m/>
    <n v="1"/>
    <n v="800"/>
    <n v="800"/>
  </r>
  <r>
    <x v="0"/>
    <x v="0"/>
    <d v="2026-04-18T00:00:00"/>
    <m/>
    <m/>
    <m/>
    <x v="0"/>
    <m/>
    <m/>
    <n v="1"/>
    <n v="800"/>
    <n v="800"/>
  </r>
  <r>
    <x v="0"/>
    <x v="0"/>
    <d v="2026-04-19T00:00:00"/>
    <m/>
    <m/>
    <m/>
    <x v="0"/>
    <m/>
    <m/>
    <n v="1"/>
    <n v="800"/>
    <n v="800"/>
  </r>
  <r>
    <x v="0"/>
    <x v="0"/>
    <d v="2026-04-20T00:00:00"/>
    <m/>
    <m/>
    <m/>
    <x v="0"/>
    <m/>
    <m/>
    <n v="1"/>
    <n v="800"/>
    <n v="800"/>
  </r>
  <r>
    <x v="0"/>
    <x v="0"/>
    <d v="2026-04-21T00:00:00"/>
    <m/>
    <m/>
    <m/>
    <x v="0"/>
    <m/>
    <m/>
    <n v="1"/>
    <n v="800"/>
    <n v="800"/>
  </r>
  <r>
    <x v="0"/>
    <x v="0"/>
    <d v="2026-04-22T00:00:00"/>
    <m/>
    <m/>
    <m/>
    <x v="0"/>
    <m/>
    <m/>
    <n v="1"/>
    <n v="800"/>
    <n v="800"/>
  </r>
  <r>
    <x v="0"/>
    <x v="0"/>
    <d v="2026-04-23T00:00:00"/>
    <m/>
    <m/>
    <m/>
    <x v="0"/>
    <m/>
    <m/>
    <n v="1"/>
    <n v="800"/>
    <n v="800"/>
  </r>
  <r>
    <x v="0"/>
    <x v="0"/>
    <d v="2026-04-24T00:00:00"/>
    <m/>
    <m/>
    <m/>
    <x v="0"/>
    <m/>
    <m/>
    <n v="1"/>
    <n v="800"/>
    <n v="800"/>
  </r>
  <r>
    <x v="0"/>
    <x v="0"/>
    <d v="2026-04-25T00:00:00"/>
    <m/>
    <m/>
    <m/>
    <x v="0"/>
    <m/>
    <m/>
    <n v="1"/>
    <n v="800"/>
    <n v="800"/>
  </r>
  <r>
    <x v="0"/>
    <x v="0"/>
    <d v="2026-04-26T00:00:00"/>
    <m/>
    <m/>
    <m/>
    <x v="0"/>
    <m/>
    <m/>
    <n v="1"/>
    <n v="800"/>
    <n v="800"/>
  </r>
  <r>
    <x v="0"/>
    <x v="0"/>
    <d v="2026-04-27T00:00:00"/>
    <m/>
    <m/>
    <m/>
    <x v="0"/>
    <m/>
    <m/>
    <n v="1"/>
    <n v="800"/>
    <n v="800"/>
  </r>
  <r>
    <x v="0"/>
    <x v="0"/>
    <d v="2026-04-28T00:00:00"/>
    <m/>
    <m/>
    <m/>
    <x v="0"/>
    <m/>
    <m/>
    <n v="1"/>
    <n v="800"/>
    <n v="800"/>
  </r>
  <r>
    <x v="0"/>
    <x v="0"/>
    <d v="2026-04-29T00:00:00"/>
    <m/>
    <m/>
    <m/>
    <x v="0"/>
    <m/>
    <m/>
    <n v="1"/>
    <n v="800"/>
    <n v="800"/>
  </r>
  <r>
    <x v="0"/>
    <x v="0"/>
    <d v="2026-04-30T00:00:00"/>
    <m/>
    <m/>
    <m/>
    <x v="0"/>
    <m/>
    <m/>
    <n v="1"/>
    <n v="800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BB806-88E6-4A66-BF0D-F41DD8C9D67F}" name="Tabela dinâ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6" firstHeaderRow="0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2">
        <item sd="0" x="0"/>
        <item t="default"/>
      </items>
    </pivotField>
    <pivotField axis="axisRow" numFmtId="14" showAll="0">
      <items count="3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  <pivotField dataField="1" numFmtId="41" showAll="0"/>
    <pivotField showAll="0"/>
    <pivotField showAll="0"/>
    <pivotField axis="axisRow" showAll="0">
      <items count="60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1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9"/>
        <item x="14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20"/>
        <item t="default"/>
      </items>
    </pivotField>
    <pivotField dataField="1" showAll="0"/>
    <pivotField axis="axisRow" showAll="0">
      <items count="46">
        <item x="2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14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x="13"/>
        <item m="1" x="40"/>
        <item m="1" x="41"/>
        <item m="1" x="42"/>
        <item m="1" x="43"/>
        <item m="1" x="4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t="default"/>
      </items>
    </pivotField>
    <pivotField dataField="1" showAll="0"/>
  </pivotFields>
  <rowFields count="5">
    <field x="0"/>
    <field x="1"/>
    <field x="2"/>
    <field x="8"/>
    <field x="10"/>
  </rowFields>
  <rowItems count="3">
    <i>
      <x/>
    </i>
    <i r="1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KM/HORA INIC" fld="3" baseField="0" baseItem="0" numFmtId="3"/>
    <dataField name="Soma de KM/HORA FIM" fld="4" baseField="0" baseItem="0" numFmtId="3"/>
    <dataField name="Soma de TOTAL" fld="5" baseField="0" baseItem="0" numFmtId="41"/>
    <dataField name="Soma de DIAS TRABALHADOS" fld="9" baseField="0" baseItem="0"/>
    <dataField name="Soma de VL TOTAL B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5D2E4-886B-4310-BBC1-B83E65E62C91}" name="Tabela dinâmica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5" firstHeaderRow="0" firstDataRow="1" firstDataCol="3"/>
  <pivotFields count="12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32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IAGENS" fld="9" baseField="6" baseItem="0"/>
    <dataField name="VL. TOTAL BM" fld="11" baseField="6" baseItem="0" numFmtId="44"/>
  </dataFields>
  <formats count="15">
    <format dxfId="122">
      <pivotArea outline="0" fieldPosition="0">
        <references count="1">
          <reference field="4294967294" count="1" selected="0">
            <x v="1"/>
          </reference>
        </references>
      </pivotArea>
    </format>
    <format dxfId="121">
      <pivotArea field="1" type="button" dataOnly="0" labelOnly="1" outline="0" axis="axisRow" fieldPosition="1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9">
      <pivotArea field="1" type="button" dataOnly="0" labelOnly="1" outline="0" axis="axisRow" fieldPosition="1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">
      <pivotArea outline="0" fieldPosition="0">
        <references count="1">
          <reference field="4294967294" count="1" selected="0">
            <x v="0"/>
          </reference>
        </references>
      </pivotArea>
    </format>
    <format dxfId="115">
      <pivotArea outline="0" collapsedLevelsAreSubtotals="1" fieldPosition="0"/>
    </format>
    <format dxfId="114">
      <pivotArea dataOnly="0" labelOnly="1" outline="0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1">
      <pivotArea outline="0" collapsedLevelsAreSubtotals="1" fieldPosition="0"/>
    </format>
    <format dxfId="110">
      <pivotArea dataOnly="0" labelOnly="1" outline="0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86218-6EED-4A45-A94C-2D70D55613E2}" name="Tabela dinâ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5" firstHeaderRow="0" firstDataRow="1" firstDataCol="3"/>
  <pivotFields count="12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5">
        <item m="1" x="3"/>
        <item m="1" x="4"/>
        <item m="1" x="2"/>
        <item m="1" x="1"/>
        <item x="0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IAGENS" fld="9" baseField="6" baseItem="0"/>
    <dataField name="VL. TOTAL BM" fld="11" baseField="6" baseItem="0" numFmtId="44"/>
  </dataFields>
  <formats count="15">
    <format dxfId="107">
      <pivotArea outline="0" fieldPosition="0">
        <references count="1">
          <reference field="4294967294" count="1" selected="0">
            <x v="1"/>
          </reference>
        </references>
      </pivotArea>
    </format>
    <format dxfId="106">
      <pivotArea field="1" type="button" dataOnly="0" labelOnly="1" outline="0" axis="axisRow" fieldPosition="1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field="1" type="button" dataOnly="0" labelOnly="1" outline="0" axis="axisRow" fieldPosition="1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1">
      <pivotArea outline="0" fieldPosition="0">
        <references count="1">
          <reference field="4294967294" count="1" selected="0">
            <x v="0"/>
          </reference>
        </references>
      </pivotArea>
    </format>
    <format dxfId="100">
      <pivotArea outline="0" collapsedLevelsAreSubtotals="1" fieldPosition="0"/>
    </format>
    <format dxfId="99">
      <pivotArea dataOnly="0" labelOnly="1" outline="0" fieldPosition="0">
        <references count="1">
          <reference field="0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6">
      <pivotArea outline="0" collapsedLevelsAreSubtotals="1" fieldPosition="0"/>
    </format>
    <format dxfId="95">
      <pivotArea dataOnly="0" labelOnly="1" outline="0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49CD0-8246-47A3-92B4-AA77AD6AD5AA}" name="Tabela dinâ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22" firstHeaderRow="0" firstDataRow="1" firstDataCol="3"/>
  <pivotFields count="12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numFmtId="3" outline="0" subtotalTop="0" showAll="0" defaultSubtotal="0"/>
    <pivotField compact="0" numFmtId="3" outline="0" subtotalTop="0" showAll="0" defaultSubtotal="0"/>
    <pivotField compact="0" outline="0" showAll="0" defaultSubtotal="0"/>
    <pivotField axis="axisRow" compact="0" outline="0" subtotalTop="0" showAll="0" defaultSubtotal="0">
      <items count="54">
        <item m="1" x="21"/>
        <item m="1" x="48"/>
        <item m="1" x="45"/>
        <item m="1" x="32"/>
        <item x="1"/>
        <item m="1" x="39"/>
        <item m="1" x="22"/>
        <item m="1" x="44"/>
        <item m="1" x="50"/>
        <item x="2"/>
        <item m="1" x="51"/>
        <item m="1" x="46"/>
        <item m="1" x="27"/>
        <item m="1" x="20"/>
        <item m="1" x="31"/>
        <item m="1" x="30"/>
        <item m="1" x="34"/>
        <item m="1" x="52"/>
        <item m="1" x="43"/>
        <item m="1" x="35"/>
        <item m="1" x="41"/>
        <item m="1" x="37"/>
        <item m="1" x="29"/>
        <item m="1" x="36"/>
        <item m="1" x="47"/>
        <item m="1" x="24"/>
        <item m="1" x="26"/>
        <item m="1" x="23"/>
        <item m="1" x="25"/>
        <item m="1" x="53"/>
        <item m="1" x="19"/>
        <item m="1" x="40"/>
        <item m="1" x="38"/>
        <item m="1" x="49"/>
        <item m="1" x="33"/>
        <item m="1" x="42"/>
        <item m="1" x="28"/>
        <item m="1" x="18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</pivotFields>
  <rowFields count="3">
    <field x="0"/>
    <field x="1"/>
    <field x="6"/>
  </rowFields>
  <rowItems count="19">
    <i>
      <x/>
      <x/>
      <x v="4"/>
    </i>
    <i r="2">
      <x v="9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t="grand">
      <x/>
    </i>
  </rowItems>
  <colFields count="1">
    <field x="-2"/>
  </colFields>
  <colItems count="2">
    <i>
      <x/>
    </i>
    <i i="1">
      <x v="1"/>
    </i>
  </colItems>
  <dataFields count="2">
    <dataField name="VIAGENS" fld="9" baseField="0" baseItem="0"/>
    <dataField name="VL. TOTAL BM" fld="11" baseField="6" baseItem="0" numFmtId="44"/>
  </dataFields>
  <formats count="14">
    <format dxfId="92">
      <pivotArea outline="0" fieldPosition="0">
        <references count="1">
          <reference field="4294967294" count="1" selected="0">
            <x v="1"/>
          </reference>
        </references>
      </pivotArea>
    </format>
    <format dxfId="91">
      <pivotArea field="1" type="button" dataOnly="0" labelOnly="1" outline="0" axis="axisRow" fieldPosition="1"/>
    </format>
    <format dxfId="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9">
      <pivotArea field="1" type="button" dataOnly="0" labelOnly="1" outline="0" axis="axisRow" fieldPosition="1"/>
    </format>
    <format dxfId="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7">
      <pivotArea outline="0" collapsedLevelsAreSubtotals="1" fieldPosition="0"/>
    </format>
    <format dxfId="86">
      <pivotArea dataOnly="0" labelOnly="1" outline="0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0" dT="2026-03-17T13:54:55.47" personId="{1DF1AD9D-1CD4-467A-B1B3-E9F6E232A706}" id="{FA0F76B8-DCD4-4E73-AEEF-2BB4172092C5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075F-4702-4586-9318-FE6C6E4D06F2}">
  <dimension ref="A3:F6"/>
  <sheetViews>
    <sheetView workbookViewId="0">
      <selection activeCell="A11" sqref="A11"/>
    </sheetView>
  </sheetViews>
  <sheetFormatPr defaultRowHeight="15" x14ac:dyDescent="0.25"/>
  <cols>
    <col min="1" max="1" width="55.85546875" bestFit="1" customWidth="1"/>
    <col min="2" max="2" width="22.5703125" bestFit="1" customWidth="1"/>
    <col min="3" max="3" width="22.28515625" bestFit="1" customWidth="1"/>
    <col min="4" max="4" width="14.7109375" bestFit="1" customWidth="1"/>
    <col min="5" max="5" width="27.140625" bestFit="1" customWidth="1"/>
    <col min="6" max="7" width="20.85546875" bestFit="1" customWidth="1"/>
  </cols>
  <sheetData>
    <row r="3" spans="1:6" x14ac:dyDescent="0.25">
      <c r="A3" s="21" t="s">
        <v>29</v>
      </c>
      <c r="B3" t="s">
        <v>30</v>
      </c>
      <c r="C3" t="s">
        <v>31</v>
      </c>
      <c r="D3" t="s">
        <v>32</v>
      </c>
      <c r="E3" t="s">
        <v>13</v>
      </c>
      <c r="F3" t="s">
        <v>33</v>
      </c>
    </row>
    <row r="4" spans="1:6" x14ac:dyDescent="0.25">
      <c r="A4" s="34" t="s">
        <v>19</v>
      </c>
      <c r="B4" s="36">
        <v>5631657</v>
      </c>
      <c r="C4" s="36">
        <v>5637229</v>
      </c>
      <c r="D4" s="37">
        <v>5572</v>
      </c>
      <c r="E4" s="52">
        <v>22</v>
      </c>
      <c r="F4" s="52">
        <v>58150</v>
      </c>
    </row>
    <row r="5" spans="1:6" x14ac:dyDescent="0.25">
      <c r="A5" s="35" t="s">
        <v>20</v>
      </c>
      <c r="B5" s="36">
        <v>5631657</v>
      </c>
      <c r="C5" s="36">
        <v>5637229</v>
      </c>
      <c r="D5" s="37">
        <v>5572</v>
      </c>
      <c r="E5" s="52">
        <v>22</v>
      </c>
      <c r="F5" s="52">
        <v>58150</v>
      </c>
    </row>
    <row r="6" spans="1:6" x14ac:dyDescent="0.25">
      <c r="A6" s="34" t="s">
        <v>15</v>
      </c>
      <c r="B6" s="36">
        <v>5631657</v>
      </c>
      <c r="C6" s="36">
        <v>5637229</v>
      </c>
      <c r="D6" s="37">
        <v>5572</v>
      </c>
      <c r="E6" s="52">
        <v>22</v>
      </c>
      <c r="F6" s="52">
        <v>58150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theme="5" tint="0.39997558519241921"/>
  </sheetPr>
  <dimension ref="B1:M98"/>
  <sheetViews>
    <sheetView topLeftCell="A59" zoomScale="60" zoomScaleNormal="60" workbookViewId="0">
      <selection activeCell="G80" sqref="G80"/>
    </sheetView>
  </sheetViews>
  <sheetFormatPr defaultRowHeight="15" outlineLevelRow="1" x14ac:dyDescent="0.25"/>
  <cols>
    <col min="1" max="1" width="4.42578125" customWidth="1"/>
    <col min="2" max="2" width="11.28515625" style="13" customWidth="1"/>
    <col min="3" max="3" width="74.42578125" customWidth="1"/>
    <col min="4" max="4" width="13.140625" bestFit="1" customWidth="1"/>
    <col min="5" max="5" width="19" style="2" customWidth="1"/>
    <col min="6" max="6" width="21.42578125" style="2" customWidth="1"/>
    <col min="7" max="7" width="17.28515625" style="2" customWidth="1"/>
    <col min="8" max="8" width="49.42578125" customWidth="1"/>
    <col min="9" max="9" width="31.5703125" customWidth="1"/>
    <col min="10" max="10" width="14.42578125" customWidth="1"/>
    <col min="11" max="11" width="22.28515625" style="2" customWidth="1"/>
    <col min="12" max="12" width="14.7109375" style="2" bestFit="1" customWidth="1"/>
    <col min="13" max="13" width="15.7109375" customWidth="1"/>
  </cols>
  <sheetData>
    <row r="1" spans="2:13" ht="14.45" customHeight="1" x14ac:dyDescent="0.25">
      <c r="B1" s="42" t="s">
        <v>23</v>
      </c>
      <c r="C1" s="43"/>
      <c r="D1" s="43"/>
      <c r="E1" s="43"/>
      <c r="F1" s="43"/>
      <c r="G1" s="43"/>
      <c r="H1" s="43"/>
      <c r="I1" s="43"/>
      <c r="J1" s="43"/>
      <c r="K1" s="43"/>
      <c r="L1" s="48"/>
      <c r="M1" s="48"/>
    </row>
    <row r="2" spans="2:13" ht="14.45" customHeight="1" x14ac:dyDescent="0.25">
      <c r="B2" s="44"/>
      <c r="C2" s="45"/>
      <c r="D2" s="45"/>
      <c r="E2" s="45"/>
      <c r="F2" s="45"/>
      <c r="G2" s="45"/>
      <c r="H2" s="45"/>
      <c r="I2" s="45"/>
      <c r="J2" s="45"/>
      <c r="K2" s="45"/>
      <c r="L2" s="49"/>
      <c r="M2" s="49"/>
    </row>
    <row r="3" spans="2:13" ht="14.45" customHeight="1" x14ac:dyDescent="0.25">
      <c r="B3" s="46"/>
      <c r="C3" s="47"/>
      <c r="D3" s="47"/>
      <c r="E3" s="47"/>
      <c r="F3" s="47"/>
      <c r="G3" s="47"/>
      <c r="H3" s="47"/>
      <c r="I3" s="47"/>
      <c r="J3" s="47"/>
      <c r="K3" s="47"/>
      <c r="L3" s="50"/>
      <c r="M3" s="50"/>
    </row>
    <row r="4" spans="2:13" ht="41.25" customHeight="1" x14ac:dyDescent="0.25">
      <c r="B4" s="51" t="s">
        <v>39</v>
      </c>
      <c r="C4" s="51"/>
      <c r="D4" s="51"/>
      <c r="E4" s="51"/>
      <c r="F4" s="51"/>
      <c r="G4" s="51"/>
      <c r="H4" s="51"/>
      <c r="I4" s="51"/>
      <c r="J4" s="51"/>
      <c r="K4" s="51"/>
      <c r="L4" s="23"/>
      <c r="M4" s="23"/>
    </row>
    <row r="6" spans="2:13" x14ac:dyDescent="0.25">
      <c r="B6" s="31" t="s">
        <v>17</v>
      </c>
      <c r="C6" s="32" t="s">
        <v>18</v>
      </c>
      <c r="D6" s="3"/>
      <c r="E6" s="4"/>
      <c r="F6" s="4"/>
      <c r="G6" s="4"/>
      <c r="H6" s="3"/>
      <c r="I6" s="3"/>
      <c r="J6" s="3"/>
      <c r="K6" s="4"/>
      <c r="L6" s="16" t="s">
        <v>2</v>
      </c>
      <c r="M6" s="38"/>
    </row>
    <row r="7" spans="2:13" x14ac:dyDescent="0.25">
      <c r="B7" s="11" t="s">
        <v>0</v>
      </c>
      <c r="C7" s="5" t="s">
        <v>1</v>
      </c>
      <c r="D7" s="5" t="s">
        <v>3</v>
      </c>
      <c r="E7" s="6" t="s">
        <v>4</v>
      </c>
      <c r="F7" s="6" t="s">
        <v>5</v>
      </c>
      <c r="G7" s="6" t="s">
        <v>6</v>
      </c>
      <c r="H7" s="5" t="s">
        <v>34</v>
      </c>
      <c r="I7" s="5" t="s">
        <v>24</v>
      </c>
      <c r="J7" s="6" t="s">
        <v>7</v>
      </c>
      <c r="K7" s="6" t="s">
        <v>8</v>
      </c>
      <c r="L7" s="6" t="s">
        <v>9</v>
      </c>
      <c r="M7" s="6" t="s">
        <v>10</v>
      </c>
    </row>
    <row r="8" spans="2:13" outlineLevel="1" x14ac:dyDescent="0.25">
      <c r="B8" s="12" t="s">
        <v>17</v>
      </c>
      <c r="C8" s="7" t="str">
        <f>C$6</f>
        <v>PLATAFORMA IVECO POTY PIN 0D51</v>
      </c>
      <c r="D8" s="8">
        <v>46113</v>
      </c>
      <c r="E8" s="30"/>
      <c r="F8" s="30"/>
      <c r="G8" s="29">
        <f>F8-E8</f>
        <v>0</v>
      </c>
      <c r="H8" s="15"/>
      <c r="I8" s="15"/>
      <c r="J8" s="10">
        <f>G8*10</f>
        <v>0</v>
      </c>
      <c r="K8" s="14">
        <v>1</v>
      </c>
      <c r="L8" s="9">
        <f>IF(J8&lt;800,800,J8)</f>
        <v>800</v>
      </c>
      <c r="M8" s="10">
        <f>L8</f>
        <v>800</v>
      </c>
    </row>
    <row r="9" spans="2:13" outlineLevel="1" x14ac:dyDescent="0.25">
      <c r="B9" s="12" t="s">
        <v>17</v>
      </c>
      <c r="C9" s="7" t="str">
        <f t="shared" ref="C9:C37" si="0">C$6</f>
        <v>PLATAFORMA IVECO POTY PIN 0D51</v>
      </c>
      <c r="D9" s="8">
        <v>46114</v>
      </c>
      <c r="E9" s="30"/>
      <c r="F9" s="30"/>
      <c r="G9" s="29">
        <f t="shared" ref="G9:G37" si="1">F9-E9</f>
        <v>0</v>
      </c>
      <c r="H9" s="15"/>
      <c r="I9" s="15"/>
      <c r="J9" s="10">
        <f t="shared" ref="J9:J37" si="2">G9*10</f>
        <v>0</v>
      </c>
      <c r="K9" s="14">
        <v>1</v>
      </c>
      <c r="L9" s="9">
        <f>IF(J9&lt;800,800,J9)</f>
        <v>800</v>
      </c>
      <c r="M9" s="10">
        <f t="shared" ref="M9:M37" si="3">L9</f>
        <v>800</v>
      </c>
    </row>
    <row r="10" spans="2:13" outlineLevel="1" x14ac:dyDescent="0.25">
      <c r="B10" s="12" t="s">
        <v>17</v>
      </c>
      <c r="C10" s="7" t="str">
        <f t="shared" si="0"/>
        <v>PLATAFORMA IVECO POTY PIN 0D51</v>
      </c>
      <c r="D10" s="8">
        <v>46115</v>
      </c>
      <c r="E10" s="30"/>
      <c r="F10" s="30"/>
      <c r="G10" s="29">
        <f t="shared" si="1"/>
        <v>0</v>
      </c>
      <c r="H10" s="15"/>
      <c r="I10" s="15"/>
      <c r="J10" s="10">
        <f t="shared" si="2"/>
        <v>0</v>
      </c>
      <c r="K10" s="14">
        <v>1</v>
      </c>
      <c r="L10" s="9">
        <f>IF(J10&lt;800,800,J10)</f>
        <v>800</v>
      </c>
      <c r="M10" s="10">
        <f t="shared" si="3"/>
        <v>800</v>
      </c>
    </row>
    <row r="11" spans="2:13" outlineLevel="1" x14ac:dyDescent="0.25">
      <c r="B11" s="12" t="s">
        <v>17</v>
      </c>
      <c r="C11" s="7" t="str">
        <f t="shared" si="0"/>
        <v>PLATAFORMA IVECO POTY PIN 0D51</v>
      </c>
      <c r="D11" s="8">
        <v>46116</v>
      </c>
      <c r="E11" s="30"/>
      <c r="F11" s="30"/>
      <c r="G11" s="29">
        <f t="shared" si="1"/>
        <v>0</v>
      </c>
      <c r="H11" s="15"/>
      <c r="I11" s="15"/>
      <c r="J11" s="10">
        <f t="shared" si="2"/>
        <v>0</v>
      </c>
      <c r="K11" s="14">
        <v>1</v>
      </c>
      <c r="L11" s="9">
        <f>IF(J11&lt;800,800,J11)</f>
        <v>800</v>
      </c>
      <c r="M11" s="10">
        <f t="shared" si="3"/>
        <v>800</v>
      </c>
    </row>
    <row r="12" spans="2:13" outlineLevel="1" x14ac:dyDescent="0.25">
      <c r="B12" s="12" t="s">
        <v>17</v>
      </c>
      <c r="C12" s="7" t="str">
        <f t="shared" si="0"/>
        <v>PLATAFORMA IVECO POTY PIN 0D51</v>
      </c>
      <c r="D12" s="8">
        <v>46117</v>
      </c>
      <c r="E12" s="30"/>
      <c r="F12" s="30"/>
      <c r="G12" s="29">
        <f t="shared" si="1"/>
        <v>0</v>
      </c>
      <c r="H12" s="15"/>
      <c r="I12" s="15"/>
      <c r="J12" s="10">
        <f t="shared" si="2"/>
        <v>0</v>
      </c>
      <c r="K12" s="14">
        <v>1</v>
      </c>
      <c r="L12" s="9">
        <f>IF(J12&lt;800,800,J12)</f>
        <v>800</v>
      </c>
      <c r="M12" s="10">
        <f t="shared" si="3"/>
        <v>800</v>
      </c>
    </row>
    <row r="13" spans="2:13" outlineLevel="1" x14ac:dyDescent="0.25">
      <c r="B13" s="12" t="s">
        <v>17</v>
      </c>
      <c r="C13" s="7" t="str">
        <f t="shared" si="0"/>
        <v>PLATAFORMA IVECO POTY PIN 0D51</v>
      </c>
      <c r="D13" s="8">
        <v>46118</v>
      </c>
      <c r="E13" s="30"/>
      <c r="F13" s="30"/>
      <c r="G13" s="29">
        <f t="shared" si="1"/>
        <v>0</v>
      </c>
      <c r="H13" s="15"/>
      <c r="I13" s="15"/>
      <c r="J13" s="10">
        <f t="shared" si="2"/>
        <v>0</v>
      </c>
      <c r="K13" s="14">
        <v>1</v>
      </c>
      <c r="L13" s="9">
        <f>IF(J13&lt;800,800,J13)</f>
        <v>800</v>
      </c>
      <c r="M13" s="10">
        <f t="shared" si="3"/>
        <v>800</v>
      </c>
    </row>
    <row r="14" spans="2:13" outlineLevel="1" x14ac:dyDescent="0.25">
      <c r="B14" s="12" t="s">
        <v>17</v>
      </c>
      <c r="C14" s="7" t="str">
        <f t="shared" si="0"/>
        <v>PLATAFORMA IVECO POTY PIN 0D51</v>
      </c>
      <c r="D14" s="8">
        <v>46119</v>
      </c>
      <c r="E14" s="30"/>
      <c r="F14" s="30"/>
      <c r="G14" s="29">
        <f t="shared" si="1"/>
        <v>0</v>
      </c>
      <c r="H14" s="15"/>
      <c r="I14" s="15"/>
      <c r="J14" s="10">
        <f t="shared" si="2"/>
        <v>0</v>
      </c>
      <c r="K14" s="14">
        <v>1</v>
      </c>
      <c r="L14" s="9">
        <f>IF(J14&lt;800,800,J14)</f>
        <v>800</v>
      </c>
      <c r="M14" s="10">
        <f t="shared" si="3"/>
        <v>800</v>
      </c>
    </row>
    <row r="15" spans="2:13" outlineLevel="1" x14ac:dyDescent="0.25">
      <c r="B15" s="12" t="s">
        <v>17</v>
      </c>
      <c r="C15" s="7" t="str">
        <f t="shared" si="0"/>
        <v>PLATAFORMA IVECO POTY PIN 0D51</v>
      </c>
      <c r="D15" s="8">
        <v>46120</v>
      </c>
      <c r="E15" s="30"/>
      <c r="F15" s="30"/>
      <c r="G15" s="29">
        <f t="shared" si="1"/>
        <v>0</v>
      </c>
      <c r="H15" s="15"/>
      <c r="I15" s="15"/>
      <c r="J15" s="10">
        <f t="shared" si="2"/>
        <v>0</v>
      </c>
      <c r="K15" s="14">
        <v>1</v>
      </c>
      <c r="L15" s="9">
        <f>IF(J15&lt;800,800,J15)</f>
        <v>800</v>
      </c>
      <c r="M15" s="10">
        <f t="shared" si="3"/>
        <v>800</v>
      </c>
    </row>
    <row r="16" spans="2:13" outlineLevel="1" x14ac:dyDescent="0.25">
      <c r="B16" s="12" t="s">
        <v>17</v>
      </c>
      <c r="C16" s="7" t="str">
        <f t="shared" si="0"/>
        <v>PLATAFORMA IVECO POTY PIN 0D51</v>
      </c>
      <c r="D16" s="8">
        <v>46121</v>
      </c>
      <c r="E16" s="30"/>
      <c r="F16" s="30"/>
      <c r="G16" s="29">
        <f t="shared" si="1"/>
        <v>0</v>
      </c>
      <c r="H16" s="15"/>
      <c r="I16" s="15"/>
      <c r="J16" s="10">
        <f t="shared" si="2"/>
        <v>0</v>
      </c>
      <c r="K16" s="14">
        <v>1</v>
      </c>
      <c r="L16" s="9">
        <f>IF(J16&lt;800,800,J16)</f>
        <v>800</v>
      </c>
      <c r="M16" s="10">
        <f t="shared" si="3"/>
        <v>800</v>
      </c>
    </row>
    <row r="17" spans="2:13" outlineLevel="1" x14ac:dyDescent="0.25">
      <c r="B17" s="12" t="s">
        <v>17</v>
      </c>
      <c r="C17" s="7" t="str">
        <f t="shared" si="0"/>
        <v>PLATAFORMA IVECO POTY PIN 0D51</v>
      </c>
      <c r="D17" s="8">
        <v>46122</v>
      </c>
      <c r="E17" s="30"/>
      <c r="F17" s="30"/>
      <c r="G17" s="29">
        <f t="shared" si="1"/>
        <v>0</v>
      </c>
      <c r="H17" s="15"/>
      <c r="I17" s="15"/>
      <c r="J17" s="10">
        <f t="shared" si="2"/>
        <v>0</v>
      </c>
      <c r="K17" s="14">
        <v>1</v>
      </c>
      <c r="L17" s="9">
        <f>IF(J17&lt;800,800,J17)</f>
        <v>800</v>
      </c>
      <c r="M17" s="10">
        <f t="shared" si="3"/>
        <v>800</v>
      </c>
    </row>
    <row r="18" spans="2:13" outlineLevel="1" x14ac:dyDescent="0.25">
      <c r="B18" s="12" t="s">
        <v>17</v>
      </c>
      <c r="C18" s="7" t="str">
        <f t="shared" si="0"/>
        <v>PLATAFORMA IVECO POTY PIN 0D51</v>
      </c>
      <c r="D18" s="8">
        <v>46123</v>
      </c>
      <c r="E18" s="30"/>
      <c r="F18" s="30"/>
      <c r="G18" s="29">
        <f t="shared" si="1"/>
        <v>0</v>
      </c>
      <c r="H18" s="15"/>
      <c r="I18" s="15"/>
      <c r="J18" s="10">
        <f t="shared" si="2"/>
        <v>0</v>
      </c>
      <c r="K18" s="14">
        <v>1</v>
      </c>
      <c r="L18" s="9">
        <f>IF(J18&lt;800,800,J18)</f>
        <v>800</v>
      </c>
      <c r="M18" s="10">
        <f t="shared" si="3"/>
        <v>800</v>
      </c>
    </row>
    <row r="19" spans="2:13" outlineLevel="1" x14ac:dyDescent="0.25">
      <c r="B19" s="12" t="s">
        <v>17</v>
      </c>
      <c r="C19" s="7" t="str">
        <f t="shared" si="0"/>
        <v>PLATAFORMA IVECO POTY PIN 0D51</v>
      </c>
      <c r="D19" s="8">
        <v>46124</v>
      </c>
      <c r="E19" s="30"/>
      <c r="F19" s="30"/>
      <c r="G19" s="29">
        <f t="shared" si="1"/>
        <v>0</v>
      </c>
      <c r="H19" s="15"/>
      <c r="I19" s="15"/>
      <c r="J19" s="10">
        <f t="shared" si="2"/>
        <v>0</v>
      </c>
      <c r="K19" s="14">
        <v>1</v>
      </c>
      <c r="L19" s="9">
        <f>IF(J19&lt;800,800,J19)</f>
        <v>800</v>
      </c>
      <c r="M19" s="10">
        <f t="shared" si="3"/>
        <v>800</v>
      </c>
    </row>
    <row r="20" spans="2:13" outlineLevel="1" x14ac:dyDescent="0.25">
      <c r="B20" s="12" t="s">
        <v>17</v>
      </c>
      <c r="C20" s="7" t="str">
        <f t="shared" si="0"/>
        <v>PLATAFORMA IVECO POTY PIN 0D51</v>
      </c>
      <c r="D20" s="8">
        <v>46125</v>
      </c>
      <c r="E20" s="30"/>
      <c r="F20" s="30"/>
      <c r="G20" s="29">
        <f t="shared" si="1"/>
        <v>0</v>
      </c>
      <c r="H20" s="15"/>
      <c r="I20" s="15"/>
      <c r="J20" s="10">
        <f t="shared" si="2"/>
        <v>0</v>
      </c>
      <c r="K20" s="14">
        <v>1</v>
      </c>
      <c r="L20" s="9">
        <f>IF(J20&lt;800,800,J20)</f>
        <v>800</v>
      </c>
      <c r="M20" s="10">
        <f t="shared" si="3"/>
        <v>800</v>
      </c>
    </row>
    <row r="21" spans="2:13" outlineLevel="1" x14ac:dyDescent="0.25">
      <c r="B21" s="12" t="s">
        <v>17</v>
      </c>
      <c r="C21" s="7" t="str">
        <f t="shared" si="0"/>
        <v>PLATAFORMA IVECO POTY PIN 0D51</v>
      </c>
      <c r="D21" s="8">
        <v>46126</v>
      </c>
      <c r="E21" s="30"/>
      <c r="F21" s="30"/>
      <c r="G21" s="29">
        <f t="shared" si="1"/>
        <v>0</v>
      </c>
      <c r="H21" s="15"/>
      <c r="I21" s="15"/>
      <c r="J21" s="10">
        <f t="shared" si="2"/>
        <v>0</v>
      </c>
      <c r="K21" s="14">
        <v>1</v>
      </c>
      <c r="L21" s="9">
        <f>IF(J21&lt;800,800,J21)</f>
        <v>800</v>
      </c>
      <c r="M21" s="10">
        <f t="shared" si="3"/>
        <v>800</v>
      </c>
    </row>
    <row r="22" spans="2:13" outlineLevel="1" x14ac:dyDescent="0.25">
      <c r="B22" s="12" t="s">
        <v>17</v>
      </c>
      <c r="C22" s="7" t="str">
        <f t="shared" si="0"/>
        <v>PLATAFORMA IVECO POTY PIN 0D51</v>
      </c>
      <c r="D22" s="8">
        <v>46127</v>
      </c>
      <c r="E22" s="30"/>
      <c r="F22" s="30"/>
      <c r="G22" s="29">
        <f t="shared" si="1"/>
        <v>0</v>
      </c>
      <c r="H22" s="15"/>
      <c r="I22" s="15"/>
      <c r="J22" s="10">
        <f t="shared" si="2"/>
        <v>0</v>
      </c>
      <c r="K22" s="14">
        <v>1</v>
      </c>
      <c r="L22" s="9">
        <f>IF(J22&lt;800,800,J22)</f>
        <v>800</v>
      </c>
      <c r="M22" s="10">
        <f t="shared" si="3"/>
        <v>800</v>
      </c>
    </row>
    <row r="23" spans="2:13" outlineLevel="1" x14ac:dyDescent="0.25">
      <c r="B23" s="12" t="s">
        <v>17</v>
      </c>
      <c r="C23" s="7" t="str">
        <f t="shared" si="0"/>
        <v>PLATAFORMA IVECO POTY PIN 0D51</v>
      </c>
      <c r="D23" s="8">
        <v>46128</v>
      </c>
      <c r="E23" s="30"/>
      <c r="F23" s="30"/>
      <c r="G23" s="29">
        <f t="shared" si="1"/>
        <v>0</v>
      </c>
      <c r="H23" s="15"/>
      <c r="I23" s="15"/>
      <c r="J23" s="10">
        <f t="shared" si="2"/>
        <v>0</v>
      </c>
      <c r="K23" s="14">
        <v>1</v>
      </c>
      <c r="L23" s="9">
        <f>IF(J23&lt;800,800,J23)</f>
        <v>800</v>
      </c>
      <c r="M23" s="10">
        <f t="shared" si="3"/>
        <v>800</v>
      </c>
    </row>
    <row r="24" spans="2:13" outlineLevel="1" x14ac:dyDescent="0.25">
      <c r="B24" s="12" t="s">
        <v>17</v>
      </c>
      <c r="C24" s="7" t="str">
        <f t="shared" si="0"/>
        <v>PLATAFORMA IVECO POTY PIN 0D51</v>
      </c>
      <c r="D24" s="8">
        <v>46129</v>
      </c>
      <c r="E24" s="30"/>
      <c r="F24" s="30"/>
      <c r="G24" s="29">
        <f t="shared" si="1"/>
        <v>0</v>
      </c>
      <c r="H24" s="15"/>
      <c r="I24" s="15"/>
      <c r="J24" s="10">
        <f t="shared" si="2"/>
        <v>0</v>
      </c>
      <c r="K24" s="14">
        <v>1</v>
      </c>
      <c r="L24" s="9">
        <f>IF(J24&lt;800,800,J24)</f>
        <v>800</v>
      </c>
      <c r="M24" s="10">
        <f t="shared" si="3"/>
        <v>800</v>
      </c>
    </row>
    <row r="25" spans="2:13" outlineLevel="1" x14ac:dyDescent="0.25">
      <c r="B25" s="12" t="s">
        <v>17</v>
      </c>
      <c r="C25" s="7" t="str">
        <f t="shared" si="0"/>
        <v>PLATAFORMA IVECO POTY PIN 0D51</v>
      </c>
      <c r="D25" s="8">
        <v>46130</v>
      </c>
      <c r="E25" s="30"/>
      <c r="F25" s="30"/>
      <c r="G25" s="29">
        <f t="shared" si="1"/>
        <v>0</v>
      </c>
      <c r="H25" s="15"/>
      <c r="I25" s="15"/>
      <c r="J25" s="10">
        <f t="shared" si="2"/>
        <v>0</v>
      </c>
      <c r="K25" s="14">
        <v>1</v>
      </c>
      <c r="L25" s="9">
        <f>IF(J25&lt;800,800,J25)</f>
        <v>800</v>
      </c>
      <c r="M25" s="10">
        <f t="shared" si="3"/>
        <v>800</v>
      </c>
    </row>
    <row r="26" spans="2:13" outlineLevel="1" x14ac:dyDescent="0.25">
      <c r="B26" s="12" t="s">
        <v>17</v>
      </c>
      <c r="C26" s="7" t="str">
        <f t="shared" si="0"/>
        <v>PLATAFORMA IVECO POTY PIN 0D51</v>
      </c>
      <c r="D26" s="8">
        <v>46131</v>
      </c>
      <c r="E26" s="30"/>
      <c r="F26" s="30"/>
      <c r="G26" s="29">
        <f t="shared" si="1"/>
        <v>0</v>
      </c>
      <c r="H26" s="15"/>
      <c r="I26" s="15"/>
      <c r="J26" s="10">
        <f t="shared" si="2"/>
        <v>0</v>
      </c>
      <c r="K26" s="14">
        <v>1</v>
      </c>
      <c r="L26" s="9">
        <f>IF(J26&lt;800,800,J26)</f>
        <v>800</v>
      </c>
      <c r="M26" s="10">
        <f t="shared" si="3"/>
        <v>800</v>
      </c>
    </row>
    <row r="27" spans="2:13" outlineLevel="1" x14ac:dyDescent="0.25">
      <c r="B27" s="12" t="s">
        <v>17</v>
      </c>
      <c r="C27" s="7" t="str">
        <f t="shared" si="0"/>
        <v>PLATAFORMA IVECO POTY PIN 0D51</v>
      </c>
      <c r="D27" s="8">
        <v>46132</v>
      </c>
      <c r="E27" s="30"/>
      <c r="F27" s="30"/>
      <c r="G27" s="29">
        <f t="shared" si="1"/>
        <v>0</v>
      </c>
      <c r="H27" s="15"/>
      <c r="I27" s="15"/>
      <c r="J27" s="10">
        <f t="shared" si="2"/>
        <v>0</v>
      </c>
      <c r="K27" s="14">
        <v>1</v>
      </c>
      <c r="L27" s="9">
        <f>IF(J27&lt;800,800,J27)</f>
        <v>800</v>
      </c>
      <c r="M27" s="10">
        <f t="shared" si="3"/>
        <v>800</v>
      </c>
    </row>
    <row r="28" spans="2:13" outlineLevel="1" x14ac:dyDescent="0.25">
      <c r="B28" s="12" t="s">
        <v>17</v>
      </c>
      <c r="C28" s="7" t="str">
        <f t="shared" si="0"/>
        <v>PLATAFORMA IVECO POTY PIN 0D51</v>
      </c>
      <c r="D28" s="8">
        <v>46133</v>
      </c>
      <c r="E28" s="30"/>
      <c r="F28" s="30"/>
      <c r="G28" s="29">
        <f t="shared" si="1"/>
        <v>0</v>
      </c>
      <c r="H28" s="15"/>
      <c r="I28" s="15"/>
      <c r="J28" s="10">
        <f t="shared" si="2"/>
        <v>0</v>
      </c>
      <c r="K28" s="14">
        <v>1</v>
      </c>
      <c r="L28" s="9">
        <f>IF(J28&lt;800,800,J28)</f>
        <v>800</v>
      </c>
      <c r="M28" s="10">
        <f t="shared" si="3"/>
        <v>800</v>
      </c>
    </row>
    <row r="29" spans="2:13" outlineLevel="1" x14ac:dyDescent="0.25">
      <c r="B29" s="12" t="s">
        <v>17</v>
      </c>
      <c r="C29" s="7" t="str">
        <f t="shared" si="0"/>
        <v>PLATAFORMA IVECO POTY PIN 0D51</v>
      </c>
      <c r="D29" s="8">
        <v>46134</v>
      </c>
      <c r="E29" s="30"/>
      <c r="F29" s="30"/>
      <c r="G29" s="29">
        <f t="shared" si="1"/>
        <v>0</v>
      </c>
      <c r="H29" s="15"/>
      <c r="I29" s="15"/>
      <c r="J29" s="10">
        <f t="shared" si="2"/>
        <v>0</v>
      </c>
      <c r="K29" s="14">
        <v>1</v>
      </c>
      <c r="L29" s="9">
        <f>IF(J29&lt;800,800,J29)</f>
        <v>800</v>
      </c>
      <c r="M29" s="10">
        <f t="shared" si="3"/>
        <v>800</v>
      </c>
    </row>
    <row r="30" spans="2:13" outlineLevel="1" x14ac:dyDescent="0.25">
      <c r="B30" s="12" t="s">
        <v>17</v>
      </c>
      <c r="C30" s="7" t="str">
        <f t="shared" si="0"/>
        <v>PLATAFORMA IVECO POTY PIN 0D51</v>
      </c>
      <c r="D30" s="8">
        <v>46135</v>
      </c>
      <c r="E30" s="30"/>
      <c r="F30" s="30"/>
      <c r="G30" s="29">
        <f t="shared" si="1"/>
        <v>0</v>
      </c>
      <c r="H30" s="15"/>
      <c r="I30" s="15"/>
      <c r="J30" s="10">
        <f t="shared" si="2"/>
        <v>0</v>
      </c>
      <c r="K30" s="14">
        <v>1</v>
      </c>
      <c r="L30" s="9">
        <f>IF(J30&lt;800,800,J30)</f>
        <v>800</v>
      </c>
      <c r="M30" s="10">
        <f t="shared" si="3"/>
        <v>800</v>
      </c>
    </row>
    <row r="31" spans="2:13" outlineLevel="1" x14ac:dyDescent="0.25">
      <c r="B31" s="12" t="s">
        <v>17</v>
      </c>
      <c r="C31" s="7" t="str">
        <f t="shared" si="0"/>
        <v>PLATAFORMA IVECO POTY PIN 0D51</v>
      </c>
      <c r="D31" s="8">
        <v>46136</v>
      </c>
      <c r="E31" s="30"/>
      <c r="F31" s="30"/>
      <c r="G31" s="29">
        <f t="shared" si="1"/>
        <v>0</v>
      </c>
      <c r="H31" s="15"/>
      <c r="I31" s="15"/>
      <c r="J31" s="10">
        <f t="shared" si="2"/>
        <v>0</v>
      </c>
      <c r="K31" s="14">
        <v>1</v>
      </c>
      <c r="L31" s="9">
        <f>IF(J31&lt;800,800,J31)</f>
        <v>800</v>
      </c>
      <c r="M31" s="10">
        <f t="shared" si="3"/>
        <v>800</v>
      </c>
    </row>
    <row r="32" spans="2:13" outlineLevel="1" x14ac:dyDescent="0.25">
      <c r="B32" s="12" t="s">
        <v>17</v>
      </c>
      <c r="C32" s="7" t="str">
        <f t="shared" si="0"/>
        <v>PLATAFORMA IVECO POTY PIN 0D51</v>
      </c>
      <c r="D32" s="8">
        <v>46137</v>
      </c>
      <c r="E32" s="30"/>
      <c r="F32" s="30"/>
      <c r="G32" s="29">
        <f t="shared" si="1"/>
        <v>0</v>
      </c>
      <c r="H32" s="15"/>
      <c r="I32" s="15"/>
      <c r="J32" s="10">
        <f t="shared" si="2"/>
        <v>0</v>
      </c>
      <c r="K32" s="14">
        <v>1</v>
      </c>
      <c r="L32" s="9">
        <f>IF(J32&lt;800,800,J32)</f>
        <v>800</v>
      </c>
      <c r="M32" s="10">
        <f t="shared" si="3"/>
        <v>800</v>
      </c>
    </row>
    <row r="33" spans="2:13" outlineLevel="1" x14ac:dyDescent="0.25">
      <c r="B33" s="12" t="s">
        <v>17</v>
      </c>
      <c r="C33" s="7" t="str">
        <f t="shared" si="0"/>
        <v>PLATAFORMA IVECO POTY PIN 0D51</v>
      </c>
      <c r="D33" s="8">
        <v>46138</v>
      </c>
      <c r="E33" s="30"/>
      <c r="F33" s="30"/>
      <c r="G33" s="29">
        <f t="shared" si="1"/>
        <v>0</v>
      </c>
      <c r="H33" s="15"/>
      <c r="I33" s="15"/>
      <c r="J33" s="10">
        <f t="shared" si="2"/>
        <v>0</v>
      </c>
      <c r="K33" s="14">
        <v>1</v>
      </c>
      <c r="L33" s="9">
        <f>IF(J33&lt;800,800,J33)</f>
        <v>800</v>
      </c>
      <c r="M33" s="10">
        <f t="shared" si="3"/>
        <v>800</v>
      </c>
    </row>
    <row r="34" spans="2:13" outlineLevel="1" x14ac:dyDescent="0.25">
      <c r="B34" s="12" t="s">
        <v>17</v>
      </c>
      <c r="C34" s="7" t="str">
        <f t="shared" si="0"/>
        <v>PLATAFORMA IVECO POTY PIN 0D51</v>
      </c>
      <c r="D34" s="8">
        <v>46139</v>
      </c>
      <c r="E34" s="30"/>
      <c r="F34" s="30"/>
      <c r="G34" s="29">
        <f t="shared" si="1"/>
        <v>0</v>
      </c>
      <c r="H34" s="15"/>
      <c r="I34" s="15"/>
      <c r="J34" s="10">
        <f t="shared" si="2"/>
        <v>0</v>
      </c>
      <c r="K34" s="14">
        <v>1</v>
      </c>
      <c r="L34" s="9">
        <f>IF(J34&lt;800,800,J34)</f>
        <v>800</v>
      </c>
      <c r="M34" s="10">
        <f t="shared" si="3"/>
        <v>800</v>
      </c>
    </row>
    <row r="35" spans="2:13" outlineLevel="1" x14ac:dyDescent="0.25">
      <c r="B35" s="12" t="s">
        <v>17</v>
      </c>
      <c r="C35" s="7" t="str">
        <f t="shared" si="0"/>
        <v>PLATAFORMA IVECO POTY PIN 0D51</v>
      </c>
      <c r="D35" s="8">
        <v>46140</v>
      </c>
      <c r="E35" s="30"/>
      <c r="F35" s="30"/>
      <c r="G35" s="29">
        <f t="shared" si="1"/>
        <v>0</v>
      </c>
      <c r="H35" s="15"/>
      <c r="I35" s="15"/>
      <c r="J35" s="10">
        <f t="shared" si="2"/>
        <v>0</v>
      </c>
      <c r="K35" s="14">
        <v>1</v>
      </c>
      <c r="L35" s="9">
        <f>IF(J35&lt;800,800,J35)</f>
        <v>800</v>
      </c>
      <c r="M35" s="10">
        <f t="shared" si="3"/>
        <v>800</v>
      </c>
    </row>
    <row r="36" spans="2:13" outlineLevel="1" x14ac:dyDescent="0.25">
      <c r="B36" s="12" t="s">
        <v>17</v>
      </c>
      <c r="C36" s="7" t="str">
        <f t="shared" si="0"/>
        <v>PLATAFORMA IVECO POTY PIN 0D51</v>
      </c>
      <c r="D36" s="8">
        <v>46141</v>
      </c>
      <c r="E36" s="30"/>
      <c r="F36" s="30"/>
      <c r="G36" s="29">
        <f t="shared" si="1"/>
        <v>0</v>
      </c>
      <c r="H36" s="15"/>
      <c r="I36" s="15"/>
      <c r="J36" s="10">
        <f t="shared" si="2"/>
        <v>0</v>
      </c>
      <c r="K36" s="14">
        <v>1</v>
      </c>
      <c r="L36" s="9">
        <f>IF(J36&lt;800,800,J36)</f>
        <v>800</v>
      </c>
      <c r="M36" s="10">
        <f t="shared" si="3"/>
        <v>800</v>
      </c>
    </row>
    <row r="37" spans="2:13" outlineLevel="1" x14ac:dyDescent="0.25">
      <c r="B37" s="12" t="s">
        <v>17</v>
      </c>
      <c r="C37" s="7" t="str">
        <f t="shared" si="0"/>
        <v>PLATAFORMA IVECO POTY PIN 0D51</v>
      </c>
      <c r="D37" s="8">
        <v>46142</v>
      </c>
      <c r="E37" s="30"/>
      <c r="F37" s="30"/>
      <c r="G37" s="29">
        <f t="shared" si="1"/>
        <v>0</v>
      </c>
      <c r="H37" s="15"/>
      <c r="I37" s="15"/>
      <c r="J37" s="10">
        <f t="shared" si="2"/>
        <v>0</v>
      </c>
      <c r="K37" s="14">
        <v>1</v>
      </c>
      <c r="L37" s="9">
        <f>IF(J37&lt;800,800,J37)</f>
        <v>800</v>
      </c>
      <c r="M37" s="10">
        <f t="shared" si="3"/>
        <v>800</v>
      </c>
    </row>
    <row r="38" spans="2:13" x14ac:dyDescent="0.25">
      <c r="D38" s="1"/>
    </row>
    <row r="39" spans="2:13" x14ac:dyDescent="0.25">
      <c r="D39" s="1"/>
      <c r="E39" s="26"/>
      <c r="F39" s="26"/>
      <c r="G39" s="26"/>
      <c r="H39" s="27"/>
      <c r="I39" s="27"/>
      <c r="J39" s="28"/>
      <c r="K39" s="26"/>
      <c r="L39" s="24"/>
      <c r="M39" s="28"/>
    </row>
    <row r="40" spans="2:13" x14ac:dyDescent="0.25">
      <c r="B40" s="31" t="s">
        <v>21</v>
      </c>
      <c r="C40" s="32" t="s">
        <v>22</v>
      </c>
      <c r="D40" s="32"/>
      <c r="E40" s="33"/>
      <c r="F40" s="4"/>
      <c r="G40" s="4"/>
      <c r="H40" s="3"/>
      <c r="I40" s="3"/>
      <c r="J40" s="3"/>
      <c r="K40" s="4"/>
      <c r="L40" s="16" t="s">
        <v>2</v>
      </c>
      <c r="M40" s="38"/>
    </row>
    <row r="41" spans="2:13" x14ac:dyDescent="0.25">
      <c r="B41" s="11" t="s">
        <v>0</v>
      </c>
      <c r="C41" s="5" t="s">
        <v>1</v>
      </c>
      <c r="D41" s="5" t="s">
        <v>3</v>
      </c>
      <c r="E41" s="6" t="s">
        <v>4</v>
      </c>
      <c r="F41" s="6" t="s">
        <v>5</v>
      </c>
      <c r="G41" s="6" t="s">
        <v>6</v>
      </c>
      <c r="H41" s="5" t="s">
        <v>34</v>
      </c>
      <c r="I41" s="5" t="s">
        <v>24</v>
      </c>
      <c r="J41" s="6" t="s">
        <v>7</v>
      </c>
      <c r="K41" s="6" t="s">
        <v>8</v>
      </c>
      <c r="L41" s="6" t="s">
        <v>9</v>
      </c>
      <c r="M41" s="6" t="s">
        <v>10</v>
      </c>
    </row>
    <row r="42" spans="2:13" outlineLevel="1" x14ac:dyDescent="0.25">
      <c r="B42" s="12" t="s">
        <v>21</v>
      </c>
      <c r="C42" s="7" t="s">
        <v>22</v>
      </c>
      <c r="D42" s="8">
        <v>46113</v>
      </c>
      <c r="E42" s="30"/>
      <c r="F42" s="30"/>
      <c r="G42" s="29"/>
      <c r="H42" s="15"/>
      <c r="I42" s="15"/>
      <c r="J42" s="10"/>
      <c r="K42" s="14">
        <v>1</v>
      </c>
      <c r="L42" s="9">
        <f>IF(J42&lt;800,800,J42)</f>
        <v>800</v>
      </c>
      <c r="M42" s="10">
        <f>L42</f>
        <v>800</v>
      </c>
    </row>
    <row r="43" spans="2:13" outlineLevel="1" x14ac:dyDescent="0.25">
      <c r="B43" s="12" t="s">
        <v>21</v>
      </c>
      <c r="C43" s="7" t="s">
        <v>22</v>
      </c>
      <c r="D43" s="8">
        <v>46114</v>
      </c>
      <c r="E43" s="30"/>
      <c r="F43" s="30"/>
      <c r="G43" s="29"/>
      <c r="H43" s="15"/>
      <c r="I43" s="15"/>
      <c r="J43" s="10"/>
      <c r="K43" s="14">
        <v>1</v>
      </c>
      <c r="L43" s="9">
        <f t="shared" ref="L43:L71" si="4">IF(J43&lt;800,800,J43)</f>
        <v>800</v>
      </c>
      <c r="M43" s="10">
        <f t="shared" ref="M43:M71" si="5">L43</f>
        <v>800</v>
      </c>
    </row>
    <row r="44" spans="2:13" outlineLevel="1" x14ac:dyDescent="0.25">
      <c r="B44" s="12" t="s">
        <v>21</v>
      </c>
      <c r="C44" s="7" t="s">
        <v>22</v>
      </c>
      <c r="D44" s="8">
        <v>46115</v>
      </c>
      <c r="E44" s="30"/>
      <c r="F44" s="30"/>
      <c r="G44" s="29"/>
      <c r="H44" s="15"/>
      <c r="I44" s="15"/>
      <c r="J44" s="10"/>
      <c r="K44" s="14">
        <v>1</v>
      </c>
      <c r="L44" s="9">
        <f t="shared" si="4"/>
        <v>800</v>
      </c>
      <c r="M44" s="10">
        <f t="shared" si="5"/>
        <v>800</v>
      </c>
    </row>
    <row r="45" spans="2:13" outlineLevel="1" x14ac:dyDescent="0.25">
      <c r="B45" s="12" t="s">
        <v>21</v>
      </c>
      <c r="C45" s="7" t="s">
        <v>22</v>
      </c>
      <c r="D45" s="8">
        <v>46116</v>
      </c>
      <c r="E45" s="30"/>
      <c r="F45" s="30"/>
      <c r="G45" s="29"/>
      <c r="H45" s="15"/>
      <c r="I45" s="15"/>
      <c r="J45" s="10"/>
      <c r="K45" s="14">
        <v>1</v>
      </c>
      <c r="L45" s="9">
        <f t="shared" si="4"/>
        <v>800</v>
      </c>
      <c r="M45" s="10">
        <f t="shared" si="5"/>
        <v>800</v>
      </c>
    </row>
    <row r="46" spans="2:13" outlineLevel="1" x14ac:dyDescent="0.25">
      <c r="B46" s="12" t="s">
        <v>21</v>
      </c>
      <c r="C46" s="7" t="s">
        <v>22</v>
      </c>
      <c r="D46" s="8">
        <v>46117</v>
      </c>
      <c r="E46" s="30"/>
      <c r="F46" s="30"/>
      <c r="G46" s="29"/>
      <c r="H46" s="15"/>
      <c r="I46" s="15"/>
      <c r="J46" s="10"/>
      <c r="K46" s="14">
        <v>1</v>
      </c>
      <c r="L46" s="9">
        <f t="shared" si="4"/>
        <v>800</v>
      </c>
      <c r="M46" s="10">
        <f t="shared" si="5"/>
        <v>800</v>
      </c>
    </row>
    <row r="47" spans="2:13" outlineLevel="1" x14ac:dyDescent="0.25">
      <c r="B47" s="12" t="s">
        <v>21</v>
      </c>
      <c r="C47" s="7" t="s">
        <v>22</v>
      </c>
      <c r="D47" s="8">
        <v>46118</v>
      </c>
      <c r="E47" s="30"/>
      <c r="F47" s="30"/>
      <c r="G47" s="29"/>
      <c r="H47" s="15"/>
      <c r="I47" s="15"/>
      <c r="J47" s="10"/>
      <c r="K47" s="14">
        <v>1</v>
      </c>
      <c r="L47" s="9">
        <f t="shared" si="4"/>
        <v>800</v>
      </c>
      <c r="M47" s="10">
        <f t="shared" si="5"/>
        <v>800</v>
      </c>
    </row>
    <row r="48" spans="2:13" outlineLevel="1" x14ac:dyDescent="0.25">
      <c r="B48" s="12" t="s">
        <v>21</v>
      </c>
      <c r="C48" s="7" t="s">
        <v>22</v>
      </c>
      <c r="D48" s="8">
        <v>46119</v>
      </c>
      <c r="E48" s="30"/>
      <c r="F48" s="30"/>
      <c r="G48" s="29"/>
      <c r="H48" s="15"/>
      <c r="I48" s="15"/>
      <c r="J48" s="10"/>
      <c r="K48" s="14">
        <v>1</v>
      </c>
      <c r="L48" s="9">
        <f t="shared" si="4"/>
        <v>800</v>
      </c>
      <c r="M48" s="10">
        <f t="shared" si="5"/>
        <v>800</v>
      </c>
    </row>
    <row r="49" spans="2:13" outlineLevel="1" x14ac:dyDescent="0.25">
      <c r="B49" s="12" t="s">
        <v>21</v>
      </c>
      <c r="C49" s="7" t="s">
        <v>22</v>
      </c>
      <c r="D49" s="8">
        <v>46120</v>
      </c>
      <c r="E49" s="30"/>
      <c r="F49" s="30"/>
      <c r="G49" s="29"/>
      <c r="H49" s="15"/>
      <c r="I49" s="15"/>
      <c r="J49" s="10"/>
      <c r="K49" s="14">
        <v>1</v>
      </c>
      <c r="L49" s="9">
        <f t="shared" si="4"/>
        <v>800</v>
      </c>
      <c r="M49" s="10">
        <f t="shared" si="5"/>
        <v>800</v>
      </c>
    </row>
    <row r="50" spans="2:13" outlineLevel="1" x14ac:dyDescent="0.25">
      <c r="B50" s="12" t="s">
        <v>21</v>
      </c>
      <c r="C50" s="7" t="s">
        <v>22</v>
      </c>
      <c r="D50" s="8">
        <v>46121</v>
      </c>
      <c r="E50" s="30"/>
      <c r="F50" s="30"/>
      <c r="G50" s="29"/>
      <c r="H50" s="15"/>
      <c r="I50" s="15"/>
      <c r="J50" s="10"/>
      <c r="K50" s="14">
        <v>1</v>
      </c>
      <c r="L50" s="9">
        <f t="shared" si="4"/>
        <v>800</v>
      </c>
      <c r="M50" s="10">
        <f t="shared" si="5"/>
        <v>800</v>
      </c>
    </row>
    <row r="51" spans="2:13" outlineLevel="1" x14ac:dyDescent="0.25">
      <c r="B51" s="12" t="s">
        <v>21</v>
      </c>
      <c r="C51" s="7" t="s">
        <v>22</v>
      </c>
      <c r="D51" s="8">
        <v>46122</v>
      </c>
      <c r="E51" s="30"/>
      <c r="F51" s="30"/>
      <c r="G51" s="29"/>
      <c r="H51" s="15"/>
      <c r="I51" s="15"/>
      <c r="J51" s="10"/>
      <c r="K51" s="14">
        <v>1</v>
      </c>
      <c r="L51" s="9">
        <f t="shared" si="4"/>
        <v>800</v>
      </c>
      <c r="M51" s="10">
        <f t="shared" si="5"/>
        <v>800</v>
      </c>
    </row>
    <row r="52" spans="2:13" outlineLevel="1" x14ac:dyDescent="0.25">
      <c r="B52" s="12" t="s">
        <v>21</v>
      </c>
      <c r="C52" s="7" t="s">
        <v>22</v>
      </c>
      <c r="D52" s="8">
        <v>46123</v>
      </c>
      <c r="E52" s="30"/>
      <c r="F52" s="30"/>
      <c r="G52" s="29"/>
      <c r="H52" s="15"/>
      <c r="I52" s="15"/>
      <c r="J52" s="10"/>
      <c r="K52" s="14">
        <v>1</v>
      </c>
      <c r="L52" s="9">
        <f t="shared" si="4"/>
        <v>800</v>
      </c>
      <c r="M52" s="10">
        <f t="shared" si="5"/>
        <v>800</v>
      </c>
    </row>
    <row r="53" spans="2:13" outlineLevel="1" x14ac:dyDescent="0.25">
      <c r="B53" s="12" t="s">
        <v>21</v>
      </c>
      <c r="C53" s="7" t="s">
        <v>22</v>
      </c>
      <c r="D53" s="8">
        <v>46124</v>
      </c>
      <c r="E53" s="30"/>
      <c r="F53" s="30"/>
      <c r="G53" s="29"/>
      <c r="H53" s="15"/>
      <c r="I53" s="15"/>
      <c r="J53" s="10"/>
      <c r="K53" s="14">
        <v>1</v>
      </c>
      <c r="L53" s="9">
        <f t="shared" si="4"/>
        <v>800</v>
      </c>
      <c r="M53" s="10">
        <f t="shared" si="5"/>
        <v>800</v>
      </c>
    </row>
    <row r="54" spans="2:13" outlineLevel="1" x14ac:dyDescent="0.25">
      <c r="B54" s="12" t="s">
        <v>21</v>
      </c>
      <c r="C54" s="7" t="s">
        <v>22</v>
      </c>
      <c r="D54" s="8">
        <v>46125</v>
      </c>
      <c r="E54" s="30"/>
      <c r="F54" s="30"/>
      <c r="G54" s="29"/>
      <c r="H54" s="15"/>
      <c r="I54" s="15"/>
      <c r="J54" s="10"/>
      <c r="K54" s="14">
        <v>1</v>
      </c>
      <c r="L54" s="9">
        <f t="shared" si="4"/>
        <v>800</v>
      </c>
      <c r="M54" s="10">
        <f t="shared" si="5"/>
        <v>800</v>
      </c>
    </row>
    <row r="55" spans="2:13" outlineLevel="1" x14ac:dyDescent="0.25">
      <c r="B55" s="12" t="s">
        <v>21</v>
      </c>
      <c r="C55" s="7" t="s">
        <v>22</v>
      </c>
      <c r="D55" s="8">
        <v>46126</v>
      </c>
      <c r="E55" s="30"/>
      <c r="F55" s="30"/>
      <c r="G55" s="29"/>
      <c r="H55" s="15"/>
      <c r="I55" s="15"/>
      <c r="J55" s="10"/>
      <c r="K55" s="14">
        <v>1</v>
      </c>
      <c r="L55" s="9">
        <f t="shared" si="4"/>
        <v>800</v>
      </c>
      <c r="M55" s="10">
        <f t="shared" si="5"/>
        <v>800</v>
      </c>
    </row>
    <row r="56" spans="2:13" outlineLevel="1" x14ac:dyDescent="0.25">
      <c r="B56" s="12" t="s">
        <v>21</v>
      </c>
      <c r="C56" s="7" t="s">
        <v>22</v>
      </c>
      <c r="D56" s="8">
        <v>46127</v>
      </c>
      <c r="E56" s="30"/>
      <c r="F56" s="30"/>
      <c r="G56" s="29"/>
      <c r="H56" s="15"/>
      <c r="I56" s="15"/>
      <c r="J56" s="10"/>
      <c r="K56" s="14">
        <v>1</v>
      </c>
      <c r="L56" s="9">
        <f t="shared" si="4"/>
        <v>800</v>
      </c>
      <c r="M56" s="10">
        <f t="shared" si="5"/>
        <v>800</v>
      </c>
    </row>
    <row r="57" spans="2:13" outlineLevel="1" x14ac:dyDescent="0.25">
      <c r="B57" s="12" t="s">
        <v>21</v>
      </c>
      <c r="C57" s="7" t="s">
        <v>22</v>
      </c>
      <c r="D57" s="8">
        <v>46128</v>
      </c>
      <c r="E57" s="30"/>
      <c r="F57" s="30"/>
      <c r="G57" s="29"/>
      <c r="H57" s="15"/>
      <c r="I57" s="15"/>
      <c r="J57" s="10"/>
      <c r="K57" s="14">
        <v>1</v>
      </c>
      <c r="L57" s="9">
        <f t="shared" si="4"/>
        <v>800</v>
      </c>
      <c r="M57" s="10">
        <f t="shared" si="5"/>
        <v>800</v>
      </c>
    </row>
    <row r="58" spans="2:13" outlineLevel="1" x14ac:dyDescent="0.25">
      <c r="B58" s="12" t="s">
        <v>21</v>
      </c>
      <c r="C58" s="7" t="s">
        <v>22</v>
      </c>
      <c r="D58" s="8">
        <v>46129</v>
      </c>
      <c r="E58" s="30"/>
      <c r="F58" s="30"/>
      <c r="G58" s="29"/>
      <c r="H58" s="15"/>
      <c r="I58" s="15"/>
      <c r="J58" s="10"/>
      <c r="K58" s="14">
        <v>1</v>
      </c>
      <c r="L58" s="9">
        <f t="shared" si="4"/>
        <v>800</v>
      </c>
      <c r="M58" s="10">
        <f t="shared" si="5"/>
        <v>800</v>
      </c>
    </row>
    <row r="59" spans="2:13" outlineLevel="1" x14ac:dyDescent="0.25">
      <c r="B59" s="12" t="s">
        <v>21</v>
      </c>
      <c r="C59" s="7" t="s">
        <v>22</v>
      </c>
      <c r="D59" s="8">
        <v>46130</v>
      </c>
      <c r="E59" s="30"/>
      <c r="F59" s="30"/>
      <c r="G59" s="29"/>
      <c r="H59" s="15"/>
      <c r="I59" s="15"/>
      <c r="J59" s="10"/>
      <c r="K59" s="14">
        <v>1</v>
      </c>
      <c r="L59" s="9">
        <f t="shared" si="4"/>
        <v>800</v>
      </c>
      <c r="M59" s="10">
        <f t="shared" si="5"/>
        <v>800</v>
      </c>
    </row>
    <row r="60" spans="2:13" outlineLevel="1" x14ac:dyDescent="0.25">
      <c r="B60" s="12" t="s">
        <v>21</v>
      </c>
      <c r="C60" s="7" t="s">
        <v>22</v>
      </c>
      <c r="D60" s="8">
        <v>46131</v>
      </c>
      <c r="E60" s="30"/>
      <c r="F60" s="30"/>
      <c r="G60" s="29"/>
      <c r="H60" s="15"/>
      <c r="I60" s="15"/>
      <c r="J60" s="10"/>
      <c r="K60" s="14">
        <v>1</v>
      </c>
      <c r="L60" s="9">
        <f t="shared" si="4"/>
        <v>800</v>
      </c>
      <c r="M60" s="10">
        <f t="shared" si="5"/>
        <v>800</v>
      </c>
    </row>
    <row r="61" spans="2:13" outlineLevel="1" x14ac:dyDescent="0.25">
      <c r="B61" s="12" t="s">
        <v>21</v>
      </c>
      <c r="C61" s="7" t="s">
        <v>22</v>
      </c>
      <c r="D61" s="8">
        <v>46132</v>
      </c>
      <c r="E61" s="30"/>
      <c r="F61" s="30"/>
      <c r="G61" s="29"/>
      <c r="H61" s="15"/>
      <c r="I61" s="15"/>
      <c r="J61" s="10"/>
      <c r="K61" s="14">
        <v>1</v>
      </c>
      <c r="L61" s="9">
        <f t="shared" si="4"/>
        <v>800</v>
      </c>
      <c r="M61" s="10">
        <f t="shared" si="5"/>
        <v>800</v>
      </c>
    </row>
    <row r="62" spans="2:13" outlineLevel="1" x14ac:dyDescent="0.25">
      <c r="B62" s="12" t="s">
        <v>21</v>
      </c>
      <c r="C62" s="7" t="s">
        <v>22</v>
      </c>
      <c r="D62" s="8">
        <v>46133</v>
      </c>
      <c r="E62" s="30"/>
      <c r="F62" s="30"/>
      <c r="G62" s="29"/>
      <c r="H62" s="15"/>
      <c r="I62" s="15"/>
      <c r="J62" s="10"/>
      <c r="K62" s="14">
        <v>1</v>
      </c>
      <c r="L62" s="9">
        <f t="shared" si="4"/>
        <v>800</v>
      </c>
      <c r="M62" s="10">
        <f t="shared" si="5"/>
        <v>800</v>
      </c>
    </row>
    <row r="63" spans="2:13" outlineLevel="1" x14ac:dyDescent="0.25">
      <c r="B63" s="12" t="s">
        <v>21</v>
      </c>
      <c r="C63" s="7" t="s">
        <v>22</v>
      </c>
      <c r="D63" s="8">
        <v>46134</v>
      </c>
      <c r="E63" s="30"/>
      <c r="F63" s="30"/>
      <c r="G63" s="29"/>
      <c r="H63" s="15"/>
      <c r="I63" s="15"/>
      <c r="J63" s="10"/>
      <c r="K63" s="14">
        <v>1</v>
      </c>
      <c r="L63" s="9">
        <f t="shared" si="4"/>
        <v>800</v>
      </c>
      <c r="M63" s="10">
        <f t="shared" si="5"/>
        <v>800</v>
      </c>
    </row>
    <row r="64" spans="2:13" outlineLevel="1" x14ac:dyDescent="0.25">
      <c r="B64" s="12" t="s">
        <v>21</v>
      </c>
      <c r="C64" s="7" t="s">
        <v>22</v>
      </c>
      <c r="D64" s="8">
        <v>46135</v>
      </c>
      <c r="E64" s="30"/>
      <c r="F64" s="30"/>
      <c r="G64" s="29"/>
      <c r="H64" s="15"/>
      <c r="I64" s="15"/>
      <c r="J64" s="10"/>
      <c r="K64" s="14">
        <v>1</v>
      </c>
      <c r="L64" s="9">
        <f t="shared" si="4"/>
        <v>800</v>
      </c>
      <c r="M64" s="10">
        <f t="shared" si="5"/>
        <v>800</v>
      </c>
    </row>
    <row r="65" spans="2:13" outlineLevel="1" x14ac:dyDescent="0.25">
      <c r="B65" s="12" t="s">
        <v>21</v>
      </c>
      <c r="C65" s="7" t="s">
        <v>22</v>
      </c>
      <c r="D65" s="8">
        <v>46136</v>
      </c>
      <c r="E65" s="30"/>
      <c r="F65" s="30"/>
      <c r="G65" s="29"/>
      <c r="H65" s="15"/>
      <c r="I65" s="15"/>
      <c r="J65" s="10"/>
      <c r="K65" s="14">
        <v>1</v>
      </c>
      <c r="L65" s="9">
        <f t="shared" si="4"/>
        <v>800</v>
      </c>
      <c r="M65" s="10">
        <f t="shared" si="5"/>
        <v>800</v>
      </c>
    </row>
    <row r="66" spans="2:13" outlineLevel="1" x14ac:dyDescent="0.25">
      <c r="B66" s="12" t="s">
        <v>21</v>
      </c>
      <c r="C66" s="7" t="s">
        <v>22</v>
      </c>
      <c r="D66" s="8">
        <v>46137</v>
      </c>
      <c r="E66" s="30"/>
      <c r="F66" s="30"/>
      <c r="G66" s="29"/>
      <c r="H66" s="15"/>
      <c r="I66" s="15"/>
      <c r="J66" s="10"/>
      <c r="K66" s="14">
        <v>1</v>
      </c>
      <c r="L66" s="9">
        <f t="shared" si="4"/>
        <v>800</v>
      </c>
      <c r="M66" s="10">
        <f t="shared" si="5"/>
        <v>800</v>
      </c>
    </row>
    <row r="67" spans="2:13" outlineLevel="1" x14ac:dyDescent="0.25">
      <c r="B67" s="12" t="s">
        <v>21</v>
      </c>
      <c r="C67" s="7" t="s">
        <v>22</v>
      </c>
      <c r="D67" s="8">
        <v>46138</v>
      </c>
      <c r="E67" s="30"/>
      <c r="F67" s="30"/>
      <c r="G67" s="29"/>
      <c r="H67" s="15"/>
      <c r="I67" s="15"/>
      <c r="J67" s="10"/>
      <c r="K67" s="14">
        <v>1</v>
      </c>
      <c r="L67" s="9">
        <f t="shared" si="4"/>
        <v>800</v>
      </c>
      <c r="M67" s="10">
        <f t="shared" si="5"/>
        <v>800</v>
      </c>
    </row>
    <row r="68" spans="2:13" outlineLevel="1" x14ac:dyDescent="0.25">
      <c r="B68" s="12" t="s">
        <v>21</v>
      </c>
      <c r="C68" s="7" t="s">
        <v>22</v>
      </c>
      <c r="D68" s="8">
        <v>46139</v>
      </c>
      <c r="E68" s="30"/>
      <c r="F68" s="30"/>
      <c r="G68" s="29"/>
      <c r="H68" s="15"/>
      <c r="I68" s="15"/>
      <c r="J68" s="10"/>
      <c r="K68" s="14">
        <v>1</v>
      </c>
      <c r="L68" s="9">
        <f t="shared" si="4"/>
        <v>800</v>
      </c>
      <c r="M68" s="10">
        <f t="shared" si="5"/>
        <v>800</v>
      </c>
    </row>
    <row r="69" spans="2:13" outlineLevel="1" x14ac:dyDescent="0.25">
      <c r="B69" s="12" t="s">
        <v>21</v>
      </c>
      <c r="C69" s="7" t="s">
        <v>22</v>
      </c>
      <c r="D69" s="8">
        <v>46140</v>
      </c>
      <c r="E69" s="30"/>
      <c r="F69" s="30"/>
      <c r="G69" s="29"/>
      <c r="H69" s="15"/>
      <c r="I69" s="15"/>
      <c r="J69" s="10"/>
      <c r="K69" s="14">
        <v>1</v>
      </c>
      <c r="L69" s="9">
        <f t="shared" si="4"/>
        <v>800</v>
      </c>
      <c r="M69" s="10">
        <f t="shared" si="5"/>
        <v>800</v>
      </c>
    </row>
    <row r="70" spans="2:13" outlineLevel="1" x14ac:dyDescent="0.25">
      <c r="B70" s="12" t="s">
        <v>21</v>
      </c>
      <c r="C70" s="7" t="s">
        <v>22</v>
      </c>
      <c r="D70" s="8">
        <v>46141</v>
      </c>
      <c r="E70" s="30"/>
      <c r="F70" s="30"/>
      <c r="G70" s="29"/>
      <c r="H70" s="15"/>
      <c r="I70" s="15"/>
      <c r="J70" s="10"/>
      <c r="K70" s="14">
        <v>1</v>
      </c>
      <c r="L70" s="9">
        <f t="shared" si="4"/>
        <v>800</v>
      </c>
      <c r="M70" s="10">
        <f t="shared" si="5"/>
        <v>800</v>
      </c>
    </row>
    <row r="71" spans="2:13" outlineLevel="1" x14ac:dyDescent="0.25">
      <c r="B71" s="12" t="s">
        <v>21</v>
      </c>
      <c r="C71" s="7" t="s">
        <v>22</v>
      </c>
      <c r="D71" s="8">
        <v>46142</v>
      </c>
      <c r="E71" s="30"/>
      <c r="F71" s="30"/>
      <c r="G71" s="29"/>
      <c r="H71" s="15"/>
      <c r="I71" s="15"/>
      <c r="J71" s="10"/>
      <c r="K71" s="14">
        <v>1</v>
      </c>
      <c r="L71" s="9">
        <f t="shared" si="4"/>
        <v>800</v>
      </c>
      <c r="M71" s="10">
        <f t="shared" si="5"/>
        <v>800</v>
      </c>
    </row>
    <row r="72" spans="2:13" x14ac:dyDescent="0.25">
      <c r="D72" s="1"/>
      <c r="E72" s="26"/>
      <c r="F72" s="26"/>
      <c r="G72" s="26"/>
      <c r="H72" s="27"/>
      <c r="I72" s="27"/>
      <c r="J72" s="28"/>
      <c r="K72" s="26"/>
      <c r="L72" s="24"/>
      <c r="M72" s="28"/>
    </row>
    <row r="73" spans="2:13" x14ac:dyDescent="0.25">
      <c r="D73" s="1"/>
      <c r="E73" s="26"/>
      <c r="F73" s="26"/>
      <c r="G73" s="26"/>
      <c r="H73" s="27"/>
      <c r="I73" s="27"/>
      <c r="J73" s="28"/>
      <c r="K73" s="26"/>
      <c r="L73" s="24"/>
      <c r="M73" s="28"/>
    </row>
    <row r="74" spans="2:13" x14ac:dyDescent="0.25">
      <c r="B74" s="54" t="s">
        <v>19</v>
      </c>
      <c r="C74" s="55" t="s">
        <v>20</v>
      </c>
      <c r="D74" s="3"/>
      <c r="E74" s="4"/>
      <c r="F74" s="4"/>
      <c r="G74" s="4"/>
      <c r="H74" s="3"/>
      <c r="I74" s="3"/>
      <c r="J74" s="3"/>
      <c r="K74" s="4"/>
      <c r="L74" s="16" t="s">
        <v>2</v>
      </c>
      <c r="M74" s="38"/>
    </row>
    <row r="75" spans="2:13" x14ac:dyDescent="0.25">
      <c r="B75" s="11" t="s">
        <v>0</v>
      </c>
      <c r="C75" s="5" t="s">
        <v>1</v>
      </c>
      <c r="D75" s="5" t="s">
        <v>3</v>
      </c>
      <c r="E75" s="6" t="s">
        <v>4</v>
      </c>
      <c r="F75" s="6" t="s">
        <v>5</v>
      </c>
      <c r="G75" s="6" t="s">
        <v>6</v>
      </c>
      <c r="H75" s="5" t="s">
        <v>34</v>
      </c>
      <c r="I75" s="5" t="s">
        <v>24</v>
      </c>
      <c r="J75" s="6" t="s">
        <v>7</v>
      </c>
      <c r="K75" s="6" t="s">
        <v>8</v>
      </c>
      <c r="L75" s="6" t="s">
        <v>9</v>
      </c>
      <c r="M75" s="6" t="s">
        <v>10</v>
      </c>
    </row>
    <row r="76" spans="2:13" outlineLevel="1" x14ac:dyDescent="0.25">
      <c r="B76" s="12" t="s">
        <v>19</v>
      </c>
      <c r="C76" s="7" t="s">
        <v>20</v>
      </c>
      <c r="D76" s="8">
        <v>46120</v>
      </c>
      <c r="E76" s="30">
        <v>253368</v>
      </c>
      <c r="F76" s="30">
        <v>253732</v>
      </c>
      <c r="G76" s="29">
        <f>F76-E76</f>
        <v>364</v>
      </c>
      <c r="H76" s="15" t="s">
        <v>46</v>
      </c>
      <c r="I76" s="15" t="s">
        <v>16</v>
      </c>
      <c r="J76" s="10">
        <f>G76*10</f>
        <v>3640</v>
      </c>
      <c r="K76" s="14">
        <v>1</v>
      </c>
      <c r="L76" s="9">
        <f>IF(J76&lt;800,800,J76)</f>
        <v>3640</v>
      </c>
      <c r="M76" s="10">
        <f>L76</f>
        <v>3640</v>
      </c>
    </row>
    <row r="77" spans="2:13" outlineLevel="1" x14ac:dyDescent="0.25">
      <c r="B77" s="12" t="s">
        <v>19</v>
      </c>
      <c r="C77" s="7" t="s">
        <v>20</v>
      </c>
      <c r="D77" s="8">
        <v>46122</v>
      </c>
      <c r="E77" s="30">
        <f>F76</f>
        <v>253732</v>
      </c>
      <c r="F77" s="30">
        <v>254300</v>
      </c>
      <c r="G77" s="29">
        <f>F77-E77</f>
        <v>568</v>
      </c>
      <c r="H77" s="15" t="s">
        <v>35</v>
      </c>
      <c r="I77" s="15" t="s">
        <v>27</v>
      </c>
      <c r="J77" s="10">
        <f t="shared" ref="J77:J97" si="6">G77*10</f>
        <v>5680</v>
      </c>
      <c r="K77" s="14">
        <v>1</v>
      </c>
      <c r="L77" s="9">
        <f>IF(J77&lt;800,800,J77)</f>
        <v>5680</v>
      </c>
      <c r="M77" s="10">
        <f t="shared" ref="M77:M97" si="7">L77</f>
        <v>5680</v>
      </c>
    </row>
    <row r="78" spans="2:13" outlineLevel="1" x14ac:dyDescent="0.25">
      <c r="B78" s="12" t="s">
        <v>19</v>
      </c>
      <c r="C78" s="7" t="s">
        <v>20</v>
      </c>
      <c r="D78" s="8">
        <v>46125</v>
      </c>
      <c r="E78" s="30">
        <f t="shared" ref="E78:E93" si="8">F77</f>
        <v>254300</v>
      </c>
      <c r="F78" s="30">
        <v>254311</v>
      </c>
      <c r="G78" s="29">
        <f t="shared" ref="G78:G97" si="9">F78-E78</f>
        <v>11</v>
      </c>
      <c r="H78" s="15" t="s">
        <v>36</v>
      </c>
      <c r="I78" s="15" t="s">
        <v>27</v>
      </c>
      <c r="J78" s="10">
        <f t="shared" si="6"/>
        <v>110</v>
      </c>
      <c r="K78" s="14">
        <v>1</v>
      </c>
      <c r="L78" s="9">
        <f>IF(J78&lt;800,800,J78)</f>
        <v>800</v>
      </c>
      <c r="M78" s="10">
        <f t="shared" si="7"/>
        <v>800</v>
      </c>
    </row>
    <row r="79" spans="2:13" outlineLevel="1" x14ac:dyDescent="0.25">
      <c r="B79" s="12" t="s">
        <v>19</v>
      </c>
      <c r="C79" s="7" t="s">
        <v>20</v>
      </c>
      <c r="D79" s="8">
        <v>46125</v>
      </c>
      <c r="E79" s="30">
        <f t="shared" si="8"/>
        <v>254311</v>
      </c>
      <c r="F79" s="30">
        <v>254324</v>
      </c>
      <c r="G79" s="29">
        <f t="shared" si="9"/>
        <v>13</v>
      </c>
      <c r="H79" s="15" t="s">
        <v>36</v>
      </c>
      <c r="I79" s="15" t="s">
        <v>27</v>
      </c>
      <c r="J79" s="10">
        <f t="shared" si="6"/>
        <v>130</v>
      </c>
      <c r="K79" s="14">
        <v>1</v>
      </c>
      <c r="L79" s="9">
        <f>IF(J79&lt;800,800,J79)</f>
        <v>800</v>
      </c>
      <c r="M79" s="10">
        <f t="shared" si="7"/>
        <v>800</v>
      </c>
    </row>
    <row r="80" spans="2:13" outlineLevel="1" x14ac:dyDescent="0.25">
      <c r="B80" s="12" t="s">
        <v>19</v>
      </c>
      <c r="C80" s="7" t="s">
        <v>20</v>
      </c>
      <c r="D80" s="8">
        <v>46125</v>
      </c>
      <c r="E80" s="30">
        <f t="shared" si="8"/>
        <v>254324</v>
      </c>
      <c r="F80" s="30">
        <v>254335</v>
      </c>
      <c r="G80" s="29">
        <f t="shared" si="9"/>
        <v>11</v>
      </c>
      <c r="H80" s="15" t="s">
        <v>36</v>
      </c>
      <c r="I80" s="15" t="s">
        <v>27</v>
      </c>
      <c r="J80" s="10">
        <f t="shared" si="6"/>
        <v>110</v>
      </c>
      <c r="K80" s="14">
        <v>1</v>
      </c>
      <c r="L80" s="9">
        <f>IF(J80&lt;800,800,J80)</f>
        <v>800</v>
      </c>
      <c r="M80" s="10">
        <f t="shared" si="7"/>
        <v>800</v>
      </c>
    </row>
    <row r="81" spans="2:13" outlineLevel="1" x14ac:dyDescent="0.25">
      <c r="B81" s="12" t="s">
        <v>19</v>
      </c>
      <c r="C81" s="7" t="s">
        <v>20</v>
      </c>
      <c r="D81" s="8">
        <v>46125</v>
      </c>
      <c r="E81" s="30">
        <f t="shared" si="8"/>
        <v>254335</v>
      </c>
      <c r="F81" s="30">
        <v>254583</v>
      </c>
      <c r="G81" s="29">
        <f t="shared" si="9"/>
        <v>248</v>
      </c>
      <c r="H81" s="15" t="s">
        <v>47</v>
      </c>
      <c r="I81" s="15" t="s">
        <v>56</v>
      </c>
      <c r="J81" s="10">
        <f t="shared" si="6"/>
        <v>2480</v>
      </c>
      <c r="K81" s="14">
        <v>1</v>
      </c>
      <c r="L81" s="9">
        <f>IF(J81&lt;800,800,J81)</f>
        <v>2480</v>
      </c>
      <c r="M81" s="10">
        <f t="shared" si="7"/>
        <v>2480</v>
      </c>
    </row>
    <row r="82" spans="2:13" outlineLevel="1" x14ac:dyDescent="0.25">
      <c r="B82" s="12" t="s">
        <v>19</v>
      </c>
      <c r="C82" s="7" t="s">
        <v>20</v>
      </c>
      <c r="D82" s="8">
        <v>46125</v>
      </c>
      <c r="E82" s="30">
        <f t="shared" si="8"/>
        <v>254583</v>
      </c>
      <c r="F82" s="30">
        <v>254734</v>
      </c>
      <c r="G82" s="29">
        <f t="shared" si="9"/>
        <v>151</v>
      </c>
      <c r="H82" s="15" t="s">
        <v>48</v>
      </c>
      <c r="I82" s="15" t="s">
        <v>26</v>
      </c>
      <c r="J82" s="10">
        <f t="shared" si="6"/>
        <v>1510</v>
      </c>
      <c r="K82" s="14">
        <v>1</v>
      </c>
      <c r="L82" s="9">
        <f>IF(J82&lt;800,800,J82)</f>
        <v>1510</v>
      </c>
      <c r="M82" s="10">
        <f t="shared" si="7"/>
        <v>1510</v>
      </c>
    </row>
    <row r="83" spans="2:13" outlineLevel="1" x14ac:dyDescent="0.25">
      <c r="B83" s="12" t="s">
        <v>19</v>
      </c>
      <c r="C83" s="7" t="s">
        <v>20</v>
      </c>
      <c r="D83" s="8">
        <v>46126</v>
      </c>
      <c r="E83" s="30">
        <f t="shared" si="8"/>
        <v>254734</v>
      </c>
      <c r="F83" s="30">
        <v>255028</v>
      </c>
      <c r="G83" s="29">
        <f t="shared" si="9"/>
        <v>294</v>
      </c>
      <c r="H83" s="15" t="s">
        <v>40</v>
      </c>
      <c r="I83" s="15" t="s">
        <v>28</v>
      </c>
      <c r="J83" s="10">
        <f t="shared" si="6"/>
        <v>2940</v>
      </c>
      <c r="K83" s="14">
        <v>1</v>
      </c>
      <c r="L83" s="9">
        <f>IF(J83&lt;800,800,J83)</f>
        <v>2940</v>
      </c>
      <c r="M83" s="10">
        <f t="shared" si="7"/>
        <v>2940</v>
      </c>
    </row>
    <row r="84" spans="2:13" outlineLevel="1" x14ac:dyDescent="0.25">
      <c r="B84" s="12" t="s">
        <v>19</v>
      </c>
      <c r="C84" s="7" t="s">
        <v>20</v>
      </c>
      <c r="D84" s="8">
        <v>46127</v>
      </c>
      <c r="E84" s="30">
        <f t="shared" si="8"/>
        <v>255028</v>
      </c>
      <c r="F84" s="30">
        <v>255480</v>
      </c>
      <c r="G84" s="29">
        <f t="shared" si="9"/>
        <v>452</v>
      </c>
      <c r="H84" s="15" t="s">
        <v>41</v>
      </c>
      <c r="I84" s="15" t="s">
        <v>57</v>
      </c>
      <c r="J84" s="10">
        <f t="shared" si="6"/>
        <v>4520</v>
      </c>
      <c r="K84" s="14">
        <v>1</v>
      </c>
      <c r="L84" s="9">
        <f>IF(J84&lt;800,800,J84)</f>
        <v>4520</v>
      </c>
      <c r="M84" s="10">
        <f t="shared" si="7"/>
        <v>4520</v>
      </c>
    </row>
    <row r="85" spans="2:13" outlineLevel="1" x14ac:dyDescent="0.25">
      <c r="B85" s="12" t="s">
        <v>19</v>
      </c>
      <c r="C85" s="7" t="s">
        <v>20</v>
      </c>
      <c r="D85" s="8">
        <v>46127</v>
      </c>
      <c r="E85" s="30">
        <f t="shared" si="8"/>
        <v>255480</v>
      </c>
      <c r="F85" s="30">
        <v>256128</v>
      </c>
      <c r="G85" s="29">
        <f t="shared" si="9"/>
        <v>648</v>
      </c>
      <c r="H85" s="15" t="s">
        <v>49</v>
      </c>
      <c r="I85" s="15" t="s">
        <v>56</v>
      </c>
      <c r="J85" s="10">
        <f t="shared" si="6"/>
        <v>6480</v>
      </c>
      <c r="K85" s="14">
        <v>1</v>
      </c>
      <c r="L85" s="9">
        <f>IF(J85&lt;800,800,J85)</f>
        <v>6480</v>
      </c>
      <c r="M85" s="10">
        <f t="shared" si="7"/>
        <v>6480</v>
      </c>
    </row>
    <row r="86" spans="2:13" outlineLevel="1" x14ac:dyDescent="0.25">
      <c r="B86" s="12" t="s">
        <v>19</v>
      </c>
      <c r="C86" s="7" t="s">
        <v>20</v>
      </c>
      <c r="D86" s="8">
        <v>46128</v>
      </c>
      <c r="E86" s="30">
        <f t="shared" si="8"/>
        <v>256128</v>
      </c>
      <c r="F86" s="30">
        <v>256338</v>
      </c>
      <c r="G86" s="29">
        <f t="shared" si="9"/>
        <v>210</v>
      </c>
      <c r="H86" s="15" t="s">
        <v>48</v>
      </c>
      <c r="I86" s="15" t="s">
        <v>26</v>
      </c>
      <c r="J86" s="10">
        <f t="shared" si="6"/>
        <v>2100</v>
      </c>
      <c r="K86" s="14">
        <v>1</v>
      </c>
      <c r="L86" s="9">
        <f>IF(J86&lt;800,800,J86)</f>
        <v>2100</v>
      </c>
      <c r="M86" s="10">
        <f t="shared" si="7"/>
        <v>2100</v>
      </c>
    </row>
    <row r="87" spans="2:13" outlineLevel="1" x14ac:dyDescent="0.25">
      <c r="B87" s="12" t="s">
        <v>19</v>
      </c>
      <c r="C87" s="7" t="s">
        <v>20</v>
      </c>
      <c r="D87" s="8">
        <v>46128</v>
      </c>
      <c r="E87" s="30">
        <f t="shared" si="8"/>
        <v>256338</v>
      </c>
      <c r="F87" s="30">
        <v>256525</v>
      </c>
      <c r="G87" s="29">
        <f t="shared" si="9"/>
        <v>187</v>
      </c>
      <c r="H87" s="15" t="s">
        <v>42</v>
      </c>
      <c r="I87" s="15" t="s">
        <v>58</v>
      </c>
      <c r="J87" s="10">
        <f t="shared" si="6"/>
        <v>1870</v>
      </c>
      <c r="K87" s="14">
        <v>1</v>
      </c>
      <c r="L87" s="9">
        <f>IF(J87&lt;800,800,J87)</f>
        <v>1870</v>
      </c>
      <c r="M87" s="10">
        <f t="shared" si="7"/>
        <v>1870</v>
      </c>
    </row>
    <row r="88" spans="2:13" outlineLevel="1" x14ac:dyDescent="0.25">
      <c r="B88" s="12" t="s">
        <v>19</v>
      </c>
      <c r="C88" s="7" t="s">
        <v>20</v>
      </c>
      <c r="D88" s="8">
        <v>46130</v>
      </c>
      <c r="E88" s="30">
        <f t="shared" si="8"/>
        <v>256525</v>
      </c>
      <c r="F88" s="30">
        <v>256656</v>
      </c>
      <c r="G88" s="29">
        <f t="shared" si="9"/>
        <v>131</v>
      </c>
      <c r="H88" s="15" t="s">
        <v>50</v>
      </c>
      <c r="I88" s="15" t="s">
        <v>56</v>
      </c>
      <c r="J88" s="10">
        <f t="shared" si="6"/>
        <v>1310</v>
      </c>
      <c r="K88" s="14">
        <v>1</v>
      </c>
      <c r="L88" s="9">
        <f>IF(J88&lt;800,800,J88)</f>
        <v>1310</v>
      </c>
      <c r="M88" s="10">
        <f t="shared" si="7"/>
        <v>1310</v>
      </c>
    </row>
    <row r="89" spans="2:13" outlineLevel="1" x14ac:dyDescent="0.25">
      <c r="B89" s="12" t="s">
        <v>19</v>
      </c>
      <c r="C89" s="7" t="s">
        <v>20</v>
      </c>
      <c r="D89" s="8">
        <v>46133</v>
      </c>
      <c r="E89" s="30">
        <f t="shared" si="8"/>
        <v>256656</v>
      </c>
      <c r="F89" s="30">
        <v>256876</v>
      </c>
      <c r="G89" s="29">
        <f t="shared" si="9"/>
        <v>220</v>
      </c>
      <c r="H89" s="15" t="s">
        <v>51</v>
      </c>
      <c r="I89" s="15" t="s">
        <v>59</v>
      </c>
      <c r="J89" s="10">
        <f t="shared" si="6"/>
        <v>2200</v>
      </c>
      <c r="K89" s="14">
        <v>1</v>
      </c>
      <c r="L89" s="9">
        <f>IF(J89&lt;800,800,J89)</f>
        <v>2200</v>
      </c>
      <c r="M89" s="10">
        <f t="shared" si="7"/>
        <v>2200</v>
      </c>
    </row>
    <row r="90" spans="2:13" outlineLevel="1" x14ac:dyDescent="0.25">
      <c r="B90" s="12" t="s">
        <v>19</v>
      </c>
      <c r="C90" s="7" t="s">
        <v>20</v>
      </c>
      <c r="D90" s="8">
        <v>46135</v>
      </c>
      <c r="E90" s="30">
        <f t="shared" si="8"/>
        <v>256876</v>
      </c>
      <c r="F90" s="30">
        <v>257023</v>
      </c>
      <c r="G90" s="29">
        <f t="shared" si="9"/>
        <v>147</v>
      </c>
      <c r="H90" s="15" t="s">
        <v>43</v>
      </c>
      <c r="I90" s="15" t="s">
        <v>26</v>
      </c>
      <c r="J90" s="10">
        <f t="shared" si="6"/>
        <v>1470</v>
      </c>
      <c r="K90" s="14">
        <v>1</v>
      </c>
      <c r="L90" s="9">
        <f>IF(J90&lt;800,800,J90)</f>
        <v>1470</v>
      </c>
      <c r="M90" s="10">
        <f t="shared" si="7"/>
        <v>1470</v>
      </c>
    </row>
    <row r="91" spans="2:13" outlineLevel="1" x14ac:dyDescent="0.25">
      <c r="B91" s="12" t="s">
        <v>19</v>
      </c>
      <c r="C91" s="7" t="s">
        <v>20</v>
      </c>
      <c r="D91" s="8">
        <v>46135</v>
      </c>
      <c r="E91" s="30">
        <f t="shared" si="8"/>
        <v>257023</v>
      </c>
      <c r="F91" s="30">
        <v>257177</v>
      </c>
      <c r="G91" s="29">
        <f t="shared" si="9"/>
        <v>154</v>
      </c>
      <c r="H91" s="15" t="s">
        <v>44</v>
      </c>
      <c r="I91" s="15" t="s">
        <v>59</v>
      </c>
      <c r="J91" s="10">
        <f t="shared" si="6"/>
        <v>1540</v>
      </c>
      <c r="K91" s="14">
        <v>1</v>
      </c>
      <c r="L91" s="9">
        <f>IF(J91&lt;800,800,J91)</f>
        <v>1540</v>
      </c>
      <c r="M91" s="10">
        <f t="shared" si="7"/>
        <v>1540</v>
      </c>
    </row>
    <row r="92" spans="2:13" outlineLevel="1" x14ac:dyDescent="0.25">
      <c r="B92" s="12" t="s">
        <v>19</v>
      </c>
      <c r="C92" s="7" t="s">
        <v>20</v>
      </c>
      <c r="D92" s="8">
        <v>46135</v>
      </c>
      <c r="E92" s="30">
        <f t="shared" si="8"/>
        <v>257177</v>
      </c>
      <c r="F92" s="30">
        <v>257320</v>
      </c>
      <c r="G92" s="29">
        <f t="shared" si="9"/>
        <v>143</v>
      </c>
      <c r="H92" s="15" t="s">
        <v>43</v>
      </c>
      <c r="I92" s="15" t="s">
        <v>26</v>
      </c>
      <c r="J92" s="10">
        <f t="shared" si="6"/>
        <v>1430</v>
      </c>
      <c r="K92" s="14">
        <v>1</v>
      </c>
      <c r="L92" s="9">
        <f>IF(J92&lt;800,800,J92)</f>
        <v>1430</v>
      </c>
      <c r="M92" s="10">
        <f t="shared" si="7"/>
        <v>1430</v>
      </c>
    </row>
    <row r="93" spans="2:13" outlineLevel="1" x14ac:dyDescent="0.25">
      <c r="B93" s="12" t="s">
        <v>19</v>
      </c>
      <c r="C93" s="7" t="s">
        <v>20</v>
      </c>
      <c r="D93" s="8">
        <v>46136</v>
      </c>
      <c r="E93" s="30">
        <f t="shared" si="8"/>
        <v>257320</v>
      </c>
      <c r="F93" s="30">
        <v>257533</v>
      </c>
      <c r="G93" s="29">
        <f t="shared" si="9"/>
        <v>213</v>
      </c>
      <c r="H93" s="15" t="s">
        <v>52</v>
      </c>
      <c r="I93" s="15" t="s">
        <v>56</v>
      </c>
      <c r="J93" s="10">
        <f t="shared" si="6"/>
        <v>2130</v>
      </c>
      <c r="K93" s="14">
        <v>1</v>
      </c>
      <c r="L93" s="9">
        <f>IF(J93&lt;800,800,J93)</f>
        <v>2130</v>
      </c>
      <c r="M93" s="10">
        <f t="shared" si="7"/>
        <v>2130</v>
      </c>
    </row>
    <row r="94" spans="2:13" outlineLevel="1" x14ac:dyDescent="0.25">
      <c r="B94" s="12" t="s">
        <v>19</v>
      </c>
      <c r="C94" s="7" t="s">
        <v>20</v>
      </c>
      <c r="D94" s="8">
        <v>46136</v>
      </c>
      <c r="E94" s="30">
        <v>257542</v>
      </c>
      <c r="F94" s="30">
        <v>258153</v>
      </c>
      <c r="G94" s="29">
        <f t="shared" ref="G94" si="10">F94-E94</f>
        <v>611</v>
      </c>
      <c r="H94" s="15" t="s">
        <v>53</v>
      </c>
      <c r="I94" s="15" t="s">
        <v>56</v>
      </c>
      <c r="J94" s="10">
        <f t="shared" ref="J94" si="11">G94*10</f>
        <v>6110</v>
      </c>
      <c r="K94" s="14">
        <v>1</v>
      </c>
      <c r="L94" s="9">
        <f>IF(J94&lt;800,800,J94)</f>
        <v>6110</v>
      </c>
      <c r="M94" s="10">
        <f t="shared" si="7"/>
        <v>6110</v>
      </c>
    </row>
    <row r="95" spans="2:13" outlineLevel="1" x14ac:dyDescent="0.25">
      <c r="B95" s="12" t="s">
        <v>19</v>
      </c>
      <c r="C95" s="7" t="s">
        <v>20</v>
      </c>
      <c r="D95" s="8">
        <v>46136</v>
      </c>
      <c r="E95" s="30">
        <f>F94</f>
        <v>258153</v>
      </c>
      <c r="F95" s="30">
        <v>258827</v>
      </c>
      <c r="G95" s="29">
        <f t="shared" si="9"/>
        <v>674</v>
      </c>
      <c r="H95" s="15" t="s">
        <v>45</v>
      </c>
      <c r="I95" s="15" t="s">
        <v>57</v>
      </c>
      <c r="J95" s="10">
        <f t="shared" si="6"/>
        <v>6740</v>
      </c>
      <c r="K95" s="14">
        <v>1</v>
      </c>
      <c r="L95" s="9">
        <f>IF(J95&lt;800,800,J95)</f>
        <v>6740</v>
      </c>
      <c r="M95" s="10">
        <f t="shared" si="7"/>
        <v>6740</v>
      </c>
    </row>
    <row r="96" spans="2:13" outlineLevel="1" x14ac:dyDescent="0.25">
      <c r="B96" s="12" t="s">
        <v>19</v>
      </c>
      <c r="C96" s="7" t="s">
        <v>20</v>
      </c>
      <c r="D96" s="8">
        <v>46138</v>
      </c>
      <c r="E96" s="30">
        <f t="shared" ref="E96:E97" si="12">F95</f>
        <v>258827</v>
      </c>
      <c r="F96" s="30">
        <v>258897</v>
      </c>
      <c r="G96" s="29">
        <f t="shared" si="9"/>
        <v>70</v>
      </c>
      <c r="H96" s="15" t="s">
        <v>54</v>
      </c>
      <c r="I96" s="15" t="s">
        <v>60</v>
      </c>
      <c r="J96" s="10">
        <f t="shared" si="6"/>
        <v>700</v>
      </c>
      <c r="K96" s="14">
        <v>1</v>
      </c>
      <c r="L96" s="9">
        <f>IF(J96&lt;800,800,J96)</f>
        <v>800</v>
      </c>
      <c r="M96" s="10">
        <f t="shared" si="7"/>
        <v>800</v>
      </c>
    </row>
    <row r="97" spans="2:13" outlineLevel="1" x14ac:dyDescent="0.25">
      <c r="B97" s="12" t="s">
        <v>19</v>
      </c>
      <c r="C97" s="7" t="s">
        <v>20</v>
      </c>
      <c r="D97" s="8">
        <v>46139</v>
      </c>
      <c r="E97" s="30">
        <f t="shared" si="12"/>
        <v>258897</v>
      </c>
      <c r="F97" s="30">
        <v>258949</v>
      </c>
      <c r="G97" s="29">
        <f t="shared" si="9"/>
        <v>52</v>
      </c>
      <c r="H97" s="15" t="s">
        <v>55</v>
      </c>
      <c r="I97" s="15" t="s">
        <v>25</v>
      </c>
      <c r="J97" s="10">
        <f t="shared" si="6"/>
        <v>520</v>
      </c>
      <c r="K97" s="14">
        <v>1</v>
      </c>
      <c r="L97" s="9">
        <f>IF(J97&lt;800,800,J97)</f>
        <v>800</v>
      </c>
      <c r="M97" s="10">
        <f t="shared" si="7"/>
        <v>800</v>
      </c>
    </row>
    <row r="98" spans="2:13" x14ac:dyDescent="0.25">
      <c r="D98" s="1"/>
      <c r="E98" s="26"/>
      <c r="F98" s="26"/>
      <c r="G98" s="26"/>
      <c r="H98" s="27"/>
      <c r="I98" s="27"/>
      <c r="J98" s="28"/>
      <c r="K98" s="26"/>
      <c r="L98" s="24"/>
      <c r="M98" s="28"/>
    </row>
  </sheetData>
  <mergeCells count="3">
    <mergeCell ref="B1:K3"/>
    <mergeCell ref="L1:M3"/>
    <mergeCell ref="B4:K4"/>
  </mergeCells>
  <phoneticPr fontId="5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2169-1C65-4FD1-883D-3046242BFAF0}">
  <sheetPr>
    <tabColor rgb="FFFF0000"/>
  </sheetPr>
  <dimension ref="A2:H35"/>
  <sheetViews>
    <sheetView showGridLines="0" view="pageBreakPreview" zoomScale="70" zoomScaleNormal="55" zoomScaleSheetLayoutView="70" workbookViewId="0">
      <selection activeCell="C3" sqref="C3"/>
    </sheetView>
  </sheetViews>
  <sheetFormatPr defaultRowHeight="15" x14ac:dyDescent="0.25"/>
  <cols>
    <col min="1" max="1" width="67" bestFit="1" customWidth="1"/>
    <col min="2" max="2" width="76.28515625" bestFit="1" customWidth="1"/>
    <col min="3" max="3" width="15.28515625" bestFit="1" customWidth="1"/>
    <col min="4" max="4" width="12.140625" bestFit="1" customWidth="1"/>
    <col min="5" max="5" width="19.7109375" bestFit="1" customWidth="1"/>
    <col min="6" max="6" width="19.7109375" style="18" bestFit="1" customWidth="1"/>
    <col min="7" max="7" width="19.7109375" bestFit="1" customWidth="1"/>
    <col min="8" max="9" width="18.85546875" bestFit="1" customWidth="1"/>
    <col min="11" max="11" width="9.28515625" bestFit="1" customWidth="1"/>
  </cols>
  <sheetData>
    <row r="2" spans="1:8" x14ac:dyDescent="0.25">
      <c r="A2" s="17" t="s">
        <v>11</v>
      </c>
      <c r="B2" s="39"/>
      <c r="C2" s="39"/>
      <c r="D2" s="39"/>
      <c r="E2" s="40" t="s">
        <v>12</v>
      </c>
      <c r="F2" s="41"/>
      <c r="G2" s="25">
        <v>46113</v>
      </c>
      <c r="H2" s="25">
        <v>46142</v>
      </c>
    </row>
    <row r="3" spans="1:8" x14ac:dyDescent="0.25">
      <c r="A3" s="21" t="s">
        <v>0</v>
      </c>
      <c r="B3" s="20" t="s">
        <v>1</v>
      </c>
      <c r="C3" s="21" t="s">
        <v>34</v>
      </c>
      <c r="D3" s="19" t="s">
        <v>38</v>
      </c>
      <c r="E3" s="18" t="s">
        <v>14</v>
      </c>
      <c r="F3"/>
    </row>
    <row r="4" spans="1:8" ht="25.9" customHeight="1" x14ac:dyDescent="0.25">
      <c r="A4" s="18" t="s">
        <v>17</v>
      </c>
      <c r="B4" s="18" t="s">
        <v>18</v>
      </c>
      <c r="C4" t="s">
        <v>37</v>
      </c>
      <c r="D4" s="53">
        <v>30</v>
      </c>
      <c r="E4" s="22">
        <v>24000</v>
      </c>
      <c r="F4"/>
    </row>
    <row r="5" spans="1:8" ht="22.9" customHeight="1" x14ac:dyDescent="0.25">
      <c r="A5" s="18" t="s">
        <v>15</v>
      </c>
      <c r="B5" s="18"/>
      <c r="C5" s="18"/>
      <c r="D5" s="53">
        <v>30</v>
      </c>
      <c r="E5" s="22">
        <v>24000</v>
      </c>
      <c r="F5"/>
    </row>
    <row r="6" spans="1:8" x14ac:dyDescent="0.25">
      <c r="F6"/>
    </row>
    <row r="7" spans="1:8" x14ac:dyDescent="0.25">
      <c r="F7"/>
    </row>
    <row r="8" spans="1:8" x14ac:dyDescent="0.25">
      <c r="F8"/>
    </row>
    <row r="9" spans="1:8" x14ac:dyDescent="0.25">
      <c r="F9"/>
    </row>
    <row r="10" spans="1:8" x14ac:dyDescent="0.25">
      <c r="F10"/>
    </row>
    <row r="11" spans="1:8" x14ac:dyDescent="0.25">
      <c r="F11"/>
    </row>
    <row r="12" spans="1:8" x14ac:dyDescent="0.25">
      <c r="F12"/>
    </row>
    <row r="13" spans="1:8" x14ac:dyDescent="0.25">
      <c r="F13"/>
    </row>
    <row r="14" spans="1:8" x14ac:dyDescent="0.25">
      <c r="F14"/>
    </row>
    <row r="15" spans="1:8" x14ac:dyDescent="0.25">
      <c r="F15"/>
    </row>
    <row r="16" spans="1:8" x14ac:dyDescent="0.25">
      <c r="F16"/>
    </row>
    <row r="17" spans="6:6" x14ac:dyDescent="0.25">
      <c r="F17"/>
    </row>
    <row r="18" spans="6:6" x14ac:dyDescent="0.25">
      <c r="F18"/>
    </row>
    <row r="19" spans="6:6" x14ac:dyDescent="0.25">
      <c r="F19"/>
    </row>
    <row r="20" spans="6:6" x14ac:dyDescent="0.25">
      <c r="F20"/>
    </row>
    <row r="21" spans="6:6" x14ac:dyDescent="0.25">
      <c r="F21"/>
    </row>
    <row r="22" spans="6:6" x14ac:dyDescent="0.25">
      <c r="F22"/>
    </row>
    <row r="23" spans="6:6" x14ac:dyDescent="0.25">
      <c r="F23"/>
    </row>
    <row r="24" spans="6:6" x14ac:dyDescent="0.25">
      <c r="F24"/>
    </row>
    <row r="25" spans="6:6" x14ac:dyDescent="0.25">
      <c r="F25"/>
    </row>
    <row r="26" spans="6:6" x14ac:dyDescent="0.25">
      <c r="F26"/>
    </row>
    <row r="27" spans="6:6" x14ac:dyDescent="0.25">
      <c r="F27"/>
    </row>
    <row r="28" spans="6:6" x14ac:dyDescent="0.25">
      <c r="F28"/>
    </row>
    <row r="29" spans="6:6" x14ac:dyDescent="0.25">
      <c r="F29"/>
    </row>
    <row r="30" spans="6:6" x14ac:dyDescent="0.25">
      <c r="F30"/>
    </row>
    <row r="31" spans="6:6" x14ac:dyDescent="0.25">
      <c r="F31"/>
    </row>
    <row r="32" spans="6:6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rgb="FFFF0000"/>
  </sheetPr>
  <dimension ref="A2:H9"/>
  <sheetViews>
    <sheetView showGridLines="0" view="pageBreakPreview" zoomScale="70" zoomScaleNormal="55" zoomScaleSheetLayoutView="70" workbookViewId="0">
      <selection activeCell="A4" sqref="A4"/>
    </sheetView>
  </sheetViews>
  <sheetFormatPr defaultRowHeight="15" x14ac:dyDescent="0.25"/>
  <cols>
    <col min="1" max="1" width="67" bestFit="1" customWidth="1"/>
    <col min="2" max="2" width="76.28515625" bestFit="1" customWidth="1"/>
    <col min="3" max="3" width="15.28515625" bestFit="1" customWidth="1"/>
    <col min="4" max="4" width="12.140625" bestFit="1" customWidth="1"/>
    <col min="5" max="5" width="19.7109375" bestFit="1" customWidth="1"/>
    <col min="6" max="6" width="18.85546875" style="18" bestFit="1" customWidth="1"/>
    <col min="7" max="9" width="18.85546875" bestFit="1" customWidth="1"/>
    <col min="11" max="11" width="9.28515625" bestFit="1" customWidth="1"/>
  </cols>
  <sheetData>
    <row r="2" spans="1:8" x14ac:dyDescent="0.25">
      <c r="A2" s="17" t="s">
        <v>11</v>
      </c>
      <c r="B2" s="39"/>
      <c r="C2" s="39"/>
      <c r="D2" s="39"/>
      <c r="E2" s="40" t="s">
        <v>12</v>
      </c>
      <c r="F2" s="41"/>
      <c r="G2" s="25">
        <v>46113</v>
      </c>
      <c r="H2" s="25">
        <v>46142</v>
      </c>
    </row>
    <row r="3" spans="1:8" x14ac:dyDescent="0.25">
      <c r="A3" s="21" t="s">
        <v>0</v>
      </c>
      <c r="B3" s="20" t="s">
        <v>1</v>
      </c>
      <c r="C3" s="21" t="s">
        <v>34</v>
      </c>
      <c r="D3" s="19" t="s">
        <v>38</v>
      </c>
      <c r="E3" s="18" t="s">
        <v>14</v>
      </c>
      <c r="F3"/>
    </row>
    <row r="4" spans="1:8" ht="25.9" customHeight="1" x14ac:dyDescent="0.25">
      <c r="A4" s="18" t="s">
        <v>21</v>
      </c>
      <c r="B4" s="18" t="s">
        <v>22</v>
      </c>
      <c r="C4" t="s">
        <v>37</v>
      </c>
      <c r="D4" s="53">
        <v>30</v>
      </c>
      <c r="E4" s="22">
        <v>24000</v>
      </c>
      <c r="F4"/>
    </row>
    <row r="5" spans="1:8" ht="22.9" customHeight="1" x14ac:dyDescent="0.25">
      <c r="A5" s="18" t="s">
        <v>15</v>
      </c>
      <c r="B5" s="18"/>
      <c r="C5" s="18"/>
      <c r="D5" s="53">
        <v>30</v>
      </c>
      <c r="E5" s="22">
        <v>24000</v>
      </c>
      <c r="F5"/>
    </row>
    <row r="6" spans="1:8" x14ac:dyDescent="0.25">
      <c r="F6"/>
    </row>
    <row r="7" spans="1:8" x14ac:dyDescent="0.25">
      <c r="F7"/>
    </row>
    <row r="8" spans="1:8" x14ac:dyDescent="0.25">
      <c r="F8"/>
    </row>
    <row r="9" spans="1:8" x14ac:dyDescent="0.25">
      <c r="F9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3326-DB61-4824-A3F6-AD4D97172BCD}">
  <sheetPr>
    <tabColor theme="9" tint="-0.249977111117893"/>
  </sheetPr>
  <dimension ref="A2:H42"/>
  <sheetViews>
    <sheetView showGridLines="0" tabSelected="1" view="pageBreakPreview" zoomScale="60" zoomScaleNormal="55" workbookViewId="0">
      <selection activeCell="G15" sqref="G15"/>
    </sheetView>
  </sheetViews>
  <sheetFormatPr defaultRowHeight="15" x14ac:dyDescent="0.25"/>
  <cols>
    <col min="1" max="1" width="67" bestFit="1" customWidth="1"/>
    <col min="2" max="2" width="66.140625" bestFit="1" customWidth="1"/>
    <col min="3" max="3" width="43.42578125" bestFit="1" customWidth="1"/>
    <col min="4" max="4" width="13.42578125" bestFit="1" customWidth="1"/>
    <col min="5" max="5" width="20.42578125" bestFit="1" customWidth="1"/>
    <col min="6" max="6" width="20.42578125" style="18" bestFit="1" customWidth="1"/>
    <col min="7" max="9" width="20.42578125" bestFit="1" customWidth="1"/>
    <col min="10" max="192" width="48" bestFit="1" customWidth="1"/>
    <col min="193" max="193" width="33.7109375" bestFit="1" customWidth="1"/>
    <col min="194" max="194" width="22.85546875" bestFit="1" customWidth="1"/>
    <col min="195" max="195" width="20.28515625" bestFit="1" customWidth="1"/>
    <col min="196" max="196" width="18.85546875" bestFit="1" customWidth="1"/>
    <col min="197" max="197" width="19.140625" bestFit="1" customWidth="1"/>
  </cols>
  <sheetData>
    <row r="2" spans="1:8" x14ac:dyDescent="0.25">
      <c r="A2" s="17" t="s">
        <v>11</v>
      </c>
      <c r="B2" s="39"/>
      <c r="C2" s="39"/>
      <c r="D2" s="39"/>
      <c r="E2" s="40" t="s">
        <v>12</v>
      </c>
      <c r="F2" s="41"/>
      <c r="G2" s="25">
        <v>46113</v>
      </c>
      <c r="H2" s="25">
        <v>46142</v>
      </c>
    </row>
    <row r="3" spans="1:8" x14ac:dyDescent="0.25">
      <c r="A3" s="21" t="s">
        <v>0</v>
      </c>
      <c r="B3" s="20" t="s">
        <v>1</v>
      </c>
      <c r="C3" s="21" t="s">
        <v>34</v>
      </c>
      <c r="D3" s="19" t="s">
        <v>38</v>
      </c>
      <c r="E3" s="18" t="s">
        <v>14</v>
      </c>
      <c r="F3"/>
    </row>
    <row r="4" spans="1:8" ht="25.9" customHeight="1" x14ac:dyDescent="0.25">
      <c r="A4" s="18" t="s">
        <v>19</v>
      </c>
      <c r="B4" s="18" t="s">
        <v>20</v>
      </c>
      <c r="C4" t="s">
        <v>35</v>
      </c>
      <c r="D4" s="53">
        <v>1</v>
      </c>
      <c r="E4" s="22">
        <v>5680</v>
      </c>
      <c r="F4"/>
    </row>
    <row r="5" spans="1:8" ht="22.9" customHeight="1" x14ac:dyDescent="0.25">
      <c r="A5" s="18"/>
      <c r="B5" s="18"/>
      <c r="C5" t="s">
        <v>36</v>
      </c>
      <c r="D5" s="53">
        <v>3</v>
      </c>
      <c r="E5" s="22">
        <v>2400</v>
      </c>
      <c r="F5"/>
    </row>
    <row r="6" spans="1:8" x14ac:dyDescent="0.25">
      <c r="A6" s="18"/>
      <c r="B6" s="18"/>
      <c r="C6" t="s">
        <v>46</v>
      </c>
      <c r="D6" s="53">
        <v>1</v>
      </c>
      <c r="E6" s="22">
        <v>3640</v>
      </c>
      <c r="F6"/>
    </row>
    <row r="7" spans="1:8" x14ac:dyDescent="0.25">
      <c r="A7" s="18"/>
      <c r="B7" s="18"/>
      <c r="C7" t="s">
        <v>47</v>
      </c>
      <c r="D7" s="53">
        <v>1</v>
      </c>
      <c r="E7" s="22">
        <v>2480</v>
      </c>
      <c r="F7"/>
    </row>
    <row r="8" spans="1:8" x14ac:dyDescent="0.25">
      <c r="A8" s="18"/>
      <c r="B8" s="18"/>
      <c r="C8" t="s">
        <v>48</v>
      </c>
      <c r="D8" s="53">
        <v>2</v>
      </c>
      <c r="E8" s="22">
        <v>3610</v>
      </c>
      <c r="F8"/>
    </row>
    <row r="9" spans="1:8" x14ac:dyDescent="0.25">
      <c r="A9" s="18"/>
      <c r="B9" s="18"/>
      <c r="C9" t="s">
        <v>40</v>
      </c>
      <c r="D9" s="53">
        <v>1</v>
      </c>
      <c r="E9" s="22">
        <v>2940</v>
      </c>
      <c r="F9"/>
    </row>
    <row r="10" spans="1:8" x14ac:dyDescent="0.25">
      <c r="A10" s="18"/>
      <c r="B10" s="18"/>
      <c r="C10" t="s">
        <v>41</v>
      </c>
      <c r="D10" s="53">
        <v>1</v>
      </c>
      <c r="E10" s="22">
        <v>4520</v>
      </c>
      <c r="F10"/>
    </row>
    <row r="11" spans="1:8" x14ac:dyDescent="0.25">
      <c r="A11" s="18"/>
      <c r="B11" s="18"/>
      <c r="C11" t="s">
        <v>49</v>
      </c>
      <c r="D11" s="53">
        <v>1</v>
      </c>
      <c r="E11" s="22">
        <v>6480</v>
      </c>
      <c r="F11"/>
    </row>
    <row r="12" spans="1:8" x14ac:dyDescent="0.25">
      <c r="A12" s="18"/>
      <c r="B12" s="18"/>
      <c r="C12" t="s">
        <v>42</v>
      </c>
      <c r="D12" s="53">
        <v>1</v>
      </c>
      <c r="E12" s="22">
        <v>1870</v>
      </c>
      <c r="F12"/>
    </row>
    <row r="13" spans="1:8" x14ac:dyDescent="0.25">
      <c r="A13" s="18"/>
      <c r="B13" s="18"/>
      <c r="C13" t="s">
        <v>50</v>
      </c>
      <c r="D13" s="53">
        <v>1</v>
      </c>
      <c r="E13" s="22">
        <v>1310</v>
      </c>
      <c r="F13"/>
    </row>
    <row r="14" spans="1:8" x14ac:dyDescent="0.25">
      <c r="A14" s="18"/>
      <c r="B14" s="18"/>
      <c r="C14" t="s">
        <v>51</v>
      </c>
      <c r="D14" s="53">
        <v>1</v>
      </c>
      <c r="E14" s="22">
        <v>2200</v>
      </c>
      <c r="F14"/>
    </row>
    <row r="15" spans="1:8" x14ac:dyDescent="0.25">
      <c r="A15" s="18"/>
      <c r="B15" s="18"/>
      <c r="C15" t="s">
        <v>43</v>
      </c>
      <c r="D15" s="53">
        <v>2</v>
      </c>
      <c r="E15" s="22">
        <v>2900</v>
      </c>
      <c r="F15"/>
    </row>
    <row r="16" spans="1:8" x14ac:dyDescent="0.25">
      <c r="A16" s="18"/>
      <c r="B16" s="18"/>
      <c r="C16" t="s">
        <v>44</v>
      </c>
      <c r="D16" s="53">
        <v>1</v>
      </c>
      <c r="E16" s="22">
        <v>1540</v>
      </c>
      <c r="F16"/>
    </row>
    <row r="17" spans="1:6" x14ac:dyDescent="0.25">
      <c r="A17" s="18"/>
      <c r="B17" s="18"/>
      <c r="C17" t="s">
        <v>52</v>
      </c>
      <c r="D17" s="53">
        <v>1</v>
      </c>
      <c r="E17" s="22">
        <v>2130</v>
      </c>
      <c r="F17"/>
    </row>
    <row r="18" spans="1:6" x14ac:dyDescent="0.25">
      <c r="A18" s="18"/>
      <c r="B18" s="18"/>
      <c r="C18" t="s">
        <v>53</v>
      </c>
      <c r="D18" s="53">
        <v>1</v>
      </c>
      <c r="E18" s="22">
        <v>6110</v>
      </c>
      <c r="F18"/>
    </row>
    <row r="19" spans="1:6" x14ac:dyDescent="0.25">
      <c r="A19" s="18"/>
      <c r="B19" s="18"/>
      <c r="C19" t="s">
        <v>45</v>
      </c>
      <c r="D19" s="53">
        <v>1</v>
      </c>
      <c r="E19" s="22">
        <v>6740</v>
      </c>
      <c r="F19"/>
    </row>
    <row r="20" spans="1:6" x14ac:dyDescent="0.25">
      <c r="A20" s="18"/>
      <c r="B20" s="18"/>
      <c r="C20" t="s">
        <v>54</v>
      </c>
      <c r="D20" s="53">
        <v>1</v>
      </c>
      <c r="E20" s="22">
        <v>800</v>
      </c>
      <c r="F20"/>
    </row>
    <row r="21" spans="1:6" x14ac:dyDescent="0.25">
      <c r="A21" s="18"/>
      <c r="B21" s="18"/>
      <c r="C21" t="s">
        <v>55</v>
      </c>
      <c r="D21" s="53">
        <v>1</v>
      </c>
      <c r="E21" s="22">
        <v>800</v>
      </c>
      <c r="F21"/>
    </row>
    <row r="22" spans="1:6" x14ac:dyDescent="0.25">
      <c r="A22" s="18" t="s">
        <v>15</v>
      </c>
      <c r="B22" s="18"/>
      <c r="C22" s="18"/>
      <c r="D22" s="53">
        <v>22</v>
      </c>
      <c r="E22" s="22">
        <v>58150</v>
      </c>
      <c r="F22"/>
    </row>
    <row r="23" spans="1:6" x14ac:dyDescent="0.25">
      <c r="F23"/>
    </row>
    <row r="24" spans="1:6" x14ac:dyDescent="0.25">
      <c r="F24"/>
    </row>
    <row r="25" spans="1:6" x14ac:dyDescent="0.25">
      <c r="F25"/>
    </row>
    <row r="26" spans="1:6" x14ac:dyDescent="0.25">
      <c r="F26"/>
    </row>
    <row r="27" spans="1:6" x14ac:dyDescent="0.25">
      <c r="F27"/>
    </row>
    <row r="28" spans="1:6" x14ac:dyDescent="0.25">
      <c r="F28"/>
    </row>
    <row r="29" spans="1:6" x14ac:dyDescent="0.25">
      <c r="F29"/>
    </row>
    <row r="30" spans="1:6" x14ac:dyDescent="0.25">
      <c r="F30"/>
    </row>
    <row r="31" spans="1:6" x14ac:dyDescent="0.25">
      <c r="F31"/>
    </row>
    <row r="32" spans="1:6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36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Planilha2</vt:lpstr>
      <vt:lpstr>BANCO DADOS</vt:lpstr>
      <vt:lpstr>BM 02.010</vt:lpstr>
      <vt:lpstr>BM 06.021</vt:lpstr>
      <vt:lpstr>BM 06.059</vt:lpstr>
      <vt:lpstr>'BANCO DADOS'!Area_de_impressao</vt:lpstr>
      <vt:lpstr>'BM 02.010'!Area_de_impressao</vt:lpstr>
      <vt:lpstr>'BM 06.021'!Area_de_impressao</vt:lpstr>
      <vt:lpstr>'BM 06.059'!Area_de_impressao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2026-04-28T14:01:24Z</dcterms:modified>
  <cp:category/>
  <cp:contentStatus/>
</cp:coreProperties>
</file>